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GASTOS Y COMPRAS " sheetId="2" r:id="rId6"/>
    <sheet state="visible" name="VENTAS" sheetId="3" r:id="rId7"/>
    <sheet state="visible" name="PRECIOS PERF ORIGINALES" sheetId="4" r:id="rId8"/>
    <sheet state="visible" name="PRECIOS PERF TOP QUALITY " sheetId="5" r:id="rId9"/>
  </sheets>
  <definedNames>
    <definedName hidden="1" localSheetId="2" name="_xlnm._FilterDatabase">VENTAS!$C$4:$J$46</definedName>
    <definedName hidden="1" localSheetId="4" name="_xlnm._FilterDatabase">'PRECIOS PERF TOP QUALITY '!$A$3:$D$998</definedName>
  </definedNames>
  <calcPr/>
</workbook>
</file>

<file path=xl/sharedStrings.xml><?xml version="1.0" encoding="utf-8"?>
<sst xmlns="http://schemas.openxmlformats.org/spreadsheetml/2006/main" count="655" uniqueCount="450">
  <si>
    <t>ENTRADAS DE COMPRA</t>
  </si>
  <si>
    <t>PAGO 1</t>
  </si>
  <si>
    <t>PAGO 2</t>
  </si>
  <si>
    <t>PAGO 3</t>
  </si>
  <si>
    <t xml:space="preserve">19.6.2026 TASA BINANCE </t>
  </si>
  <si>
    <t>FECHA</t>
  </si>
  <si>
    <t>CLIENTE</t>
  </si>
  <si>
    <t>VENDEDOR</t>
  </si>
  <si>
    <t>PRODUCTO</t>
  </si>
  <si>
    <t>ARTISTO   20$</t>
  </si>
  <si>
    <t>PRECIO TOTAL ($)</t>
  </si>
  <si>
    <t>MONTO Bs</t>
  </si>
  <si>
    <t>REFERENCIA</t>
  </si>
  <si>
    <t>CLUB DE NUIT URBAN  13$</t>
  </si>
  <si>
    <t>Registro de Ventas</t>
  </si>
  <si>
    <t>Producto</t>
  </si>
  <si>
    <t>BAHARARA KING 20$</t>
  </si>
  <si>
    <t>ESTATUS</t>
  </si>
  <si>
    <t>Precio Original</t>
  </si>
  <si>
    <t>YARA FEM 13$</t>
  </si>
  <si>
    <t>Cristhian</t>
  </si>
  <si>
    <t>Para el team (-25%)</t>
  </si>
  <si>
    <t>Gregory</t>
  </si>
  <si>
    <t>Very Good Girl</t>
  </si>
  <si>
    <t>Revendedores (-15%)</t>
  </si>
  <si>
    <t>YARA MOI 13$</t>
  </si>
  <si>
    <t>A.Banderas, black seduction</t>
  </si>
  <si>
    <t>KHAMRA QAWA 20 $</t>
  </si>
  <si>
    <t>TOTAL 99$ BINANCE</t>
  </si>
  <si>
    <t>Cliente</t>
  </si>
  <si>
    <t>YA PAGO</t>
  </si>
  <si>
    <t>Vendedor</t>
  </si>
  <si>
    <t>Precio Venta ($)</t>
  </si>
  <si>
    <t>Costo ($)</t>
  </si>
  <si>
    <t>A. Banderas, Blue seduction</t>
  </si>
  <si>
    <t>Ganancia ($)</t>
  </si>
  <si>
    <t>Amarista</t>
  </si>
  <si>
    <t>Moneda</t>
  </si>
  <si>
    <t>Deuda ($)</t>
  </si>
  <si>
    <t>Khamrah Qahwa</t>
  </si>
  <si>
    <t>Métrica</t>
  </si>
  <si>
    <t>Valor</t>
  </si>
  <si>
    <t>A. Banderas, The Golden secret</t>
  </si>
  <si>
    <t xml:space="preserve">26.06.2026 TASA BINANCE </t>
  </si>
  <si>
    <t>CLOUD  12 $</t>
  </si>
  <si>
    <t>Yara Fem</t>
  </si>
  <si>
    <t>A. Banderas the icon</t>
  </si>
  <si>
    <t>Ángel</t>
  </si>
  <si>
    <t>GOOD GIRL VERY 9.50$</t>
  </si>
  <si>
    <t>Fernanda</t>
  </si>
  <si>
    <t>Bharara King</t>
  </si>
  <si>
    <t>ULTRA MALE 9.50$</t>
  </si>
  <si>
    <t>A. Banderas The Icon (Black)</t>
  </si>
  <si>
    <t>15.679,22</t>
  </si>
  <si>
    <t>SWISS ARMY 9.50$</t>
  </si>
  <si>
    <t>Afnan, 9pm</t>
  </si>
  <si>
    <t>360 9.50$</t>
  </si>
  <si>
    <t>SCANDAL 9.50$</t>
  </si>
  <si>
    <t>Ricardo</t>
  </si>
  <si>
    <t>Universe</t>
  </si>
  <si>
    <t>Ariana grande, CLOUD</t>
  </si>
  <si>
    <t>BCV</t>
  </si>
  <si>
    <t>BAD BOY 9.50$</t>
  </si>
  <si>
    <t>8.307,00</t>
  </si>
  <si>
    <t>TOMMY 9.50$</t>
  </si>
  <si>
    <t>Armaf, club de nuit iconic</t>
  </si>
  <si>
    <t>Norelvis</t>
  </si>
  <si>
    <t>INVICTUS 9.50$</t>
  </si>
  <si>
    <t>Cloud</t>
  </si>
  <si>
    <t>Armaf, Club de nuit intense man</t>
  </si>
  <si>
    <t>212 VIP 9.50$</t>
  </si>
  <si>
    <t>Total Ventas</t>
  </si>
  <si>
    <t>EROS MEN 9.50$</t>
  </si>
  <si>
    <t>Anderson</t>
  </si>
  <si>
    <t>Armaf, Club de nuit Urban man</t>
  </si>
  <si>
    <t>212 Vip</t>
  </si>
  <si>
    <t xml:space="preserve">AGUA DI DIO 9.50$ </t>
  </si>
  <si>
    <t>5.910,00</t>
  </si>
  <si>
    <t>Armaf, club de nuit woman</t>
  </si>
  <si>
    <t>HONOR Y GLORY 17$</t>
  </si>
  <si>
    <t>Marbella</t>
  </si>
  <si>
    <t>Yara Moi</t>
  </si>
  <si>
    <t>Armaf, Odyssey marshmallow</t>
  </si>
  <si>
    <t>UNIVERSE 20$</t>
  </si>
  <si>
    <t>listo</t>
  </si>
  <si>
    <t>KHANRAH 20$</t>
  </si>
  <si>
    <t>Benetton, Colors cold</t>
  </si>
  <si>
    <t>Polanco</t>
  </si>
  <si>
    <t>Club de Nuit</t>
  </si>
  <si>
    <t>CLUB DE NUIT 12$</t>
  </si>
  <si>
    <t>Costo Total</t>
  </si>
  <si>
    <t>ASAD BOURBOM 13$</t>
  </si>
  <si>
    <t>Benetton, Colors Man black</t>
  </si>
  <si>
    <t>LA BOMBA 17$</t>
  </si>
  <si>
    <t>Khamarah Qahwa</t>
  </si>
  <si>
    <t>Honor y Glory</t>
  </si>
  <si>
    <t>Benetton, Colors Man Blue</t>
  </si>
  <si>
    <t xml:space="preserve">TOTAL  236$ BINANCE </t>
  </si>
  <si>
    <t>11.199,45</t>
  </si>
  <si>
    <t>Benetton, Colors TDH</t>
  </si>
  <si>
    <t>Llovera</t>
  </si>
  <si>
    <t>Eros Men</t>
  </si>
  <si>
    <t>Ganancia Total</t>
  </si>
  <si>
    <t xml:space="preserve">1.07.2026 </t>
  </si>
  <si>
    <t>Benetton, Colors woman rose</t>
  </si>
  <si>
    <t>212 MEN 12$</t>
  </si>
  <si>
    <t>Belisario</t>
  </si>
  <si>
    <t>HARAMAIN AQUA DUBAI 18$</t>
  </si>
  <si>
    <t>Club de Nuit Urban</t>
  </si>
  <si>
    <t>TOTAL  30$ TASA BINANCE</t>
  </si>
  <si>
    <t>PENDIENTE</t>
  </si>
  <si>
    <t>Bharara queen</t>
  </si>
  <si>
    <t>3.733,15</t>
  </si>
  <si>
    <t>Total por Cobrar</t>
  </si>
  <si>
    <t>CKIN2U</t>
  </si>
  <si>
    <t>FANTASY  12$</t>
  </si>
  <si>
    <t>Aqua Dubai</t>
  </si>
  <si>
    <t>AQUA DI GIO 12$</t>
  </si>
  <si>
    <t>CKIN2U men</t>
  </si>
  <si>
    <t>Club de Nuit Urban Elixir</t>
  </si>
  <si>
    <t>ARIANA GRANDE CLOUD 12$</t>
  </si>
  <si>
    <t>Guess night</t>
  </si>
  <si>
    <t>ASAD 12$</t>
  </si>
  <si>
    <t>Ivana</t>
  </si>
  <si>
    <t>La Bomba</t>
  </si>
  <si>
    <t>YARA ELIXIR 12$</t>
  </si>
  <si>
    <t>Guess seductive Homme Blue</t>
  </si>
  <si>
    <t>212 VIP MEN 12$</t>
  </si>
  <si>
    <t>Issey Miyake Duo Nomade</t>
  </si>
  <si>
    <t>EROS FLAME 12$</t>
  </si>
  <si>
    <t>PENDIENTE (SIN ABONOS)</t>
  </si>
  <si>
    <t>Reinel</t>
  </si>
  <si>
    <t>Hidelberg</t>
  </si>
  <si>
    <t>212 NYC</t>
  </si>
  <si>
    <t>LE LABO SANTAL 33 12$</t>
  </si>
  <si>
    <t>Lattafa Yara Elixir</t>
  </si>
  <si>
    <t>18.183,00</t>
  </si>
  <si>
    <t>SAUVAGE DIOR 12$</t>
  </si>
  <si>
    <t>Nautica CLASSIC</t>
  </si>
  <si>
    <t>TOMY MEN 12$</t>
  </si>
  <si>
    <t>mirleidy</t>
  </si>
  <si>
    <t>12 MY</t>
  </si>
  <si>
    <t>Very Good Grul</t>
  </si>
  <si>
    <t>ASAD BOURBOND 12$</t>
  </si>
  <si>
    <t>12 EFECTIVO</t>
  </si>
  <si>
    <t>Cristihan</t>
  </si>
  <si>
    <t>Nautica Pure Blue</t>
  </si>
  <si>
    <t>BHARARA BLUE 18$</t>
  </si>
  <si>
    <t>POLO BLUE 12$</t>
  </si>
  <si>
    <t>ASAD BORBOM</t>
  </si>
  <si>
    <t>16 MY</t>
  </si>
  <si>
    <t>Nautica voyage sport</t>
  </si>
  <si>
    <t>MANDARIN SKY 14$</t>
  </si>
  <si>
    <t>16 EFECTIVO</t>
  </si>
  <si>
    <t>TASA BINANCE 176$</t>
  </si>
  <si>
    <t>TOMMY</t>
  </si>
  <si>
    <t>8.854,58</t>
  </si>
  <si>
    <t>8.985,44</t>
  </si>
  <si>
    <t>ODYSSEY MANDARIN SKY ELIXIR DE</t>
  </si>
  <si>
    <t>Honor y glory</t>
  </si>
  <si>
    <t>ODYSSEY MANDARIN SKY, SET</t>
  </si>
  <si>
    <t>BAD BOY</t>
  </si>
  <si>
    <t>DECANST 1$</t>
  </si>
  <si>
    <t>Odyssey Mega 200ml</t>
  </si>
  <si>
    <t>MANDARIN SKY 15$</t>
  </si>
  <si>
    <t xml:space="preserve">AQUA DI GIO </t>
  </si>
  <si>
    <t>5.400,00</t>
  </si>
  <si>
    <t>cloud</t>
  </si>
  <si>
    <t>Paris Hilton, justo Me</t>
  </si>
  <si>
    <t>SAUVAGE DIOR 13$</t>
  </si>
  <si>
    <t>Paris Hilton w</t>
  </si>
  <si>
    <t>adolfito</t>
  </si>
  <si>
    <t>SCANDAL</t>
  </si>
  <si>
    <t>8.212,93</t>
  </si>
  <si>
    <t xml:space="preserve">la bomba </t>
  </si>
  <si>
    <t xml:space="preserve">Ivana </t>
  </si>
  <si>
    <t>rafael</t>
  </si>
  <si>
    <t>INVICTUS</t>
  </si>
  <si>
    <t>5.226,34</t>
  </si>
  <si>
    <t>ACQUA DI GIO 13$</t>
  </si>
  <si>
    <t>5.398,00</t>
  </si>
  <si>
    <t xml:space="preserve"> TASA BINANCE 109$</t>
  </si>
  <si>
    <t>melany</t>
  </si>
  <si>
    <t>CLUD DE NUIT INTENSE 15$</t>
  </si>
  <si>
    <t>CLOUD</t>
  </si>
  <si>
    <t>TASA BINANCE 15$</t>
  </si>
  <si>
    <t>212Vip</t>
  </si>
  <si>
    <t>gregor</t>
  </si>
  <si>
    <t>Gregor</t>
  </si>
  <si>
    <t>BHARARA BLUE</t>
  </si>
  <si>
    <t>18 GM</t>
  </si>
  <si>
    <t xml:space="preserve">PEDIDO CARACAS LUKA STORE </t>
  </si>
  <si>
    <t>SCANDAL  9.10$</t>
  </si>
  <si>
    <t>hidelberg</t>
  </si>
  <si>
    <t>12 GM</t>
  </si>
  <si>
    <t>ISSEY MIYAKE 7.50$</t>
  </si>
  <si>
    <t xml:space="preserve">Juan herrade </t>
  </si>
  <si>
    <t>Sauvage Dior</t>
  </si>
  <si>
    <t>CLUD DE NUIT MALEKA 9.10$</t>
  </si>
  <si>
    <t xml:space="preserve">Victorinox swis army </t>
  </si>
  <si>
    <t>INVICTUS 7.35$</t>
  </si>
  <si>
    <t>TASA BINANCE 59 $</t>
  </si>
  <si>
    <t xml:space="preserve">Ricardo palacios </t>
  </si>
  <si>
    <t>Eros Flame</t>
  </si>
  <si>
    <t>GASTO ENVIO PEDIDO DE CARACAS 13.000 14.92 BINANCE</t>
  </si>
  <si>
    <t xml:space="preserve">EROS MEN VERSACHE </t>
  </si>
  <si>
    <t>Mandarin Sky</t>
  </si>
  <si>
    <t>llovera</t>
  </si>
  <si>
    <t>Lista de precios Nueva</t>
  </si>
  <si>
    <t xml:space="preserve">9PM REBEL ORIGINAL 50$ BINANCE </t>
  </si>
  <si>
    <t>jeferson mejias</t>
  </si>
  <si>
    <t>BHARARA KING</t>
  </si>
  <si>
    <t>GASTO MUESTRA DE CLIENTE DECANST 1 $ COMPRADO EL 10/08/2026</t>
  </si>
  <si>
    <t>apostol</t>
  </si>
  <si>
    <t>Precio (Divisa o tasa USDT)</t>
  </si>
  <si>
    <t>Precio tasa BCV</t>
  </si>
  <si>
    <t>9.252,86</t>
  </si>
  <si>
    <t>GASTO YUMMY 2.932,00 REFERENCIA 0612  3.34 BINANCE</t>
  </si>
  <si>
    <t>hade mirleidy</t>
  </si>
  <si>
    <t>YARA ELIXIR</t>
  </si>
  <si>
    <t>luis sequera</t>
  </si>
  <si>
    <t>ricardo gomez</t>
  </si>
  <si>
    <t>Good girl very</t>
  </si>
  <si>
    <t>CLUD DE NUIT INTENSE</t>
  </si>
  <si>
    <t>19 usdt P.M</t>
  </si>
  <si>
    <t>8.356,00</t>
  </si>
  <si>
    <t>cristhian gonzales</t>
  </si>
  <si>
    <t>9PM REBEL ORIGINAL</t>
  </si>
  <si>
    <t>Ultramale</t>
  </si>
  <si>
    <t>Swiss army</t>
  </si>
  <si>
    <t>Total en Bs</t>
  </si>
  <si>
    <t>Adolfito</t>
  </si>
  <si>
    <t>Scandal</t>
  </si>
  <si>
    <t>Total Divisas Pagadas ($)</t>
  </si>
  <si>
    <t>Bad boy</t>
  </si>
  <si>
    <t>Total en Ventas ($)</t>
  </si>
  <si>
    <t>ricardo</t>
  </si>
  <si>
    <t>Operaciones YA PAGO</t>
  </si>
  <si>
    <t>Tommy</t>
  </si>
  <si>
    <t xml:space="preserve">POR COBRAR </t>
  </si>
  <si>
    <t>EN INVENTARIO</t>
  </si>
  <si>
    <t>Invictus</t>
  </si>
  <si>
    <t>18.GM</t>
  </si>
  <si>
    <t>212 vip</t>
  </si>
  <si>
    <t>12.GM</t>
  </si>
  <si>
    <t>Eros men</t>
  </si>
  <si>
    <t>Agua di gio</t>
  </si>
  <si>
    <t>Victorinox swis army</t>
  </si>
  <si>
    <t>Bharara king</t>
  </si>
  <si>
    <t>Khamrah</t>
  </si>
  <si>
    <t>Club de nuit</t>
  </si>
  <si>
    <t>Asad bourbon</t>
  </si>
  <si>
    <t>gregory</t>
  </si>
  <si>
    <t>La bomba</t>
  </si>
  <si>
    <t>LINEA ARABE</t>
  </si>
  <si>
    <t>YARA CANDY</t>
  </si>
  <si>
    <t xml:space="preserve">ricardo gomez </t>
  </si>
  <si>
    <t>16 P.M</t>
  </si>
  <si>
    <t>gabriel medina</t>
  </si>
  <si>
    <t>YARA FEM</t>
  </si>
  <si>
    <t>YARA TOUS</t>
  </si>
  <si>
    <t>POLO BLUE</t>
  </si>
  <si>
    <t>leandro</t>
  </si>
  <si>
    <t>YARA MOI</t>
  </si>
  <si>
    <t>issey miyake</t>
  </si>
  <si>
    <t>Alejandro blanco</t>
  </si>
  <si>
    <t>ASAD ELIXIR</t>
  </si>
  <si>
    <t>ASAD</t>
  </si>
  <si>
    <t>ASAD BOURBON</t>
  </si>
  <si>
    <t xml:space="preserve">ASAD ZANZÍBAR </t>
  </si>
  <si>
    <t xml:space="preserve">KHAMRA </t>
  </si>
  <si>
    <t>KHAMRAH DUKHAN</t>
  </si>
  <si>
    <t>KHAMRAH QAHWA</t>
  </si>
  <si>
    <t>FAKHAR BLACK</t>
  </si>
  <si>
    <t>FAKHAR EXTRAIT</t>
  </si>
  <si>
    <t>FAKHAR ROSE</t>
  </si>
  <si>
    <t>VULCAN BAIE</t>
  </si>
  <si>
    <t>VULCAN FEU</t>
  </si>
  <si>
    <t>SUBLIME</t>
  </si>
  <si>
    <t>NOBLE BLUSH</t>
  </si>
  <si>
    <t>HONOR &amp; GLORY</t>
  </si>
  <si>
    <t>OUD FOR GLORY</t>
  </si>
  <si>
    <t>AMETHYST</t>
  </si>
  <si>
    <t>HER CONFESSION</t>
  </si>
  <si>
    <t>HIS CONFESSION</t>
  </si>
  <si>
    <t>ECLAIRE</t>
  </si>
  <si>
    <t>VICTORIA</t>
  </si>
  <si>
    <t>MAYAR</t>
  </si>
  <si>
    <t>MAYAR NATURAL</t>
  </si>
  <si>
    <t>EMEER</t>
  </si>
  <si>
    <t>HAYA</t>
  </si>
  <si>
    <t>AJWAD</t>
  </si>
  <si>
    <t>SHER</t>
  </si>
  <si>
    <t>ART OF UNIVERSE</t>
  </si>
  <si>
    <t xml:space="preserve">BERTY ON TOP </t>
  </si>
  <si>
    <t>VAINILLA FREAK</t>
  </si>
  <si>
    <t>CHOCO OVERDOSE</t>
  </si>
  <si>
    <t>MALLOW MADNESS</t>
  </si>
  <si>
    <t>WHIPPED PLEAUSURE</t>
  </si>
  <si>
    <t>COOKIE CRAVE</t>
  </si>
  <si>
    <t>9 AM DIVE</t>
  </si>
  <si>
    <t>9 AM POUR FEMME</t>
  </si>
  <si>
    <t>9PM ELIXIR</t>
  </si>
  <si>
    <t xml:space="preserve">BHARARA KING </t>
  </si>
  <si>
    <t>BHARARA NICHE</t>
  </si>
  <si>
    <t>BHARARA ROSE</t>
  </si>
  <si>
    <t>BHARARA KING SOLEIL</t>
  </si>
  <si>
    <t>BHARARA SCARLET</t>
  </si>
  <si>
    <t>ORIENTICA ROUGE</t>
  </si>
  <si>
    <t>ORIENTICA ROYAL</t>
  </si>
  <si>
    <t>ORIENTICA SAFRON</t>
  </si>
  <si>
    <t>ORIENTICA AL NOBLE</t>
  </si>
  <si>
    <t>ORIENTICA VELVET</t>
  </si>
  <si>
    <t>ORIENTICA DANIA</t>
  </si>
  <si>
    <t>ORIENTICA AZURE</t>
  </si>
  <si>
    <t>AMBER OUD EXCLUSIF ESMERALD</t>
  </si>
  <si>
    <t>AMBER OUD AQUA DUBAI</t>
  </si>
  <si>
    <t>AMBER OUD ULTRAVIOLET</t>
  </si>
  <si>
    <t>AMBER OUD GOLD EDITION</t>
  </si>
  <si>
    <t>AMBER OUD BLUE EDITION</t>
  </si>
  <si>
    <t>AMBER OUD AQUA DUBAI NIGHT</t>
  </si>
  <si>
    <t>YUM YUM</t>
  </si>
  <si>
    <t>ISLAND BLISS</t>
  </si>
  <si>
    <t>ISLAND BREAZZE</t>
  </si>
  <si>
    <t>ODISSEY MANDARIN</t>
  </si>
  <si>
    <t>ODISSEY MANDARIN SKY ELIXIR</t>
  </si>
  <si>
    <t>ODISSEY ARTISTO</t>
  </si>
  <si>
    <t>ODISSEY OUD</t>
  </si>
  <si>
    <t>ODISSEY MEGA</t>
  </si>
  <si>
    <t>ODISSEY WILD</t>
  </si>
  <si>
    <t>ODISSEY TYRANT</t>
  </si>
  <si>
    <t>ODISSEY HOMME</t>
  </si>
  <si>
    <t>ODISSEY SPECTRA</t>
  </si>
  <si>
    <t>ODISSEY CANDEE</t>
  </si>
  <si>
    <t>CLUB DE NUIT LYON HEART WOMAN</t>
  </si>
  <si>
    <t>CLUB DE NUIT MAN INTENSE</t>
  </si>
  <si>
    <t>CLUB DE NUIT URBAN ELIXIR</t>
  </si>
  <si>
    <t>CLUB DE NUIT LYON HEART MAN</t>
  </si>
  <si>
    <t>CLUB DE NUIT SILLAGE</t>
  </si>
  <si>
    <t>CLUB DE NUIT ICONIC</t>
  </si>
  <si>
    <t>CLUB DE NUIT UNTOLD</t>
  </si>
  <si>
    <t>CLUB DE NUIT WOMAN</t>
  </si>
  <si>
    <t>CLUB DE NUIT MILESTONE</t>
  </si>
  <si>
    <t>CLUB DE NUIT IMPERIALE</t>
  </si>
  <si>
    <t xml:space="preserve"> LINEA CLÁSICA  O DISENADOR</t>
  </si>
  <si>
    <t>LE MALE</t>
  </si>
  <si>
    <t>LE BEAU</t>
  </si>
  <si>
    <t>LE BEA PARADISE GARDEN</t>
  </si>
  <si>
    <t>LE MALE ELIXIR</t>
  </si>
  <si>
    <t>ULTRAMALE</t>
  </si>
  <si>
    <t>DIVINE</t>
  </si>
  <si>
    <t>CLOUD 2.0</t>
  </si>
  <si>
    <t>THANK U NEXT</t>
  </si>
  <si>
    <t>SWEET LIKE CANDY</t>
  </si>
  <si>
    <t>R.E.M</t>
  </si>
  <si>
    <t>MOOD VAINILLA</t>
  </si>
  <si>
    <t>MOOD BLUSH</t>
  </si>
  <si>
    <t>212 VIP FEM</t>
  </si>
  <si>
    <t>212 VIP ROSE</t>
  </si>
  <si>
    <t>212 SEXY FEM</t>
  </si>
  <si>
    <t>212 HEROES FEM</t>
  </si>
  <si>
    <t>LA BOMBA</t>
  </si>
  <si>
    <t>GOOD GIRL</t>
  </si>
  <si>
    <t>GOOD GIRL LEGERE</t>
  </si>
  <si>
    <t>VERY GOOD GIRL</t>
  </si>
  <si>
    <t>CH FEM</t>
  </si>
  <si>
    <t>CAN CAN</t>
  </si>
  <si>
    <t>HEIRESS</t>
  </si>
  <si>
    <t>FANTASY</t>
  </si>
  <si>
    <t>FANTASY MIDNIGHT</t>
  </si>
  <si>
    <t>FANTASY CIRCUS</t>
  </si>
  <si>
    <t>SORBETO ROSSO</t>
  </si>
  <si>
    <t>AGUA DE SOL</t>
  </si>
  <si>
    <t>ROCK IN RIO</t>
  </si>
  <si>
    <t>FAME</t>
  </si>
  <si>
    <t>FAME COUTURE</t>
  </si>
  <si>
    <t>OLYMPEA</t>
  </si>
  <si>
    <t>TOY BUBBLEGUM</t>
  </si>
  <si>
    <t>TOY 2</t>
  </si>
  <si>
    <t>TOY PEARL</t>
  </si>
  <si>
    <t>CHANCE CHANEL</t>
  </si>
  <si>
    <t>COCOMADEMOISELLE</t>
  </si>
  <si>
    <t>CHANEL N5</t>
  </si>
  <si>
    <t>MEOW</t>
  </si>
  <si>
    <t>PRR</t>
  </si>
  <si>
    <t>BRIGHCRYSTAL</t>
  </si>
  <si>
    <t>YELLOW DIAMONDS</t>
  </si>
  <si>
    <t xml:space="preserve">TOMMY GIRLS </t>
  </si>
  <si>
    <t>VIVA LA JUICY</t>
  </si>
  <si>
    <t>SCANDAL FEM</t>
  </si>
  <si>
    <t>LIGHT BLUE FEM</t>
  </si>
  <si>
    <t>J'DORE</t>
  </si>
  <si>
    <t>FUNNY</t>
  </si>
  <si>
    <t>BOMBSHELL</t>
  </si>
  <si>
    <t>360 FEM</t>
  </si>
  <si>
    <t>360 CORAL</t>
  </si>
  <si>
    <t>360 RED</t>
  </si>
  <si>
    <t>212 VIP MEN</t>
  </si>
  <si>
    <t>212 VIP BLACK</t>
  </si>
  <si>
    <t>212 MEN</t>
  </si>
  <si>
    <t>212 VIP BLACK RED</t>
  </si>
  <si>
    <t>212 VIP WINS</t>
  </si>
  <si>
    <t>212 HEROES MEN</t>
  </si>
  <si>
    <t>LACOSTE ROUGE</t>
  </si>
  <si>
    <t>LACOSTE BLANC</t>
  </si>
  <si>
    <t>LACOSTE NOIR</t>
  </si>
  <si>
    <t>LACOSTE ESSENCIAL</t>
  </si>
  <si>
    <t>LEGEND SPIRIT</t>
  </si>
  <si>
    <t>LEGEND</t>
  </si>
  <si>
    <t>EMBLEM</t>
  </si>
  <si>
    <t>STARWALKER</t>
  </si>
  <si>
    <t>EROS MEN</t>
  </si>
  <si>
    <t>EROS FLAME</t>
  </si>
  <si>
    <t>EROS ENERGY</t>
  </si>
  <si>
    <t>EAU FRINCHE</t>
  </si>
  <si>
    <t>ACQUA DI GIO</t>
  </si>
  <si>
    <t>AQUA DI GIO PROFUM</t>
  </si>
  <si>
    <t>POLO RED</t>
  </si>
  <si>
    <t>VALENTINO UOMO</t>
  </si>
  <si>
    <t>TOMMY MEN</t>
  </si>
  <si>
    <t>ISSEY MIYAKE</t>
  </si>
  <si>
    <t>SWISS ARMY</t>
  </si>
  <si>
    <t>SCANDAL MEN</t>
  </si>
  <si>
    <t>K DOLCE GABANNA</t>
  </si>
  <si>
    <t>LIGHT BLUE MEN</t>
  </si>
  <si>
    <t>UNLIMITED</t>
  </si>
  <si>
    <t>JUSTDIFERENT</t>
  </si>
  <si>
    <t>FERRARI BLACK</t>
  </si>
  <si>
    <t>BLACK SEDUCTION</t>
  </si>
  <si>
    <t xml:space="preserve">LYTON </t>
  </si>
  <si>
    <t>AZZARO WANTED</t>
  </si>
  <si>
    <t>HAPPY CLINIQUE MEN</t>
  </si>
  <si>
    <t>BLEU CHANEL</t>
  </si>
  <si>
    <t>CREED AVENTUS</t>
  </si>
  <si>
    <t>CREED SILVER MOUNTAIN</t>
  </si>
  <si>
    <t>INVICTUS PARFUM</t>
  </si>
  <si>
    <t>INVICTUS LEGEND</t>
  </si>
  <si>
    <t>INVICTUS VICTORY</t>
  </si>
  <si>
    <t>INVICTUS ONIX</t>
  </si>
  <si>
    <t>ONE MILLION ELIXIR</t>
  </si>
  <si>
    <t>ONE MILLION PRIVE</t>
  </si>
  <si>
    <t>ONE MILLION LUCKY</t>
  </si>
  <si>
    <t>PHANTOM</t>
  </si>
  <si>
    <t>BLACK XS L'CESS</t>
  </si>
  <si>
    <t>BLACK XS</t>
  </si>
  <si>
    <t>PURE XS</t>
  </si>
  <si>
    <t>Fantasy Britney Spears</t>
  </si>
  <si>
    <t xml:space="preserve">Asad Lattafa </t>
  </si>
  <si>
    <t>Santal 33</t>
  </si>
  <si>
    <t>Sauvage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</si>
</sst>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"/>
    <numFmt numFmtId="165" formatCode="$#,##0.00"/>
    <numFmt numFmtId="166" formatCode="dd-mm-yy"/>
    <numFmt numFmtId="167" formatCode="dd/mm/yyyy"/>
    <numFmt numFmtId="168" formatCode="d/m/yyyy"/>
    <numFmt numFmtId="169" formatCode="&quot;$&quot;#,##0.00"/>
    <numFmt numFmtId="170" formatCode="&quot;Bs &quot;#,##0.00"/>
    <numFmt numFmtId="171" formatCode="#,##0&quot;$&quot;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  <font>
      <b/>
      <sz val="25.0"/>
      <color rgb="FF000000"/>
      <name val="Arial"/>
      <scheme val="minor"/>
    </font>
    <font>
      <color rgb="FF000000"/>
      <name val="Arial"/>
      <scheme val="minor"/>
    </font>
    <font>
      <b/>
      <sz val="24.0"/>
      <color rgb="FF181D16"/>
      <name val="Montserrat"/>
    </font>
    <font>
      <b/>
      <color rgb="FFFFFFFF"/>
      <name val="Montserrat"/>
    </font>
    <font>
      <color rgb="FF181D16"/>
      <name val="Roboto"/>
    </font>
    <font>
      <b/>
      <color rgb="FF181D16"/>
      <name val="Roboto"/>
    </font>
    <font>
      <b/>
      <color theme="1"/>
      <name val="Arial"/>
      <scheme val="minor"/>
    </font>
    <font>
      <color rgb="FF1F1F1F"/>
      <name val="Arial"/>
      <scheme val="minor"/>
    </font>
    <font>
      <b/>
      <sz val="18.0"/>
      <color theme="1"/>
      <name val="Arial"/>
      <scheme val="minor"/>
    </font>
    <font>
      <b/>
      <sz val="11.0"/>
      <color rgb="FFFFFFFF"/>
      <name val="Montserrat"/>
    </font>
    <font>
      <sz val="10.0"/>
      <color rgb="FF181D16"/>
      <name val="Roboto"/>
    </font>
    <font>
      <b/>
      <sz val="12.0"/>
      <color rgb="FFFFFFFF"/>
      <name val="Arial"/>
      <scheme val="minor"/>
    </font>
    <font>
      <b/>
      <color rgb="FFFFFFFF"/>
      <name val="Lexend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1C232"/>
        <bgColor rgb="FFF1C232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3B6939"/>
        <bgColor rgb="FF3B6939"/>
      </patternFill>
    </fill>
    <fill>
      <patternFill patternType="solid">
        <fgColor rgb="FFFFFFFF"/>
        <bgColor rgb="FFFFFFFF"/>
      </patternFill>
    </fill>
    <fill>
      <patternFill patternType="solid">
        <fgColor rgb="FFF7FAF0"/>
        <bgColor rgb="FFF7FAF0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  <fill>
      <patternFill patternType="solid">
        <fgColor rgb="FF20124D"/>
        <bgColor rgb="FF20124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0" xfId="0" applyAlignment="1" applyFont="1">
      <alignment shrinkToFit="0" vertical="center" wrapText="0"/>
    </xf>
    <xf borderId="1" fillId="0" fontId="1" numFmtId="166" xfId="0" applyAlignment="1" applyBorder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shrinkToFit="0" vertical="center" wrapText="0"/>
    </xf>
    <xf borderId="0" fillId="8" fontId="6" numFmtId="0" xfId="0" applyAlignment="1" applyFill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9" fontId="1" numFmtId="167" xfId="0" applyAlignment="1" applyBorder="1" applyFill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/>
    </xf>
    <xf borderId="0" fillId="10" fontId="7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10" fontId="7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9" fontId="1" numFmtId="165" xfId="0" applyAlignment="1" applyBorder="1" applyFont="1" applyNumberFormat="1">
      <alignment horizontal="center" readingOrder="0"/>
    </xf>
    <xf borderId="1" fillId="9" fontId="1" numFmtId="4" xfId="0" applyAlignment="1" applyBorder="1" applyFont="1" applyNumberFormat="1">
      <alignment horizontal="center" readingOrder="0"/>
    </xf>
    <xf borderId="1" fillId="10" fontId="7" numFmtId="165" xfId="0" applyAlignment="1" applyBorder="1" applyFont="1" applyNumberFormat="1">
      <alignment horizontal="center" readingOrder="0"/>
    </xf>
    <xf borderId="1" fillId="9" fontId="1" numFmtId="4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/>
    </xf>
    <xf borderId="1" fillId="10" fontId="7" numFmtId="165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8" numFmtId="4" xfId="0" applyAlignment="1" applyFont="1" applyNumberFormat="1">
      <alignment horizontal="center"/>
    </xf>
    <xf borderId="0" fillId="9" fontId="7" numFmtId="0" xfId="0" applyAlignment="1" applyFont="1">
      <alignment horizontal="center" readingOrder="0"/>
    </xf>
    <xf borderId="1" fillId="9" fontId="7" numFmtId="0" xfId="0" applyAlignment="1" applyBorder="1" applyFont="1">
      <alignment horizontal="center" readingOrder="0"/>
    </xf>
    <xf borderId="1" fillId="9" fontId="7" numFmtId="165" xfId="0" applyAlignment="1" applyBorder="1" applyFont="1" applyNumberFormat="1">
      <alignment horizontal="center" readingOrder="0"/>
    </xf>
    <xf borderId="1" fillId="9" fontId="7" numFmtId="165" xfId="0" applyAlignment="1" applyBorder="1" applyFont="1" applyNumberFormat="1">
      <alignment horizontal="center"/>
    </xf>
    <xf borderId="1" fillId="11" fontId="1" numFmtId="0" xfId="0" applyAlignment="1" applyBorder="1" applyFill="1" applyFont="1">
      <alignment horizontal="center" readingOrder="0"/>
    </xf>
    <xf borderId="1" fillId="9" fontId="9" numFmtId="167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7" fontId="1" numFmtId="0" xfId="0" applyAlignment="1" applyBorder="1" applyFont="1">
      <alignment horizontal="center" readingOrder="0"/>
    </xf>
    <xf borderId="1" fillId="11" fontId="1" numFmtId="167" xfId="0" applyAlignment="1" applyBorder="1" applyFont="1" applyNumberFormat="1">
      <alignment horizontal="center" readingOrder="0"/>
    </xf>
    <xf borderId="1" fillId="11" fontId="1" numFmtId="165" xfId="0" applyAlignment="1" applyBorder="1" applyFont="1" applyNumberFormat="1">
      <alignment horizontal="center" readingOrder="0"/>
    </xf>
    <xf borderId="1" fillId="11" fontId="1" numFmtId="4" xfId="0" applyAlignment="1" applyBorder="1" applyFont="1" applyNumberFormat="1">
      <alignment horizontal="center"/>
    </xf>
    <xf borderId="1" fillId="11" fontId="1" numFmtId="0" xfId="0" applyAlignment="1" applyBorder="1" applyFont="1">
      <alignment horizontal="center"/>
    </xf>
    <xf borderId="2" fillId="11" fontId="1" numFmtId="0" xfId="0" applyAlignment="1" applyBorder="1" applyFont="1">
      <alignment horizontal="center" readingOrder="0"/>
    </xf>
    <xf borderId="1" fillId="11" fontId="1" numFmtId="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8" fontId="12" numFmtId="0" xfId="0" applyAlignment="1" applyFont="1">
      <alignment horizontal="center" readingOrder="0"/>
    </xf>
    <xf borderId="1" fillId="9" fontId="13" numFmtId="0" xfId="0" applyAlignment="1" applyBorder="1" applyFont="1">
      <alignment horizontal="center" readingOrder="0"/>
    </xf>
    <xf borderId="1" fillId="9" fontId="13" numFmtId="169" xfId="0" applyAlignment="1" applyBorder="1" applyFont="1" applyNumberFormat="1">
      <alignment horizontal="center" readingOrder="0"/>
    </xf>
    <xf borderId="1" fillId="9" fontId="13" numFmtId="170" xfId="0" applyAlignment="1" applyBorder="1" applyFont="1" applyNumberFormat="1">
      <alignment horizontal="center" readingOrder="0"/>
    </xf>
    <xf borderId="1" fillId="12" fontId="13" numFmtId="0" xfId="0" applyAlignment="1" applyBorder="1" applyFill="1" applyFont="1">
      <alignment horizontal="center" readingOrder="0"/>
    </xf>
    <xf borderId="1" fillId="12" fontId="13" numFmtId="169" xfId="0" applyAlignment="1" applyBorder="1" applyFont="1" applyNumberFormat="1">
      <alignment horizontal="center" readingOrder="0"/>
    </xf>
    <xf borderId="1" fillId="12" fontId="13" numFmtId="170" xfId="0" applyAlignment="1" applyBorder="1" applyFont="1" applyNumberFormat="1">
      <alignment horizontal="center" readingOrder="0"/>
    </xf>
    <xf borderId="0" fillId="13" fontId="14" numFmtId="0" xfId="0" applyAlignment="1" applyFill="1" applyFont="1">
      <alignment horizontal="center" readingOrder="0"/>
    </xf>
    <xf borderId="0" fillId="13" fontId="14" numFmtId="4" xfId="0" applyAlignment="1" applyFont="1" applyNumberFormat="1">
      <alignment horizontal="center"/>
    </xf>
    <xf borderId="0" fillId="0" fontId="1" numFmtId="171" xfId="0" applyAlignment="1" applyFont="1" applyNumberFormat="1">
      <alignment horizontal="center" readingOrder="0"/>
    </xf>
    <xf borderId="1" fillId="13" fontId="14" numFmtId="0" xfId="0" applyAlignment="1" applyBorder="1" applyFont="1">
      <alignment horizontal="center" readingOrder="0"/>
    </xf>
    <xf borderId="1" fillId="13" fontId="14" numFmtId="4" xfId="0" applyAlignment="1" applyBorder="1" applyFont="1" applyNumberFormat="1">
      <alignment horizontal="center"/>
    </xf>
    <xf borderId="1" fillId="13" fontId="14" numFmtId="165" xfId="0" applyAlignment="1" applyBorder="1" applyFont="1" applyNumberFormat="1">
      <alignment horizontal="center" readingOrder="0"/>
    </xf>
    <xf borderId="1" fillId="13" fontId="14" numFmtId="165" xfId="0" applyAlignment="1" applyBorder="1" applyFont="1" applyNumberFormat="1">
      <alignment horizontal="center"/>
    </xf>
    <xf borderId="1" fillId="13" fontId="14" numFmtId="0" xfId="0" applyAlignment="1" applyBorder="1" applyFont="1">
      <alignment horizontal="center"/>
    </xf>
    <xf borderId="1" fillId="13" fontId="15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center"/>
    </xf>
    <xf borderId="1" fillId="13" fontId="1" numFmtId="0" xfId="0" applyBorder="1" applyFont="1"/>
    <xf borderId="1" fillId="0" fontId="16" numFmtId="165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1" fillId="9" fontId="13" numFmtId="0" xfId="0" applyAlignment="1" applyBorder="1" applyFont="1">
      <alignment horizontal="center" readingOrder="0"/>
    </xf>
    <xf borderId="1" fillId="12" fontId="1" numFmtId="0" xfId="0" applyAlignment="1" applyBorder="1" applyFont="1">
      <alignment horizontal="center" readingOrder="0"/>
    </xf>
    <xf borderId="1" fillId="12" fontId="1" numFmtId="169" xfId="0" applyAlignment="1" applyBorder="1" applyFont="1" applyNumberFormat="1">
      <alignment horizontal="center"/>
    </xf>
    <xf borderId="1" fillId="9" fontId="1" numFmtId="169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/>
    </xf>
    <xf borderId="1" fillId="9" fontId="1" numFmtId="169" xfId="0" applyAlignment="1" applyBorder="1" applyFont="1" applyNumberFormat="1">
      <alignment horizontal="center" readingOrder="0"/>
    </xf>
    <xf borderId="1" fillId="12" fontId="1" numFmtId="169" xfId="0" applyAlignment="1" applyBorder="1" applyFont="1" applyNumberFormat="1">
      <alignment horizontal="center" readingOrder="0"/>
    </xf>
    <xf borderId="1" fillId="0" fontId="1" numFmtId="169" xfId="0" applyAlignment="1" applyBorder="1" applyFont="1" applyNumberFormat="1">
      <alignment horizontal="center"/>
    </xf>
    <xf borderId="1" fillId="0" fontId="13" numFmtId="170" xfId="0" applyAlignment="1" applyBorder="1" applyFont="1" applyNumberFormat="1">
      <alignment horizontal="center" readingOrder="0"/>
    </xf>
    <xf borderId="0" fillId="0" fontId="1" numFmtId="169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RECIOS PERF ORIGI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4" displayName="Precios" name="Precios" id="1">
  <tableColumns count="4">
    <tableColumn name="Producto" id="1"/>
    <tableColumn name="Precio Original" id="2"/>
    <tableColumn name="Para el team (-25%)" id="3"/>
    <tableColumn name="Revendedores (-15%)" id="4"/>
  </tableColumns>
  <tableStyleInfo name="PRECIOS PERF ORIGI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18.gm/" TargetMode="External"/><Relationship Id="rId2" Type="http://schemas.openxmlformats.org/officeDocument/2006/relationships/hyperlink" Target="http://12.g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8.0"/>
    <col customWidth="1" min="3" max="3" width="15.63"/>
    <col customWidth="1" min="4" max="4" width="20.5"/>
    <col customWidth="1" min="5" max="5" width="15.75"/>
    <col customWidth="1" min="6" max="6" width="12.88"/>
    <col customWidth="1" min="9" max="9" width="11.0"/>
    <col customWidth="1" min="12" max="12" width="11.0"/>
  </cols>
  <sheetData>
    <row r="1">
      <c r="A1" s="1"/>
      <c r="B1" s="1"/>
      <c r="C1" s="1"/>
      <c r="D1" s="1"/>
      <c r="E1" s="1"/>
      <c r="F1" s="3" t="s">
        <v>1</v>
      </c>
      <c r="I1" s="4" t="s">
        <v>2</v>
      </c>
      <c r="L1" s="5" t="s">
        <v>3</v>
      </c>
      <c r="O1" s="1"/>
    </row>
    <row r="2">
      <c r="A2" s="1"/>
      <c r="B2" s="1"/>
      <c r="C2" s="1"/>
      <c r="D2" s="1"/>
      <c r="E2" s="1"/>
      <c r="O2" s="1"/>
    </row>
    <row r="3">
      <c r="A3" s="6" t="s">
        <v>5</v>
      </c>
      <c r="B3" s="6" t="s">
        <v>6</v>
      </c>
      <c r="C3" s="6" t="s">
        <v>7</v>
      </c>
      <c r="D3" s="6" t="s">
        <v>8</v>
      </c>
      <c r="E3" s="6" t="s">
        <v>10</v>
      </c>
      <c r="F3" s="7" t="s">
        <v>11</v>
      </c>
      <c r="G3" s="7" t="s">
        <v>5</v>
      </c>
      <c r="H3" s="7" t="s">
        <v>12</v>
      </c>
      <c r="I3" s="7" t="s">
        <v>11</v>
      </c>
      <c r="J3" s="7" t="s">
        <v>5</v>
      </c>
      <c r="K3" s="7" t="s">
        <v>12</v>
      </c>
      <c r="L3" s="7" t="s">
        <v>11</v>
      </c>
      <c r="M3" s="7" t="s">
        <v>5</v>
      </c>
      <c r="N3" s="9" t="s">
        <v>12</v>
      </c>
      <c r="O3" s="10" t="s">
        <v>17</v>
      </c>
    </row>
    <row r="4">
      <c r="A4" s="12">
        <v>46200.0</v>
      </c>
      <c r="B4" s="9" t="s">
        <v>20</v>
      </c>
      <c r="C4" s="9" t="s">
        <v>22</v>
      </c>
      <c r="D4" s="9" t="s">
        <v>23</v>
      </c>
      <c r="E4" s="13">
        <v>24.0</v>
      </c>
      <c r="F4" s="14">
        <v>7466.56</v>
      </c>
      <c r="G4" s="16">
        <v>46200.0</v>
      </c>
      <c r="H4" s="17">
        <v>5863.0</v>
      </c>
      <c r="I4" s="14">
        <v>7835.67</v>
      </c>
      <c r="J4" s="16">
        <v>46207.0</v>
      </c>
      <c r="K4" s="17">
        <v>9442.0</v>
      </c>
      <c r="L4" s="14"/>
      <c r="M4" s="20"/>
      <c r="N4" s="9"/>
      <c r="O4" s="21" t="s">
        <v>30</v>
      </c>
    </row>
    <row r="5">
      <c r="A5" s="22">
        <v>46200.0</v>
      </c>
      <c r="B5" s="9" t="s">
        <v>36</v>
      </c>
      <c r="C5" s="9" t="s">
        <v>22</v>
      </c>
      <c r="D5" s="9" t="s">
        <v>39</v>
      </c>
      <c r="E5" s="13">
        <v>42.0</v>
      </c>
      <c r="F5" s="14">
        <v>13066.48</v>
      </c>
      <c r="G5" s="20">
        <v>46200.0</v>
      </c>
      <c r="H5" s="17">
        <v>6585.0</v>
      </c>
      <c r="I5" s="14">
        <v>14903.56</v>
      </c>
      <c r="J5" s="20">
        <v>46214.0</v>
      </c>
      <c r="K5" s="17">
        <v>5675.0</v>
      </c>
      <c r="L5" s="23"/>
      <c r="M5" s="25"/>
      <c r="N5" s="25"/>
      <c r="O5" s="17" t="s">
        <v>30</v>
      </c>
    </row>
    <row r="6">
      <c r="A6" s="22">
        <v>46201.0</v>
      </c>
      <c r="B6" s="27" t="s">
        <v>47</v>
      </c>
      <c r="C6" s="27" t="s">
        <v>22</v>
      </c>
      <c r="D6" s="27" t="s">
        <v>50</v>
      </c>
      <c r="E6" s="28">
        <v>42.0</v>
      </c>
      <c r="F6" s="29">
        <v>13066.48</v>
      </c>
      <c r="G6" s="22">
        <v>46201.0</v>
      </c>
      <c r="H6" s="27">
        <v>5135.0</v>
      </c>
      <c r="I6" s="29" t="s">
        <v>53</v>
      </c>
      <c r="J6" s="22">
        <v>46235.0</v>
      </c>
      <c r="K6" s="27">
        <v>7366.0</v>
      </c>
      <c r="L6" s="31"/>
      <c r="M6" s="32"/>
      <c r="N6" s="32"/>
      <c r="O6" s="17" t="s">
        <v>30</v>
      </c>
    </row>
    <row r="7">
      <c r="A7" s="22">
        <v>46202.0</v>
      </c>
      <c r="B7" s="27" t="s">
        <v>58</v>
      </c>
      <c r="C7" s="27" t="s">
        <v>22</v>
      </c>
      <c r="D7" s="27" t="s">
        <v>59</v>
      </c>
      <c r="E7" s="28">
        <v>42.0</v>
      </c>
      <c r="F7" s="29">
        <v>11823.0</v>
      </c>
      <c r="G7" s="22">
        <v>46202.0</v>
      </c>
      <c r="H7" s="27">
        <v>9373.0</v>
      </c>
      <c r="I7" s="29">
        <v>8730.0</v>
      </c>
      <c r="J7" s="22">
        <v>46219.0</v>
      </c>
      <c r="K7" s="27">
        <v>1008.0</v>
      </c>
      <c r="L7" s="29" t="s">
        <v>63</v>
      </c>
      <c r="M7" s="22">
        <v>46239.0</v>
      </c>
      <c r="N7" s="27">
        <v>542.0</v>
      </c>
      <c r="O7" s="17" t="s">
        <v>30</v>
      </c>
    </row>
    <row r="8">
      <c r="A8" s="20">
        <v>46206.0</v>
      </c>
      <c r="B8" s="9" t="s">
        <v>66</v>
      </c>
      <c r="C8" s="9" t="s">
        <v>22</v>
      </c>
      <c r="D8" s="9" t="s">
        <v>68</v>
      </c>
      <c r="E8" s="13">
        <v>30.0</v>
      </c>
      <c r="F8" s="14">
        <v>9794.59</v>
      </c>
      <c r="G8" s="20">
        <v>46206.0</v>
      </c>
      <c r="H8" s="17">
        <v>8447.0</v>
      </c>
      <c r="I8" s="14">
        <v>10645.4</v>
      </c>
      <c r="J8" s="20">
        <v>46215.0</v>
      </c>
      <c r="K8" s="17">
        <v>4494.0</v>
      </c>
      <c r="L8" s="14"/>
      <c r="M8" s="20"/>
      <c r="N8" s="25"/>
      <c r="O8" s="17" t="s">
        <v>30</v>
      </c>
    </row>
    <row r="9">
      <c r="A9" s="20">
        <v>46207.0</v>
      </c>
      <c r="B9" s="9" t="s">
        <v>73</v>
      </c>
      <c r="C9" s="9" t="s">
        <v>22</v>
      </c>
      <c r="D9" s="9" t="s">
        <v>75</v>
      </c>
      <c r="E9" s="13">
        <v>22.0</v>
      </c>
      <c r="F9" s="14">
        <v>4580.0</v>
      </c>
      <c r="G9" s="20">
        <v>46207.0</v>
      </c>
      <c r="H9" s="17">
        <v>172.0</v>
      </c>
      <c r="I9" s="14">
        <v>5100.0</v>
      </c>
      <c r="J9" s="20">
        <v>46218.0</v>
      </c>
      <c r="K9" s="17">
        <v>2830.0</v>
      </c>
      <c r="L9" s="14" t="s">
        <v>77</v>
      </c>
      <c r="M9" s="20">
        <v>46231.0</v>
      </c>
      <c r="N9" s="17">
        <v>5001.0</v>
      </c>
      <c r="O9" s="17" t="s">
        <v>30</v>
      </c>
    </row>
    <row r="10">
      <c r="A10" s="22">
        <v>46207.0</v>
      </c>
      <c r="B10" s="9" t="s">
        <v>80</v>
      </c>
      <c r="C10" s="9" t="s">
        <v>22</v>
      </c>
      <c r="D10" s="9" t="s">
        <v>81</v>
      </c>
      <c r="E10" s="13">
        <v>30.0</v>
      </c>
      <c r="F10" s="14">
        <v>13341.0</v>
      </c>
      <c r="G10" s="20">
        <v>46207.0</v>
      </c>
      <c r="H10" s="17">
        <v>1469.0</v>
      </c>
      <c r="I10" s="14">
        <v>7420.0</v>
      </c>
      <c r="J10" s="20">
        <v>46228.0</v>
      </c>
      <c r="K10" s="17">
        <v>6675.0</v>
      </c>
      <c r="L10" s="23"/>
      <c r="M10" s="9" t="s">
        <v>84</v>
      </c>
      <c r="N10" s="25"/>
      <c r="O10" s="17" t="s">
        <v>30</v>
      </c>
    </row>
    <row r="11">
      <c r="A11" s="20">
        <v>46207.0</v>
      </c>
      <c r="B11" s="9" t="s">
        <v>87</v>
      </c>
      <c r="C11" s="9" t="s">
        <v>22</v>
      </c>
      <c r="D11" s="9" t="s">
        <v>88</v>
      </c>
      <c r="E11" s="13">
        <v>30.0</v>
      </c>
      <c r="F11" s="14">
        <v>9794.59</v>
      </c>
      <c r="G11" s="20">
        <v>46207.0</v>
      </c>
      <c r="H11" s="17">
        <v>9023.0</v>
      </c>
      <c r="I11" s="14">
        <v>11068.22</v>
      </c>
      <c r="J11" s="20">
        <v>46228.0</v>
      </c>
      <c r="K11" s="17">
        <v>2736.0</v>
      </c>
      <c r="L11" s="23"/>
      <c r="M11" s="9" t="s">
        <v>84</v>
      </c>
      <c r="N11" s="25"/>
      <c r="O11" s="17" t="s">
        <v>30</v>
      </c>
    </row>
    <row r="12">
      <c r="A12" s="20">
        <v>46214.0</v>
      </c>
      <c r="B12" s="9" t="s">
        <v>87</v>
      </c>
      <c r="C12" s="9" t="s">
        <v>22</v>
      </c>
      <c r="D12" s="9" t="s">
        <v>95</v>
      </c>
      <c r="E12" s="13">
        <v>35.0</v>
      </c>
      <c r="F12" s="14">
        <v>14193.87</v>
      </c>
      <c r="G12" s="20">
        <v>46214.0</v>
      </c>
      <c r="H12" s="17">
        <v>5460.0</v>
      </c>
      <c r="I12" s="14" t="s">
        <v>98</v>
      </c>
      <c r="J12" s="20">
        <v>46236.0</v>
      </c>
      <c r="K12" s="9">
        <v>2165.0</v>
      </c>
      <c r="L12" s="23"/>
      <c r="M12" s="25"/>
      <c r="N12" s="25"/>
      <c r="O12" s="40"/>
    </row>
    <row r="13">
      <c r="A13" s="20">
        <v>46215.0</v>
      </c>
      <c r="B13" s="9" t="s">
        <v>100</v>
      </c>
      <c r="C13" s="9" t="s">
        <v>22</v>
      </c>
      <c r="D13" s="9" t="s">
        <v>101</v>
      </c>
      <c r="E13" s="13">
        <v>24.0</v>
      </c>
      <c r="F13" s="14">
        <v>17000.0</v>
      </c>
      <c r="G13" s="20">
        <v>46215.0</v>
      </c>
      <c r="H13" s="17">
        <v>1911.0</v>
      </c>
      <c r="I13" s="23"/>
      <c r="J13" s="25"/>
      <c r="K13" s="25"/>
      <c r="L13" s="23"/>
      <c r="M13" s="25"/>
      <c r="N13" s="25"/>
      <c r="O13" s="17" t="s">
        <v>30</v>
      </c>
    </row>
    <row r="14">
      <c r="A14" s="41">
        <v>46218.0</v>
      </c>
      <c r="B14" s="9" t="s">
        <v>106</v>
      </c>
      <c r="C14" s="9" t="s">
        <v>22</v>
      </c>
      <c r="D14" s="9" t="s">
        <v>108</v>
      </c>
      <c r="E14" s="13">
        <v>30.0</v>
      </c>
      <c r="F14" s="14">
        <v>10886.21</v>
      </c>
      <c r="G14" s="20">
        <v>46218.0</v>
      </c>
      <c r="H14" s="17">
        <v>7099.0</v>
      </c>
      <c r="I14" s="23"/>
      <c r="J14" s="25"/>
      <c r="K14" s="25"/>
      <c r="L14" s="23"/>
      <c r="M14" s="25"/>
      <c r="N14" s="25"/>
      <c r="O14" s="40" t="s">
        <v>110</v>
      </c>
    </row>
    <row r="15">
      <c r="A15" s="22">
        <v>46219.0</v>
      </c>
      <c r="B15" s="9" t="s">
        <v>49</v>
      </c>
      <c r="C15" s="9" t="s">
        <v>22</v>
      </c>
      <c r="D15" s="9" t="s">
        <v>45</v>
      </c>
      <c r="E15" s="13">
        <v>30.0</v>
      </c>
      <c r="F15" s="14">
        <v>14549.02</v>
      </c>
      <c r="G15" s="20">
        <v>46219.0</v>
      </c>
      <c r="H15" s="17">
        <v>7014.0</v>
      </c>
      <c r="I15" s="14" t="s">
        <v>112</v>
      </c>
      <c r="J15" s="20">
        <v>46236.0</v>
      </c>
      <c r="K15" s="9">
        <v>9323.0</v>
      </c>
      <c r="L15" s="23"/>
      <c r="M15" s="25"/>
      <c r="N15" s="25"/>
      <c r="O15" s="40" t="s">
        <v>110</v>
      </c>
    </row>
    <row r="16">
      <c r="A16" s="20">
        <v>46220.0</v>
      </c>
      <c r="B16" s="9" t="s">
        <v>20</v>
      </c>
      <c r="C16" s="9" t="s">
        <v>22</v>
      </c>
      <c r="D16" s="9" t="s">
        <v>116</v>
      </c>
      <c r="E16" s="13">
        <v>34.0</v>
      </c>
      <c r="F16" s="14">
        <v>10645.4</v>
      </c>
      <c r="G16" s="20">
        <v>46213.0</v>
      </c>
      <c r="H16" s="17">
        <v>8770.0</v>
      </c>
      <c r="I16" s="14">
        <v>10987.18</v>
      </c>
      <c r="J16" s="20">
        <v>46220.0</v>
      </c>
      <c r="K16" s="17">
        <v>546.0</v>
      </c>
      <c r="L16" s="14">
        <v>2951.53</v>
      </c>
      <c r="M16" s="20">
        <v>46227.0</v>
      </c>
      <c r="N16" s="17">
        <v>9686.0</v>
      </c>
      <c r="O16" s="43" t="s">
        <v>30</v>
      </c>
    </row>
    <row r="17">
      <c r="A17" s="44">
        <v>46192.0</v>
      </c>
      <c r="B17" s="40" t="s">
        <v>123</v>
      </c>
      <c r="C17" s="40" t="s">
        <v>22</v>
      </c>
      <c r="D17" s="40" t="s">
        <v>124</v>
      </c>
      <c r="E17" s="45">
        <v>30.0</v>
      </c>
      <c r="F17" s="46"/>
      <c r="G17" s="47"/>
      <c r="H17" s="47"/>
      <c r="I17" s="46"/>
      <c r="J17" s="47"/>
      <c r="K17" s="47"/>
      <c r="L17" s="46"/>
      <c r="M17" s="47"/>
      <c r="N17" s="47"/>
      <c r="O17" s="48" t="s">
        <v>130</v>
      </c>
    </row>
    <row r="18">
      <c r="A18" s="44">
        <v>46199.0</v>
      </c>
      <c r="B18" s="40" t="s">
        <v>131</v>
      </c>
      <c r="C18" s="40" t="s">
        <v>132</v>
      </c>
      <c r="D18" s="40" t="s">
        <v>133</v>
      </c>
      <c r="E18" s="45">
        <v>24.0</v>
      </c>
      <c r="F18" s="49" t="s">
        <v>136</v>
      </c>
      <c r="G18" s="44">
        <v>46244.0</v>
      </c>
      <c r="H18" s="40">
        <v>4795.0</v>
      </c>
      <c r="I18" s="46"/>
      <c r="J18" s="47"/>
      <c r="K18" s="47"/>
      <c r="L18" s="46"/>
      <c r="M18" s="47"/>
      <c r="N18" s="47"/>
      <c r="O18" s="48"/>
    </row>
    <row r="19">
      <c r="A19" s="20">
        <v>46220.0</v>
      </c>
      <c r="B19" s="9" t="s">
        <v>140</v>
      </c>
      <c r="C19" s="9" t="s">
        <v>22</v>
      </c>
      <c r="D19" s="9">
        <v>360.0</v>
      </c>
      <c r="E19" s="50" t="s">
        <v>141</v>
      </c>
      <c r="F19" s="9" t="s">
        <v>144</v>
      </c>
      <c r="G19" s="20">
        <v>46236.0</v>
      </c>
      <c r="H19" s="25"/>
      <c r="I19" s="25"/>
      <c r="J19" s="25"/>
      <c r="K19" s="25"/>
      <c r="L19" s="25"/>
      <c r="M19" s="25"/>
      <c r="N19" s="25"/>
      <c r="O19" s="51"/>
    </row>
    <row r="20">
      <c r="A20" s="20">
        <v>46220.0</v>
      </c>
      <c r="B20" s="9" t="s">
        <v>140</v>
      </c>
      <c r="C20" s="9" t="s">
        <v>22</v>
      </c>
      <c r="D20" s="9" t="s">
        <v>149</v>
      </c>
      <c r="E20" s="52" t="s">
        <v>150</v>
      </c>
      <c r="F20" s="9" t="s">
        <v>153</v>
      </c>
      <c r="G20" s="20">
        <v>46236.0</v>
      </c>
      <c r="H20" s="25"/>
      <c r="I20" s="25"/>
      <c r="J20" s="25"/>
      <c r="K20" s="25"/>
      <c r="L20" s="25"/>
      <c r="M20" s="25"/>
      <c r="N20" s="25"/>
      <c r="O20" s="51"/>
    </row>
    <row r="21">
      <c r="A21" s="20">
        <v>46232.0</v>
      </c>
      <c r="B21" s="9" t="s">
        <v>87</v>
      </c>
      <c r="C21" s="9" t="s">
        <v>22</v>
      </c>
      <c r="D21" s="9" t="s">
        <v>155</v>
      </c>
      <c r="E21" s="9">
        <v>24.0</v>
      </c>
      <c r="F21" s="9" t="s">
        <v>156</v>
      </c>
      <c r="G21" s="20">
        <v>46231.0</v>
      </c>
      <c r="H21" s="17">
        <v>1826.0</v>
      </c>
      <c r="I21" s="9" t="s">
        <v>157</v>
      </c>
      <c r="J21" s="53">
        <v>46237.0</v>
      </c>
      <c r="K21" s="9">
        <v>5170.0</v>
      </c>
      <c r="L21" s="25"/>
      <c r="M21" s="25"/>
      <c r="N21" s="25"/>
      <c r="O21" s="51"/>
    </row>
    <row r="22">
      <c r="A22" s="20">
        <v>46232.0</v>
      </c>
      <c r="B22" s="9" t="s">
        <v>106</v>
      </c>
      <c r="C22" s="9" t="s">
        <v>22</v>
      </c>
      <c r="D22" s="9" t="s">
        <v>161</v>
      </c>
      <c r="E22" s="9">
        <v>24.0</v>
      </c>
      <c r="F22" s="25"/>
      <c r="G22" s="25"/>
      <c r="H22" s="25"/>
      <c r="I22" s="25"/>
      <c r="J22" s="25"/>
      <c r="K22" s="25"/>
      <c r="L22" s="25"/>
      <c r="M22" s="25"/>
      <c r="N22" s="25"/>
      <c r="O22" s="51"/>
    </row>
    <row r="23">
      <c r="A23" s="20">
        <v>46233.0</v>
      </c>
      <c r="B23" s="9" t="s">
        <v>73</v>
      </c>
      <c r="C23" s="9" t="s">
        <v>22</v>
      </c>
      <c r="D23" s="9" t="s">
        <v>165</v>
      </c>
      <c r="E23" s="9">
        <v>22.0</v>
      </c>
      <c r="F23" s="9" t="s">
        <v>166</v>
      </c>
      <c r="G23" s="20">
        <v>46250.0</v>
      </c>
      <c r="H23" s="9">
        <v>2265.0</v>
      </c>
      <c r="I23" s="25"/>
      <c r="J23" s="25"/>
      <c r="K23" s="25"/>
      <c r="L23" s="25"/>
      <c r="M23" s="25"/>
      <c r="N23" s="25"/>
      <c r="O23" s="51"/>
    </row>
    <row r="24">
      <c r="A24" s="20">
        <v>46236.0</v>
      </c>
      <c r="B24" s="9" t="s">
        <v>171</v>
      </c>
      <c r="C24" s="9" t="s">
        <v>22</v>
      </c>
      <c r="D24" s="9" t="s">
        <v>172</v>
      </c>
      <c r="E24" s="9">
        <v>22.0</v>
      </c>
      <c r="F24" s="9" t="s">
        <v>173</v>
      </c>
      <c r="G24" s="20">
        <v>46236.0</v>
      </c>
      <c r="H24" s="9">
        <v>1103.0</v>
      </c>
      <c r="I24" s="25"/>
      <c r="J24" s="25"/>
      <c r="K24" s="25"/>
      <c r="L24" s="25"/>
      <c r="M24" s="25"/>
      <c r="N24" s="25"/>
      <c r="O24" s="51"/>
    </row>
    <row r="25">
      <c r="A25" s="20">
        <v>46236.0</v>
      </c>
      <c r="B25" s="9" t="s">
        <v>176</v>
      </c>
      <c r="C25" s="9" t="s">
        <v>22</v>
      </c>
      <c r="D25" s="9" t="s">
        <v>177</v>
      </c>
      <c r="E25" s="9">
        <v>22.0</v>
      </c>
      <c r="F25" s="9" t="s">
        <v>178</v>
      </c>
      <c r="G25" s="20">
        <v>46236.0</v>
      </c>
      <c r="H25" s="9">
        <v>666.0</v>
      </c>
      <c r="I25" s="9" t="s">
        <v>180</v>
      </c>
      <c r="J25" s="20">
        <v>46249.0</v>
      </c>
      <c r="K25" s="9">
        <v>8343.0</v>
      </c>
      <c r="L25" s="25"/>
      <c r="M25" s="25"/>
      <c r="N25" s="25"/>
      <c r="O25" s="51"/>
    </row>
    <row r="26">
      <c r="A26" s="20">
        <v>46061.0</v>
      </c>
      <c r="B26" s="9" t="s">
        <v>58</v>
      </c>
      <c r="C26" s="9" t="s">
        <v>22</v>
      </c>
      <c r="D26" s="9" t="s">
        <v>165</v>
      </c>
      <c r="E26" s="9">
        <v>24.0</v>
      </c>
      <c r="F26" s="25"/>
      <c r="G26" s="25"/>
      <c r="H26" s="25"/>
      <c r="I26" s="25"/>
      <c r="J26" s="25"/>
      <c r="K26" s="25"/>
      <c r="L26" s="25"/>
      <c r="M26" s="25"/>
      <c r="N26" s="25"/>
      <c r="O26" s="51"/>
    </row>
    <row r="27">
      <c r="A27" s="20">
        <v>46061.0</v>
      </c>
      <c r="B27" s="9" t="s">
        <v>182</v>
      </c>
      <c r="C27" s="9" t="s">
        <v>22</v>
      </c>
      <c r="D27" s="9" t="s">
        <v>184</v>
      </c>
      <c r="E27" s="9">
        <v>24.0</v>
      </c>
      <c r="F27" s="25"/>
      <c r="G27" s="25"/>
      <c r="H27" s="25"/>
      <c r="I27" s="25"/>
      <c r="J27" s="25"/>
      <c r="K27" s="25"/>
      <c r="L27" s="25"/>
      <c r="M27" s="25"/>
      <c r="N27" s="25"/>
      <c r="O27" s="51"/>
    </row>
    <row r="28">
      <c r="A28" s="20">
        <v>46061.0</v>
      </c>
      <c r="B28" s="9" t="s">
        <v>187</v>
      </c>
      <c r="C28" s="9" t="s">
        <v>188</v>
      </c>
      <c r="D28" s="9" t="s">
        <v>189</v>
      </c>
      <c r="E28" s="52" t="s">
        <v>190</v>
      </c>
      <c r="F28" s="25"/>
      <c r="G28" s="25"/>
      <c r="H28" s="25"/>
      <c r="I28" s="9"/>
      <c r="J28" s="25"/>
      <c r="K28" s="25"/>
      <c r="L28" s="25"/>
      <c r="M28" s="25"/>
      <c r="N28" s="25"/>
      <c r="O28" s="51"/>
    </row>
    <row r="29">
      <c r="A29" s="20">
        <v>46061.0</v>
      </c>
      <c r="B29" s="9" t="s">
        <v>193</v>
      </c>
      <c r="C29" s="9" t="s">
        <v>132</v>
      </c>
      <c r="D29" s="9" t="s">
        <v>155</v>
      </c>
      <c r="E29" s="50" t="s">
        <v>194</v>
      </c>
      <c r="F29" s="25"/>
      <c r="G29" s="25"/>
      <c r="H29" s="25"/>
      <c r="I29" s="25"/>
      <c r="J29" s="25"/>
      <c r="K29" s="25"/>
      <c r="L29" s="25"/>
      <c r="M29" s="25"/>
      <c r="N29" s="25"/>
      <c r="O29" s="51"/>
    </row>
    <row r="30">
      <c r="A30" s="20">
        <v>46061.0</v>
      </c>
      <c r="B30" s="9" t="s">
        <v>196</v>
      </c>
      <c r="C30" s="9" t="s">
        <v>188</v>
      </c>
      <c r="D30" s="9" t="s">
        <v>197</v>
      </c>
      <c r="E30" s="9">
        <v>22.0</v>
      </c>
      <c r="F30" s="25"/>
      <c r="G30" s="25"/>
      <c r="H30" s="25"/>
      <c r="I30" s="25"/>
      <c r="J30" s="25"/>
      <c r="K30" s="25"/>
      <c r="L30" s="25"/>
      <c r="M30" s="25"/>
      <c r="N30" s="25"/>
      <c r="O30" s="51"/>
    </row>
    <row r="31">
      <c r="A31" s="20">
        <v>46061.0</v>
      </c>
      <c r="B31" s="9" t="s">
        <v>196</v>
      </c>
      <c r="C31" s="9" t="s">
        <v>188</v>
      </c>
      <c r="D31" s="9" t="s">
        <v>199</v>
      </c>
      <c r="E31" s="9">
        <v>22.0</v>
      </c>
      <c r="F31" s="25"/>
      <c r="G31" s="25"/>
      <c r="H31" s="25"/>
      <c r="I31" s="25"/>
      <c r="J31" s="25"/>
      <c r="K31" s="25"/>
      <c r="L31" s="25"/>
      <c r="M31" s="25"/>
      <c r="N31" s="25"/>
      <c r="O31" s="51"/>
    </row>
    <row r="32">
      <c r="A32" s="20">
        <v>46061.0</v>
      </c>
      <c r="B32" s="9" t="s">
        <v>202</v>
      </c>
      <c r="C32" s="9" t="s">
        <v>188</v>
      </c>
      <c r="D32" s="9" t="s">
        <v>203</v>
      </c>
      <c r="E32" s="9">
        <v>22.0</v>
      </c>
      <c r="F32" s="25"/>
      <c r="G32" s="25"/>
      <c r="H32" s="25"/>
      <c r="I32" s="25"/>
      <c r="J32" s="25"/>
      <c r="K32" s="25"/>
      <c r="L32" s="25"/>
      <c r="M32" s="25"/>
      <c r="N32" s="25"/>
      <c r="O32" s="51"/>
    </row>
    <row r="33">
      <c r="A33" s="20">
        <v>46061.0</v>
      </c>
      <c r="B33" s="9" t="s">
        <v>202</v>
      </c>
      <c r="C33" s="9" t="s">
        <v>188</v>
      </c>
      <c r="D33" s="9" t="s">
        <v>206</v>
      </c>
      <c r="E33" s="9">
        <v>22.0</v>
      </c>
      <c r="F33" s="25"/>
      <c r="G33" s="25"/>
      <c r="H33" s="25"/>
      <c r="I33" s="25"/>
      <c r="J33" s="25"/>
      <c r="K33" s="25"/>
      <c r="L33" s="25"/>
      <c r="M33" s="25"/>
      <c r="N33" s="25"/>
      <c r="O33" s="51"/>
    </row>
    <row r="34">
      <c r="A34" s="20">
        <v>46244.0</v>
      </c>
      <c r="B34" s="9" t="s">
        <v>210</v>
      </c>
      <c r="C34" s="9" t="s">
        <v>132</v>
      </c>
      <c r="D34" s="9" t="s">
        <v>211</v>
      </c>
      <c r="E34" s="9">
        <v>42.0</v>
      </c>
      <c r="F34" s="25"/>
      <c r="G34" s="25"/>
      <c r="H34" s="25"/>
      <c r="I34" s="25"/>
      <c r="J34" s="25"/>
      <c r="K34" s="25"/>
      <c r="L34" s="25"/>
      <c r="M34" s="25"/>
      <c r="N34" s="25"/>
      <c r="O34" s="51"/>
    </row>
    <row r="35">
      <c r="A35" s="20">
        <v>46245.0</v>
      </c>
      <c r="B35" s="9" t="s">
        <v>213</v>
      </c>
      <c r="C35" s="9" t="s">
        <v>22</v>
      </c>
      <c r="D35" s="9" t="s">
        <v>197</v>
      </c>
      <c r="E35" s="9">
        <v>24.0</v>
      </c>
      <c r="F35" s="9" t="s">
        <v>216</v>
      </c>
      <c r="G35" s="20">
        <v>46249.0</v>
      </c>
      <c r="H35" s="9">
        <v>7526.0</v>
      </c>
      <c r="I35" s="25"/>
      <c r="J35" s="25"/>
      <c r="K35" s="25"/>
      <c r="L35" s="25"/>
      <c r="M35" s="25"/>
      <c r="N35" s="1"/>
      <c r="O35" s="1"/>
    </row>
    <row r="36">
      <c r="A36" s="20">
        <v>46244.0</v>
      </c>
      <c r="B36" s="9" t="s">
        <v>218</v>
      </c>
      <c r="C36" s="9" t="s">
        <v>188</v>
      </c>
      <c r="D36" s="9" t="s">
        <v>219</v>
      </c>
      <c r="E36" s="9">
        <v>24.0</v>
      </c>
      <c r="F36" s="25"/>
      <c r="G36" s="25"/>
      <c r="H36" s="25"/>
      <c r="I36" s="25"/>
      <c r="J36" s="25"/>
      <c r="K36" s="25"/>
      <c r="L36" s="25"/>
      <c r="M36" s="25"/>
      <c r="N36" s="1"/>
      <c r="O36" s="1"/>
    </row>
    <row r="37">
      <c r="A37" s="20">
        <v>46244.0</v>
      </c>
      <c r="B37" s="9" t="s">
        <v>220</v>
      </c>
      <c r="C37" s="9" t="s">
        <v>188</v>
      </c>
      <c r="D37" s="9" t="s">
        <v>206</v>
      </c>
      <c r="E37" s="9">
        <v>31.0</v>
      </c>
      <c r="F37" s="25"/>
      <c r="G37" s="25"/>
      <c r="H37" s="25"/>
      <c r="I37" s="25"/>
      <c r="J37" s="25"/>
      <c r="K37" s="25"/>
      <c r="L37" s="25"/>
      <c r="M37" s="25"/>
      <c r="N37" s="1"/>
      <c r="O37" s="1"/>
    </row>
    <row r="38">
      <c r="A38" s="20">
        <v>46246.0</v>
      </c>
      <c r="B38" s="9" t="s">
        <v>221</v>
      </c>
      <c r="C38" s="9" t="s">
        <v>22</v>
      </c>
      <c r="D38" s="9" t="s">
        <v>223</v>
      </c>
      <c r="E38" s="9" t="s">
        <v>224</v>
      </c>
      <c r="F38" s="9" t="s">
        <v>225</v>
      </c>
      <c r="G38" s="20">
        <v>46246.0</v>
      </c>
      <c r="H38" s="9">
        <v>4657.0</v>
      </c>
      <c r="I38" s="25"/>
      <c r="J38" s="25"/>
      <c r="K38" s="25"/>
      <c r="L38" s="25"/>
      <c r="M38" s="25"/>
      <c r="N38" s="1"/>
      <c r="O38" s="1"/>
    </row>
    <row r="39">
      <c r="A39" s="20">
        <v>46247.0</v>
      </c>
      <c r="B39" s="9" t="s">
        <v>226</v>
      </c>
      <c r="C39" s="9" t="s">
        <v>22</v>
      </c>
      <c r="D39" s="9" t="s">
        <v>227</v>
      </c>
      <c r="E39" s="9">
        <v>70.0</v>
      </c>
      <c r="F39" s="25"/>
      <c r="G39" s="25"/>
      <c r="H39" s="25"/>
      <c r="I39" s="25"/>
      <c r="J39" s="25"/>
      <c r="K39" s="25"/>
      <c r="L39" s="25"/>
      <c r="M39" s="25"/>
      <c r="N39" s="1"/>
      <c r="O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63">
      <c r="A63" s="66"/>
      <c r="B63" s="67"/>
      <c r="C63" s="68"/>
      <c r="D63" s="6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69" t="s">
        <v>230</v>
      </c>
      <c r="B64" s="70">
        <f>SUM(F4:F72, I4:I72, L4:L72)</f>
        <v>229848.76</v>
      </c>
      <c r="C64" s="68">
        <v>260.0</v>
      </c>
      <c r="D64" s="68">
        <v>100.0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69" t="s">
        <v>233</v>
      </c>
      <c r="B65" s="71">
        <v>306.0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69" t="s">
        <v>235</v>
      </c>
      <c r="B66" s="72">
        <f>SUM(E4:E72)</f>
        <v>910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69" t="s">
        <v>237</v>
      </c>
      <c r="B67" s="73">
        <f>COUNTIF(O4:O18, "YA PAGO")</f>
        <v>10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74" t="s">
        <v>239</v>
      </c>
      <c r="B68" s="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74" t="s">
        <v>240</v>
      </c>
      <c r="B69" s="7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</sheetData>
  <mergeCells count="3">
    <mergeCell ref="F1:H2"/>
    <mergeCell ref="I1:K2"/>
    <mergeCell ref="L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7.5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27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28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51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54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57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62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67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70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72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79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89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91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93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105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107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109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2">
        <v>46242.0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115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117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120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122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127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129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134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137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139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143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147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148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4">
        <v>46244.0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162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164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164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169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169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169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169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179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179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181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4">
        <v>46185.0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183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185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191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192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192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195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195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195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198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200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201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204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2">
        <v>46246.0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209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212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217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7" width="15.88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8"/>
      <c r="C2" s="8" t="s">
        <v>14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9"/>
      <c r="C4" s="19" t="s">
        <v>15</v>
      </c>
      <c r="D4" s="19" t="s">
        <v>29</v>
      </c>
      <c r="E4" s="19" t="s">
        <v>31</v>
      </c>
      <c r="F4" s="19" t="s">
        <v>32</v>
      </c>
      <c r="G4" s="19" t="s">
        <v>33</v>
      </c>
      <c r="H4" s="19" t="s">
        <v>35</v>
      </c>
      <c r="I4" s="19" t="s">
        <v>37</v>
      </c>
      <c r="J4" s="19" t="s">
        <v>38</v>
      </c>
      <c r="K4" s="1"/>
      <c r="L4" s="19" t="s">
        <v>40</v>
      </c>
      <c r="M4" s="19" t="s">
        <v>41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24">
        <v>1.0</v>
      </c>
      <c r="C5" s="26" t="s">
        <v>45</v>
      </c>
      <c r="D5" s="26" t="s">
        <v>49</v>
      </c>
      <c r="E5" s="26" t="s">
        <v>22</v>
      </c>
      <c r="F5" s="30">
        <v>30.0</v>
      </c>
      <c r="G5" s="30">
        <v>13.0</v>
      </c>
      <c r="H5" s="33">
        <f t="shared" ref="H5:H19" si="1">F5-G5</f>
        <v>17</v>
      </c>
      <c r="I5" s="26" t="s">
        <v>61</v>
      </c>
      <c r="J5" s="30" t="str">
        <f t="shared" ref="J5:J18" si="2">IF(ISBLANK(C5), "", F5 - SUMIFS('REGISTRO DE CUOTAS '!F:F, 'REGISTRO DE CUOTAS '!D:D, D5, 'REGISTRO DE CUOTAS '!E:E, C5))</f>
        <v>#N/A</v>
      </c>
      <c r="K5" s="1"/>
      <c r="L5" s="34" t="s">
        <v>71</v>
      </c>
      <c r="M5" s="35">
        <f>SUM(F5:F997)</f>
        <v>1036.5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6">
        <v>2.0</v>
      </c>
      <c r="C6" s="37" t="s">
        <v>50</v>
      </c>
      <c r="D6" s="37" t="s">
        <v>47</v>
      </c>
      <c r="E6" s="37" t="s">
        <v>22</v>
      </c>
      <c r="F6" s="38">
        <v>42.0</v>
      </c>
      <c r="G6" s="38">
        <v>20.0</v>
      </c>
      <c r="H6" s="39">
        <f t="shared" si="1"/>
        <v>22</v>
      </c>
      <c r="I6" s="37" t="s">
        <v>61</v>
      </c>
      <c r="J6" s="38" t="str">
        <f t="shared" si="2"/>
        <v>#N/A</v>
      </c>
      <c r="K6" s="1"/>
      <c r="L6" s="34" t="s">
        <v>90</v>
      </c>
      <c r="M6" s="35">
        <f>SUM(G5:G997)</f>
        <v>632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24">
        <v>3.0</v>
      </c>
      <c r="C7" s="26" t="s">
        <v>94</v>
      </c>
      <c r="D7" s="26" t="s">
        <v>36</v>
      </c>
      <c r="E7" s="26" t="s">
        <v>22</v>
      </c>
      <c r="F7" s="30">
        <v>42.0</v>
      </c>
      <c r="G7" s="30">
        <v>20.0</v>
      </c>
      <c r="H7" s="33">
        <f t="shared" si="1"/>
        <v>22</v>
      </c>
      <c r="I7" s="26" t="s">
        <v>61</v>
      </c>
      <c r="J7" s="30" t="str">
        <f t="shared" si="2"/>
        <v>#N/A</v>
      </c>
      <c r="K7" s="1"/>
      <c r="L7" s="34" t="s">
        <v>102</v>
      </c>
      <c r="M7" s="35">
        <f>SUM(H5:H997)</f>
        <v>194.5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6">
        <v>4.0</v>
      </c>
      <c r="C8" s="37" t="s">
        <v>59</v>
      </c>
      <c r="D8" s="37" t="s">
        <v>58</v>
      </c>
      <c r="E8" s="37" t="s">
        <v>22</v>
      </c>
      <c r="F8" s="38">
        <v>42.0</v>
      </c>
      <c r="G8" s="38">
        <v>20.0</v>
      </c>
      <c r="H8" s="39">
        <f t="shared" si="1"/>
        <v>22</v>
      </c>
      <c r="I8" s="37" t="s">
        <v>61</v>
      </c>
      <c r="J8" s="38" t="str">
        <f t="shared" si="2"/>
        <v>#N/A</v>
      </c>
      <c r="K8" s="1"/>
      <c r="L8" s="34" t="s">
        <v>113</v>
      </c>
      <c r="M8" s="35" t="str">
        <f>SUM(J5:J997)</f>
        <v>#N/A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24">
        <v>5.0</v>
      </c>
      <c r="C9" s="26" t="s">
        <v>119</v>
      </c>
      <c r="D9" s="26" t="s">
        <v>106</v>
      </c>
      <c r="E9" s="26" t="s">
        <v>22</v>
      </c>
      <c r="F9" s="30">
        <v>30.0</v>
      </c>
      <c r="G9" s="30">
        <v>13.0</v>
      </c>
      <c r="H9" s="33">
        <f t="shared" si="1"/>
        <v>17</v>
      </c>
      <c r="I9" s="26" t="s">
        <v>61</v>
      </c>
      <c r="J9" s="30" t="str">
        <f t="shared" si="2"/>
        <v>#N/A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6">
        <v>6.0</v>
      </c>
      <c r="C10" s="37" t="s">
        <v>81</v>
      </c>
      <c r="D10" s="37" t="s">
        <v>80</v>
      </c>
      <c r="E10" s="37" t="s">
        <v>22</v>
      </c>
      <c r="F10" s="38">
        <v>30.0</v>
      </c>
      <c r="G10" s="38">
        <v>13.0</v>
      </c>
      <c r="H10" s="39">
        <f t="shared" si="1"/>
        <v>17</v>
      </c>
      <c r="I10" s="37" t="s">
        <v>61</v>
      </c>
      <c r="J10" s="38" t="str">
        <f t="shared" si="2"/>
        <v>#N/A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24">
        <v>7.0</v>
      </c>
      <c r="C11" s="26" t="s">
        <v>142</v>
      </c>
      <c r="D11" s="26" t="s">
        <v>145</v>
      </c>
      <c r="E11" s="26" t="s">
        <v>22</v>
      </c>
      <c r="F11" s="30">
        <v>24.0</v>
      </c>
      <c r="G11" s="30">
        <v>9.5</v>
      </c>
      <c r="H11" s="33">
        <f t="shared" si="1"/>
        <v>14.5</v>
      </c>
      <c r="I11" s="26" t="s">
        <v>61</v>
      </c>
      <c r="J11" s="30" t="str">
        <f t="shared" si="2"/>
        <v>#N/A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2">
        <v>8.0</v>
      </c>
      <c r="C12" s="9" t="s">
        <v>159</v>
      </c>
      <c r="D12" s="9" t="s">
        <v>87</v>
      </c>
      <c r="E12" s="9" t="s">
        <v>22</v>
      </c>
      <c r="F12" s="13">
        <v>35.0</v>
      </c>
      <c r="G12" s="13">
        <v>12.0</v>
      </c>
      <c r="H12" s="55">
        <f t="shared" si="1"/>
        <v>23</v>
      </c>
      <c r="I12" s="56" t="s">
        <v>61</v>
      </c>
      <c r="J12" s="57" t="str">
        <f t="shared" si="2"/>
        <v>#N/A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">
        <v>9.0</v>
      </c>
      <c r="C13" s="9" t="s">
        <v>167</v>
      </c>
      <c r="D13" s="9" t="s">
        <v>66</v>
      </c>
      <c r="E13" s="9" t="s">
        <v>22</v>
      </c>
      <c r="F13" s="13">
        <v>30.0</v>
      </c>
      <c r="G13" s="13">
        <v>12.0</v>
      </c>
      <c r="H13" s="55">
        <f t="shared" si="1"/>
        <v>18</v>
      </c>
      <c r="I13" s="56" t="s">
        <v>61</v>
      </c>
      <c r="J13" s="57" t="str">
        <f t="shared" si="2"/>
        <v>#N/A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/>
      <c r="C14" s="9" t="s">
        <v>174</v>
      </c>
      <c r="D14" s="9" t="s">
        <v>175</v>
      </c>
      <c r="E14" s="9" t="s">
        <v>22</v>
      </c>
      <c r="F14" s="13">
        <v>30.0</v>
      </c>
      <c r="G14" s="13">
        <v>17.0</v>
      </c>
      <c r="H14" s="55">
        <f t="shared" si="1"/>
        <v>13</v>
      </c>
      <c r="I14" s="56" t="s">
        <v>61</v>
      </c>
      <c r="J14" s="57" t="str">
        <f t="shared" si="2"/>
        <v>#N/A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"/>
      <c r="C15" s="9" t="s">
        <v>116</v>
      </c>
      <c r="D15" s="9" t="s">
        <v>20</v>
      </c>
      <c r="E15" s="9" t="s">
        <v>22</v>
      </c>
      <c r="F15" s="13">
        <v>34.0</v>
      </c>
      <c r="G15" s="13">
        <v>18.0</v>
      </c>
      <c r="H15" s="55">
        <f t="shared" si="1"/>
        <v>16</v>
      </c>
      <c r="I15" s="56" t="s">
        <v>61</v>
      </c>
      <c r="J15" s="57" t="str">
        <f t="shared" si="2"/>
        <v>#N/A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">
        <v>10.0</v>
      </c>
      <c r="C16" s="9" t="s">
        <v>186</v>
      </c>
      <c r="D16" s="9" t="s">
        <v>73</v>
      </c>
      <c r="E16" s="9" t="s">
        <v>22</v>
      </c>
      <c r="F16" s="13">
        <v>9.5</v>
      </c>
      <c r="G16" s="13">
        <v>22.0</v>
      </c>
      <c r="H16" s="55">
        <f t="shared" si="1"/>
        <v>-12.5</v>
      </c>
      <c r="I16" s="56" t="s">
        <v>61</v>
      </c>
      <c r="J16" s="57" t="str">
        <f t="shared" si="2"/>
        <v>#N/A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"/>
      <c r="C17" s="9" t="s">
        <v>88</v>
      </c>
      <c r="D17" s="9" t="s">
        <v>87</v>
      </c>
      <c r="E17" s="9" t="s">
        <v>22</v>
      </c>
      <c r="F17" s="13">
        <v>30.0</v>
      </c>
      <c r="G17" s="13">
        <v>51.0</v>
      </c>
      <c r="H17" s="55">
        <f t="shared" si="1"/>
        <v>-21</v>
      </c>
      <c r="I17" s="56" t="s">
        <v>61</v>
      </c>
      <c r="J17" s="57" t="str">
        <f t="shared" si="2"/>
        <v>#N/A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>
        <v>11.0</v>
      </c>
      <c r="C18" s="9" t="s">
        <v>133</v>
      </c>
      <c r="D18" s="9" t="s">
        <v>131</v>
      </c>
      <c r="E18" s="9" t="s">
        <v>132</v>
      </c>
      <c r="F18" s="13">
        <v>24.0</v>
      </c>
      <c r="G18" s="13">
        <v>12.0</v>
      </c>
      <c r="H18" s="55">
        <f t="shared" si="1"/>
        <v>12</v>
      </c>
      <c r="I18" s="56" t="s">
        <v>61</v>
      </c>
      <c r="J18" s="57" t="str">
        <f t="shared" si="2"/>
        <v>#N/A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">
        <v>12.0</v>
      </c>
      <c r="C19" s="9" t="s">
        <v>205</v>
      </c>
      <c r="D19" s="9" t="s">
        <v>207</v>
      </c>
      <c r="E19" s="9" t="s">
        <v>22</v>
      </c>
      <c r="F19" s="13">
        <v>24.0</v>
      </c>
      <c r="G19" s="13">
        <v>9.5</v>
      </c>
      <c r="H19" s="55">
        <f t="shared" si="1"/>
        <v>14.5</v>
      </c>
      <c r="I19" s="9"/>
      <c r="J19" s="5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">
        <v>13.0</v>
      </c>
      <c r="C20" s="9">
        <v>360.0</v>
      </c>
      <c r="D20" s="9" t="s">
        <v>140</v>
      </c>
      <c r="E20" s="9" t="s">
        <v>22</v>
      </c>
      <c r="F20" s="13">
        <v>12.0</v>
      </c>
      <c r="G20" s="13">
        <v>9.5</v>
      </c>
      <c r="H20" s="55"/>
      <c r="I20" s="9"/>
      <c r="J20" s="5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"/>
      <c r="C21" s="9" t="s">
        <v>149</v>
      </c>
      <c r="D21" s="9" t="s">
        <v>140</v>
      </c>
      <c r="E21" s="9" t="s">
        <v>22</v>
      </c>
      <c r="F21" s="13">
        <v>16.0</v>
      </c>
      <c r="G21" s="13">
        <v>13.0</v>
      </c>
      <c r="H21" s="55"/>
      <c r="I21" s="9"/>
      <c r="J21" s="5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"/>
      <c r="C22" s="9" t="s">
        <v>155</v>
      </c>
      <c r="D22" s="9" t="s">
        <v>87</v>
      </c>
      <c r="E22" s="9" t="s">
        <v>22</v>
      </c>
      <c r="F22" s="13">
        <v>24.0</v>
      </c>
      <c r="G22" s="13">
        <v>11.0</v>
      </c>
      <c r="H22" s="55"/>
      <c r="I22" s="9"/>
      <c r="J22" s="5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"/>
      <c r="C23" s="9" t="s">
        <v>161</v>
      </c>
      <c r="D23" s="9" t="s">
        <v>106</v>
      </c>
      <c r="E23" s="9" t="s">
        <v>22</v>
      </c>
      <c r="F23" s="13">
        <v>24.0</v>
      </c>
      <c r="G23" s="13">
        <v>9.5</v>
      </c>
      <c r="H23" s="55"/>
      <c r="I23" s="9"/>
      <c r="J23" s="5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"/>
      <c r="C24" s="9" t="s">
        <v>165</v>
      </c>
      <c r="D24" s="9" t="s">
        <v>73</v>
      </c>
      <c r="E24" s="9" t="s">
        <v>22</v>
      </c>
      <c r="F24" s="13">
        <v>22.0</v>
      </c>
      <c r="G24" s="13">
        <v>9.5</v>
      </c>
      <c r="H24" s="55"/>
      <c r="I24" s="9"/>
      <c r="J24" s="5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">
        <v>14.0</v>
      </c>
      <c r="C25" s="9" t="s">
        <v>172</v>
      </c>
      <c r="D25" s="9" t="s">
        <v>231</v>
      </c>
      <c r="E25" s="9" t="s">
        <v>22</v>
      </c>
      <c r="F25" s="13">
        <v>22.0</v>
      </c>
      <c r="G25" s="13">
        <v>9.5</v>
      </c>
      <c r="H25" s="55"/>
      <c r="I25" s="9"/>
      <c r="J25" s="5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">
        <v>15.0</v>
      </c>
      <c r="C26" s="9" t="s">
        <v>177</v>
      </c>
      <c r="D26" s="9" t="s">
        <v>176</v>
      </c>
      <c r="E26" s="9" t="s">
        <v>22</v>
      </c>
      <c r="F26" s="13">
        <v>22.0</v>
      </c>
      <c r="G26" s="13">
        <v>9.5</v>
      </c>
      <c r="H26" s="55"/>
      <c r="I26" s="9"/>
      <c r="J26" s="5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"/>
      <c r="C27" s="9" t="s">
        <v>165</v>
      </c>
      <c r="D27" s="9" t="s">
        <v>236</v>
      </c>
      <c r="E27" s="9" t="s">
        <v>22</v>
      </c>
      <c r="F27" s="13">
        <v>24.0</v>
      </c>
      <c r="G27" s="13">
        <v>12.0</v>
      </c>
      <c r="H27" s="55"/>
      <c r="I27" s="9"/>
      <c r="J27" s="5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>
        <v>16.0</v>
      </c>
      <c r="C28" s="9" t="s">
        <v>184</v>
      </c>
      <c r="D28" s="9" t="s">
        <v>182</v>
      </c>
      <c r="E28" s="9" t="s">
        <v>22</v>
      </c>
      <c r="F28" s="13">
        <v>24.0</v>
      </c>
      <c r="G28" s="13">
        <v>12.0</v>
      </c>
      <c r="H28" s="55"/>
      <c r="I28" s="9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"/>
      <c r="C29" s="9" t="s">
        <v>189</v>
      </c>
      <c r="D29" s="9" t="s">
        <v>187</v>
      </c>
      <c r="E29" s="9" t="s">
        <v>188</v>
      </c>
      <c r="F29" s="77" t="s">
        <v>242</v>
      </c>
      <c r="G29" s="13">
        <v>18.0</v>
      </c>
      <c r="H29" s="55"/>
      <c r="I29" s="9"/>
      <c r="J29" s="5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"/>
      <c r="C30" s="9" t="s">
        <v>155</v>
      </c>
      <c r="D30" s="9" t="s">
        <v>193</v>
      </c>
      <c r="E30" s="9" t="s">
        <v>132</v>
      </c>
      <c r="F30" s="77" t="s">
        <v>244</v>
      </c>
      <c r="G30" s="13">
        <v>12.0</v>
      </c>
      <c r="H30" s="55"/>
      <c r="I30" s="9"/>
      <c r="J30" s="5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">
        <v>17.0</v>
      </c>
      <c r="C31" s="9" t="s">
        <v>197</v>
      </c>
      <c r="D31" s="9" t="s">
        <v>196</v>
      </c>
      <c r="E31" s="9" t="s">
        <v>22</v>
      </c>
      <c r="F31" s="9">
        <v>22.0</v>
      </c>
      <c r="G31" s="9">
        <v>12.0</v>
      </c>
      <c r="H31" s="55"/>
      <c r="I31" s="9"/>
      <c r="J31" s="5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/>
      <c r="C32" s="9" t="s">
        <v>247</v>
      </c>
      <c r="D32" s="9" t="s">
        <v>196</v>
      </c>
      <c r="E32" s="9" t="s">
        <v>22</v>
      </c>
      <c r="F32" s="9">
        <v>22.0</v>
      </c>
      <c r="G32" s="9">
        <v>9.5</v>
      </c>
      <c r="H32" s="55"/>
      <c r="I32" s="9"/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">
        <v>18.0</v>
      </c>
      <c r="C33" s="9" t="s">
        <v>203</v>
      </c>
      <c r="D33" s="9" t="s">
        <v>202</v>
      </c>
      <c r="E33" s="9" t="s">
        <v>188</v>
      </c>
      <c r="F33" s="9">
        <v>22.0</v>
      </c>
      <c r="G33" s="9">
        <v>12.0</v>
      </c>
      <c r="H33" s="55"/>
      <c r="I33" s="9"/>
      <c r="J33" s="5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"/>
      <c r="C34" s="9" t="s">
        <v>206</v>
      </c>
      <c r="D34" s="9" t="s">
        <v>202</v>
      </c>
      <c r="E34" s="9" t="s">
        <v>188</v>
      </c>
      <c r="F34" s="9">
        <v>22.0</v>
      </c>
      <c r="G34" s="9">
        <v>15.0</v>
      </c>
      <c r="H34" s="55"/>
      <c r="I34" s="9"/>
      <c r="J34" s="5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">
        <v>19.0</v>
      </c>
      <c r="C35" s="2" t="s">
        <v>211</v>
      </c>
      <c r="D35" s="2" t="s">
        <v>210</v>
      </c>
      <c r="E35" s="2" t="s">
        <v>132</v>
      </c>
      <c r="F35" s="78">
        <v>42.0</v>
      </c>
      <c r="G35" s="78">
        <v>20.0</v>
      </c>
      <c r="H35" s="79"/>
      <c r="I35" s="1"/>
      <c r="J35" s="7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">
        <v>20.0</v>
      </c>
      <c r="C36" s="2" t="s">
        <v>197</v>
      </c>
      <c r="D36" s="2" t="s">
        <v>213</v>
      </c>
      <c r="E36" s="2" t="s">
        <v>252</v>
      </c>
      <c r="F36" s="78">
        <v>24.0</v>
      </c>
      <c r="G36" s="78">
        <v>12.0</v>
      </c>
      <c r="H36" s="79"/>
      <c r="I36" s="1"/>
      <c r="J36" s="7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" t="s">
        <v>219</v>
      </c>
      <c r="D37" s="2" t="s">
        <v>218</v>
      </c>
      <c r="E37" s="2" t="s">
        <v>187</v>
      </c>
      <c r="F37" s="78">
        <v>24.0</v>
      </c>
      <c r="G37" s="78">
        <v>12.0</v>
      </c>
      <c r="H37" s="79"/>
      <c r="I37" s="1"/>
      <c r="J37" s="7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2">
        <v>21.0</v>
      </c>
      <c r="C38" s="2" t="s">
        <v>206</v>
      </c>
      <c r="D38" s="2" t="s">
        <v>220</v>
      </c>
      <c r="E38" s="2" t="s">
        <v>187</v>
      </c>
      <c r="F38" s="78">
        <v>32.0</v>
      </c>
      <c r="G38" s="78">
        <v>15.0</v>
      </c>
      <c r="H38" s="79"/>
      <c r="I38" s="1"/>
      <c r="J38" s="7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" t="s">
        <v>223</v>
      </c>
      <c r="D39" s="2" t="s">
        <v>221</v>
      </c>
      <c r="E39" s="2" t="s">
        <v>252</v>
      </c>
      <c r="F39" s="78" t="s">
        <v>224</v>
      </c>
      <c r="G39" s="78">
        <v>15.0</v>
      </c>
      <c r="H39" s="79"/>
      <c r="I39" s="1"/>
      <c r="J39" s="7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" t="s">
        <v>227</v>
      </c>
      <c r="D40" s="2" t="s">
        <v>226</v>
      </c>
      <c r="E40" s="2" t="s">
        <v>252</v>
      </c>
      <c r="F40" s="78">
        <v>70.0</v>
      </c>
      <c r="G40" s="78">
        <v>50.0</v>
      </c>
      <c r="H40" s="79"/>
      <c r="I40" s="1"/>
      <c r="J40" s="7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" t="s">
        <v>165</v>
      </c>
      <c r="D41" s="2" t="s">
        <v>256</v>
      </c>
      <c r="E41" s="2" t="s">
        <v>252</v>
      </c>
      <c r="F41" s="78" t="s">
        <v>257</v>
      </c>
      <c r="G41" s="78">
        <v>13.0</v>
      </c>
      <c r="H41" s="79"/>
      <c r="I41" s="1"/>
      <c r="J41" s="7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>
        <v>22.0</v>
      </c>
      <c r="C42" s="2" t="s">
        <v>172</v>
      </c>
      <c r="D42" s="2" t="s">
        <v>258</v>
      </c>
      <c r="E42" s="2" t="s">
        <v>188</v>
      </c>
      <c r="F42" s="78">
        <v>22.0</v>
      </c>
      <c r="G42" s="78">
        <v>11.0</v>
      </c>
      <c r="H42" s="79"/>
      <c r="I42" s="1"/>
      <c r="J42" s="7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" t="s">
        <v>197</v>
      </c>
      <c r="D43" s="2" t="s">
        <v>258</v>
      </c>
      <c r="E43" s="2" t="s">
        <v>188</v>
      </c>
      <c r="F43" s="78">
        <v>22.0</v>
      </c>
      <c r="G43" s="78">
        <v>13.0</v>
      </c>
      <c r="H43" s="79"/>
      <c r="I43" s="1"/>
      <c r="J43" s="7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2">
        <v>23.0</v>
      </c>
      <c r="C44" s="2" t="s">
        <v>261</v>
      </c>
      <c r="D44" s="2" t="s">
        <v>262</v>
      </c>
      <c r="E44" s="2" t="s">
        <v>188</v>
      </c>
      <c r="F44" s="78">
        <v>22.0</v>
      </c>
      <c r="G44" s="78">
        <v>12.0</v>
      </c>
      <c r="H44" s="79"/>
      <c r="I44" s="1"/>
      <c r="J44" s="7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">
        <v>24.0</v>
      </c>
      <c r="C45" s="2" t="s">
        <v>264</v>
      </c>
      <c r="D45" s="2" t="s">
        <v>265</v>
      </c>
      <c r="E45" s="2" t="s">
        <v>188</v>
      </c>
      <c r="F45" s="78">
        <v>22.0</v>
      </c>
      <c r="G45" s="78">
        <v>10.0</v>
      </c>
      <c r="H45" s="79"/>
      <c r="I45" s="1"/>
      <c r="J45" s="7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" t="s">
        <v>165</v>
      </c>
      <c r="D46" s="2" t="s">
        <v>265</v>
      </c>
      <c r="E46" s="2" t="s">
        <v>188</v>
      </c>
      <c r="F46" s="78">
        <v>22.0</v>
      </c>
      <c r="G46" s="78">
        <v>13.0</v>
      </c>
      <c r="H46" s="79"/>
      <c r="I46" s="1"/>
      <c r="J46" s="7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79"/>
      <c r="G47" s="79"/>
      <c r="H47" s="79"/>
      <c r="I47" s="1"/>
      <c r="J47" s="7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79"/>
      <c r="G48" s="79"/>
      <c r="H48" s="79"/>
      <c r="I48" s="1"/>
      <c r="J48" s="7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79"/>
      <c r="G49" s="79"/>
      <c r="H49" s="79"/>
      <c r="I49" s="1"/>
      <c r="J49" s="7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autoFilter ref="$C$4:$J$46"/>
  <mergeCells count="1">
    <mergeCell ref="C2:J2"/>
  </mergeCells>
  <hyperlinks>
    <hyperlink r:id="rId1" ref="F29"/>
    <hyperlink r:id="rId2" ref="F3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2.5"/>
    <col customWidth="1" min="3" max="4" width="26.5"/>
  </cols>
  <sheetData>
    <row r="1" ht="22.5" customHeight="1">
      <c r="A1" s="11" t="s">
        <v>15</v>
      </c>
      <c r="B1" s="11" t="s">
        <v>18</v>
      </c>
      <c r="C1" s="11" t="s">
        <v>21</v>
      </c>
      <c r="D1" s="11" t="s">
        <v>24</v>
      </c>
    </row>
    <row r="2" ht="22.5" customHeight="1">
      <c r="A2" s="15" t="s">
        <v>26</v>
      </c>
      <c r="B2" s="18">
        <v>50.0</v>
      </c>
      <c r="C2" s="18">
        <v>37.5</v>
      </c>
      <c r="D2" s="18">
        <v>42.5</v>
      </c>
    </row>
    <row r="3" ht="22.5" customHeight="1">
      <c r="A3" s="15" t="s">
        <v>34</v>
      </c>
      <c r="B3" s="18">
        <v>50.0</v>
      </c>
      <c r="C3" s="18">
        <v>37.5</v>
      </c>
      <c r="D3" s="18">
        <v>42.5</v>
      </c>
    </row>
    <row r="4" ht="22.5" customHeight="1">
      <c r="A4" s="15" t="s">
        <v>42</v>
      </c>
      <c r="B4" s="18">
        <v>50.0</v>
      </c>
      <c r="C4" s="18">
        <v>37.5</v>
      </c>
      <c r="D4" s="18">
        <v>42.5</v>
      </c>
    </row>
    <row r="5" ht="22.5" customHeight="1">
      <c r="A5" s="15" t="s">
        <v>46</v>
      </c>
      <c r="B5" s="18">
        <v>50.0</v>
      </c>
      <c r="C5" s="18">
        <v>37.5</v>
      </c>
      <c r="D5" s="18">
        <v>42.5</v>
      </c>
    </row>
    <row r="6" ht="22.5" customHeight="1">
      <c r="A6" s="15" t="s">
        <v>52</v>
      </c>
      <c r="B6" s="18">
        <v>50.0</v>
      </c>
      <c r="C6" s="18">
        <v>37.5</v>
      </c>
      <c r="D6" s="18">
        <v>42.5</v>
      </c>
    </row>
    <row r="7" ht="22.5" customHeight="1">
      <c r="A7" s="15" t="s">
        <v>55</v>
      </c>
      <c r="B7" s="18">
        <v>67.0</v>
      </c>
      <c r="C7" s="18">
        <v>50.25</v>
      </c>
      <c r="D7" s="18">
        <v>56.95</v>
      </c>
    </row>
    <row r="8" ht="22.5" customHeight="1">
      <c r="A8" s="15" t="s">
        <v>60</v>
      </c>
      <c r="B8" s="18">
        <v>120.0</v>
      </c>
      <c r="C8" s="18">
        <v>90.0</v>
      </c>
      <c r="D8" s="18">
        <v>102.0</v>
      </c>
    </row>
    <row r="9" ht="22.5" customHeight="1">
      <c r="A9" s="15" t="s">
        <v>65</v>
      </c>
      <c r="B9" s="18">
        <v>93.0</v>
      </c>
      <c r="C9" s="18">
        <v>69.75</v>
      </c>
      <c r="D9" s="18">
        <v>79.05</v>
      </c>
    </row>
    <row r="10" ht="22.5" customHeight="1">
      <c r="A10" s="15" t="s">
        <v>69</v>
      </c>
      <c r="B10" s="18">
        <v>68.0</v>
      </c>
      <c r="C10" s="18">
        <v>51.0</v>
      </c>
      <c r="D10" s="18">
        <v>57.8</v>
      </c>
    </row>
    <row r="11" ht="22.5" customHeight="1">
      <c r="A11" s="15" t="s">
        <v>74</v>
      </c>
      <c r="B11" s="18">
        <v>75.0</v>
      </c>
      <c r="C11" s="18">
        <v>56.25</v>
      </c>
      <c r="D11" s="18">
        <v>63.75</v>
      </c>
    </row>
    <row r="12" ht="22.5" customHeight="1">
      <c r="A12" s="15" t="s">
        <v>78</v>
      </c>
      <c r="B12" s="18">
        <v>66.0</v>
      </c>
      <c r="C12" s="18">
        <v>49.5</v>
      </c>
      <c r="D12" s="18">
        <v>56.1</v>
      </c>
    </row>
    <row r="13" ht="22.5" customHeight="1">
      <c r="A13" s="15" t="s">
        <v>82</v>
      </c>
      <c r="B13" s="18">
        <v>72.0</v>
      </c>
      <c r="C13" s="18">
        <v>54.0</v>
      </c>
      <c r="D13" s="18">
        <v>61.2</v>
      </c>
    </row>
    <row r="14" ht="22.5" customHeight="1">
      <c r="A14" s="15" t="s">
        <v>86</v>
      </c>
      <c r="B14" s="18">
        <v>32.0</v>
      </c>
      <c r="C14" s="18">
        <v>24.0</v>
      </c>
      <c r="D14" s="18">
        <v>27.2</v>
      </c>
    </row>
    <row r="15" ht="22.5" customHeight="1">
      <c r="A15" s="15" t="s">
        <v>92</v>
      </c>
      <c r="B15" s="18">
        <v>43.0</v>
      </c>
      <c r="C15" s="18">
        <v>32.25</v>
      </c>
      <c r="D15" s="18">
        <v>36.55</v>
      </c>
    </row>
    <row r="16" ht="22.5" customHeight="1">
      <c r="A16" s="15" t="s">
        <v>96</v>
      </c>
      <c r="B16" s="18">
        <v>45.0</v>
      </c>
      <c r="C16" s="18">
        <v>33.75</v>
      </c>
      <c r="D16" s="18">
        <v>38.25</v>
      </c>
    </row>
    <row r="17" ht="22.5" customHeight="1">
      <c r="A17" s="15" t="s">
        <v>99</v>
      </c>
      <c r="B17" s="18">
        <v>30.0</v>
      </c>
      <c r="C17" s="18">
        <v>22.5</v>
      </c>
      <c r="D17" s="18">
        <v>25.5</v>
      </c>
    </row>
    <row r="18" ht="22.5" customHeight="1">
      <c r="A18" s="15" t="s">
        <v>104</v>
      </c>
      <c r="B18" s="18">
        <v>45.0</v>
      </c>
      <c r="C18" s="18">
        <v>33.75</v>
      </c>
      <c r="D18" s="18">
        <v>38.25</v>
      </c>
    </row>
    <row r="19" ht="22.5" customHeight="1">
      <c r="A19" s="15" t="s">
        <v>50</v>
      </c>
      <c r="B19" s="18">
        <v>119.0</v>
      </c>
      <c r="C19" s="18">
        <v>89.25</v>
      </c>
      <c r="D19" s="18">
        <v>101.15</v>
      </c>
    </row>
    <row r="20" ht="22.5" customHeight="1">
      <c r="A20" s="15" t="s">
        <v>111</v>
      </c>
      <c r="B20" s="18">
        <v>119.0</v>
      </c>
      <c r="C20" s="18">
        <v>89.25</v>
      </c>
      <c r="D20" s="18">
        <v>101.15</v>
      </c>
    </row>
    <row r="21" ht="22.5" customHeight="1">
      <c r="A21" s="15" t="s">
        <v>114</v>
      </c>
      <c r="B21" s="18">
        <v>56.0</v>
      </c>
      <c r="C21" s="18">
        <v>42.0</v>
      </c>
      <c r="D21" s="18">
        <v>47.6</v>
      </c>
    </row>
    <row r="22" ht="22.5" customHeight="1">
      <c r="A22" s="15" t="s">
        <v>118</v>
      </c>
      <c r="B22" s="18">
        <v>56.0</v>
      </c>
      <c r="C22" s="18">
        <v>42.0</v>
      </c>
      <c r="D22" s="18">
        <v>47.6</v>
      </c>
    </row>
    <row r="23" ht="22.5" customHeight="1">
      <c r="A23" s="15" t="s">
        <v>121</v>
      </c>
      <c r="B23" s="18">
        <v>56.0</v>
      </c>
      <c r="C23" s="18">
        <v>42.0</v>
      </c>
      <c r="D23" s="18">
        <v>47.6</v>
      </c>
    </row>
    <row r="24" ht="22.5" customHeight="1">
      <c r="A24" s="15" t="s">
        <v>126</v>
      </c>
      <c r="B24" s="18">
        <v>56.0</v>
      </c>
      <c r="C24" s="18">
        <v>42.0</v>
      </c>
      <c r="D24" s="18">
        <v>47.6</v>
      </c>
    </row>
    <row r="25" ht="22.5" customHeight="1">
      <c r="A25" s="15" t="s">
        <v>128</v>
      </c>
      <c r="B25" s="18">
        <v>110.0</v>
      </c>
      <c r="C25" s="18">
        <v>82.5</v>
      </c>
      <c r="D25" s="18">
        <v>93.5</v>
      </c>
    </row>
    <row r="26" ht="22.5" customHeight="1">
      <c r="A26" s="15" t="s">
        <v>135</v>
      </c>
      <c r="B26" s="18">
        <v>77.0</v>
      </c>
      <c r="C26" s="18">
        <v>57.75</v>
      </c>
      <c r="D26" s="18">
        <v>65.45</v>
      </c>
    </row>
    <row r="27" ht="22.5" customHeight="1">
      <c r="A27" s="15" t="s">
        <v>138</v>
      </c>
      <c r="B27" s="18">
        <v>45.0</v>
      </c>
      <c r="C27" s="18">
        <v>33.75</v>
      </c>
      <c r="D27" s="18">
        <v>38.25</v>
      </c>
    </row>
    <row r="28" ht="22.5" customHeight="1">
      <c r="A28" s="15" t="s">
        <v>146</v>
      </c>
      <c r="B28" s="18">
        <v>45.0</v>
      </c>
      <c r="C28" s="18">
        <v>33.75</v>
      </c>
      <c r="D28" s="18">
        <v>38.25</v>
      </c>
    </row>
    <row r="29" ht="22.5" customHeight="1">
      <c r="A29" s="15" t="s">
        <v>151</v>
      </c>
      <c r="B29" s="18">
        <v>45.0</v>
      </c>
      <c r="C29" s="18">
        <v>33.75</v>
      </c>
      <c r="D29" s="18">
        <v>38.25</v>
      </c>
    </row>
    <row r="30" ht="22.5" customHeight="1">
      <c r="A30" s="15" t="s">
        <v>158</v>
      </c>
      <c r="B30" s="18">
        <v>124.0</v>
      </c>
      <c r="C30" s="18">
        <v>93.0</v>
      </c>
      <c r="D30" s="18">
        <v>105.4</v>
      </c>
    </row>
    <row r="31" ht="22.5" customHeight="1">
      <c r="A31" s="15" t="s">
        <v>160</v>
      </c>
      <c r="B31" s="18">
        <v>114.0</v>
      </c>
      <c r="C31" s="18">
        <v>85.5</v>
      </c>
      <c r="D31" s="18">
        <v>96.9</v>
      </c>
    </row>
    <row r="32" ht="22.5" customHeight="1">
      <c r="A32" s="15" t="s">
        <v>163</v>
      </c>
      <c r="B32" s="18">
        <v>98.0</v>
      </c>
      <c r="C32" s="18">
        <v>73.5</v>
      </c>
      <c r="D32" s="18">
        <v>83.3</v>
      </c>
    </row>
    <row r="33" ht="22.5" customHeight="1">
      <c r="A33" s="15" t="s">
        <v>168</v>
      </c>
      <c r="B33" s="18">
        <v>59.0</v>
      </c>
      <c r="C33" s="18">
        <v>44.25</v>
      </c>
      <c r="D33" s="18">
        <v>50.15</v>
      </c>
    </row>
    <row r="34" ht="22.5" customHeight="1">
      <c r="A34" s="15" t="s">
        <v>170</v>
      </c>
      <c r="B34" s="18">
        <v>61.0</v>
      </c>
      <c r="C34" s="18">
        <v>45.75</v>
      </c>
      <c r="D34" s="18">
        <v>51.85</v>
      </c>
    </row>
  </sheetData>
  <dataValidations>
    <dataValidation type="custom" allowBlank="1" showDropDown="1" sqref="B2:D3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4.63"/>
    <col customWidth="1" min="3" max="3" width="29.5"/>
    <col customWidth="1" min="4" max="26" width="24.63"/>
  </cols>
  <sheetData>
    <row r="1">
      <c r="A1" s="58" t="s">
        <v>208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9" t="s">
        <v>15</v>
      </c>
      <c r="B3" s="59" t="s">
        <v>33</v>
      </c>
      <c r="C3" s="59" t="s">
        <v>214</v>
      </c>
      <c r="D3" s="59" t="s">
        <v>215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0" t="s">
        <v>68</v>
      </c>
      <c r="B4" s="61">
        <v>12.0</v>
      </c>
      <c r="C4" s="61">
        <f t="shared" ref="C4:C107" si="1">B4 * 1.7</f>
        <v>20.4</v>
      </c>
      <c r="D4" s="62">
        <f t="shared" ref="D4:D107" si="2">B4 * 2.2</f>
        <v>26.4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3" t="s">
        <v>222</v>
      </c>
      <c r="B5" s="64">
        <v>9.5</v>
      </c>
      <c r="C5" s="64">
        <f t="shared" si="1"/>
        <v>16.15</v>
      </c>
      <c r="D5" s="65">
        <f t="shared" si="2"/>
        <v>20.9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0" t="s">
        <v>228</v>
      </c>
      <c r="B6" s="61">
        <v>15.0</v>
      </c>
      <c r="C6" s="61">
        <f t="shared" si="1"/>
        <v>25.5</v>
      </c>
      <c r="D6" s="62">
        <f t="shared" si="2"/>
        <v>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3" t="s">
        <v>229</v>
      </c>
      <c r="B7" s="64">
        <v>9.5</v>
      </c>
      <c r="C7" s="64">
        <f t="shared" si="1"/>
        <v>16.15</v>
      </c>
      <c r="D7" s="65">
        <f t="shared" si="2"/>
        <v>20.9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0">
        <v>360.0</v>
      </c>
      <c r="B8" s="61">
        <v>9.5</v>
      </c>
      <c r="C8" s="61">
        <f t="shared" si="1"/>
        <v>16.15</v>
      </c>
      <c r="D8" s="62">
        <f t="shared" si="2"/>
        <v>20.9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3" t="s">
        <v>232</v>
      </c>
      <c r="B9" s="64">
        <v>9.5</v>
      </c>
      <c r="C9" s="64">
        <f t="shared" si="1"/>
        <v>16.15</v>
      </c>
      <c r="D9" s="65">
        <f t="shared" si="2"/>
        <v>20.9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0" t="s">
        <v>234</v>
      </c>
      <c r="B10" s="61">
        <v>9.5</v>
      </c>
      <c r="C10" s="61">
        <f t="shared" si="1"/>
        <v>16.15</v>
      </c>
      <c r="D10" s="62">
        <f t="shared" si="2"/>
        <v>20.9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3" t="s">
        <v>238</v>
      </c>
      <c r="B11" s="64">
        <v>9.5</v>
      </c>
      <c r="C11" s="64">
        <f t="shared" si="1"/>
        <v>16.15</v>
      </c>
      <c r="D11" s="65">
        <f t="shared" si="2"/>
        <v>20.9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0" t="s">
        <v>241</v>
      </c>
      <c r="B12" s="61">
        <v>9.5</v>
      </c>
      <c r="C12" s="61">
        <f t="shared" si="1"/>
        <v>16.15</v>
      </c>
      <c r="D12" s="62">
        <f t="shared" si="2"/>
        <v>20.9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3" t="s">
        <v>243</v>
      </c>
      <c r="B13" s="64">
        <v>9.5</v>
      </c>
      <c r="C13" s="64">
        <f t="shared" si="1"/>
        <v>16.15</v>
      </c>
      <c r="D13" s="65">
        <f t="shared" si="2"/>
        <v>20.9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0" t="s">
        <v>245</v>
      </c>
      <c r="B14" s="61">
        <v>9.5</v>
      </c>
      <c r="C14" s="61">
        <f t="shared" si="1"/>
        <v>16.15</v>
      </c>
      <c r="D14" s="62">
        <f t="shared" si="2"/>
        <v>20.9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3" t="s">
        <v>246</v>
      </c>
      <c r="B15" s="64">
        <v>9.5</v>
      </c>
      <c r="C15" s="64">
        <f t="shared" si="1"/>
        <v>16.15</v>
      </c>
      <c r="D15" s="65">
        <f t="shared" si="2"/>
        <v>20.9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0" t="s">
        <v>159</v>
      </c>
      <c r="B16" s="61">
        <v>17.0</v>
      </c>
      <c r="C16" s="61">
        <f t="shared" si="1"/>
        <v>28.9</v>
      </c>
      <c r="D16" s="62">
        <f t="shared" si="2"/>
        <v>37.4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3" t="s">
        <v>248</v>
      </c>
      <c r="B17" s="64">
        <v>20.0</v>
      </c>
      <c r="C17" s="64">
        <f t="shared" si="1"/>
        <v>34</v>
      </c>
      <c r="D17" s="65">
        <f t="shared" si="2"/>
        <v>44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0" t="s">
        <v>59</v>
      </c>
      <c r="B18" s="61">
        <v>20.0</v>
      </c>
      <c r="C18" s="61">
        <f t="shared" si="1"/>
        <v>34</v>
      </c>
      <c r="D18" s="62">
        <f t="shared" si="2"/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3" t="s">
        <v>249</v>
      </c>
      <c r="B19" s="64">
        <v>15.0</v>
      </c>
      <c r="C19" s="64">
        <f t="shared" si="1"/>
        <v>25.5</v>
      </c>
      <c r="D19" s="65">
        <f t="shared" si="2"/>
        <v>33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0" t="s">
        <v>250</v>
      </c>
      <c r="B20" s="61">
        <v>12.0</v>
      </c>
      <c r="C20" s="61">
        <f t="shared" si="1"/>
        <v>20.4</v>
      </c>
      <c r="D20" s="62">
        <f t="shared" si="2"/>
        <v>26.4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3" t="s">
        <v>251</v>
      </c>
      <c r="B21" s="64">
        <v>12.0</v>
      </c>
      <c r="C21" s="64">
        <f t="shared" si="1"/>
        <v>20.4</v>
      </c>
      <c r="D21" s="65">
        <f t="shared" si="2"/>
        <v>26.4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0" t="s">
        <v>253</v>
      </c>
      <c r="B22" s="61">
        <v>17.0</v>
      </c>
      <c r="C22" s="61">
        <f t="shared" si="1"/>
        <v>28.9</v>
      </c>
      <c r="D22" s="62">
        <f t="shared" si="2"/>
        <v>37.4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3" t="s">
        <v>254</v>
      </c>
      <c r="B23" s="64"/>
      <c r="C23" s="64">
        <f t="shared" si="1"/>
        <v>0</v>
      </c>
      <c r="D23" s="65">
        <f t="shared" si="2"/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0" t="s">
        <v>255</v>
      </c>
      <c r="B24" s="61"/>
      <c r="C24" s="61">
        <f t="shared" si="1"/>
        <v>0</v>
      </c>
      <c r="D24" s="62">
        <f t="shared" si="2"/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3" t="s">
        <v>219</v>
      </c>
      <c r="B25" s="64">
        <v>12.0</v>
      </c>
      <c r="C25" s="64">
        <f t="shared" si="1"/>
        <v>20.4</v>
      </c>
      <c r="D25" s="65">
        <f t="shared" si="2"/>
        <v>26.4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0" t="s">
        <v>259</v>
      </c>
      <c r="B26" s="61"/>
      <c r="C26" s="61">
        <f t="shared" si="1"/>
        <v>0</v>
      </c>
      <c r="D26" s="62">
        <f t="shared" si="2"/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3" t="s">
        <v>260</v>
      </c>
      <c r="B27" s="64"/>
      <c r="C27" s="64">
        <f t="shared" si="1"/>
        <v>0</v>
      </c>
      <c r="D27" s="65">
        <f t="shared" si="2"/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0" t="s">
        <v>263</v>
      </c>
      <c r="B28" s="61"/>
      <c r="C28" s="61">
        <f t="shared" si="1"/>
        <v>0</v>
      </c>
      <c r="D28" s="62">
        <f t="shared" si="2"/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3" t="s">
        <v>266</v>
      </c>
      <c r="B29" s="64"/>
      <c r="C29" s="64">
        <f t="shared" si="1"/>
        <v>0</v>
      </c>
      <c r="D29" s="65">
        <f t="shared" si="2"/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0" t="s">
        <v>267</v>
      </c>
      <c r="B30" s="61"/>
      <c r="C30" s="61">
        <f t="shared" si="1"/>
        <v>0</v>
      </c>
      <c r="D30" s="62">
        <f t="shared" si="2"/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3" t="s">
        <v>268</v>
      </c>
      <c r="B31" s="64"/>
      <c r="C31" s="64">
        <f t="shared" si="1"/>
        <v>0</v>
      </c>
      <c r="D31" s="65">
        <f t="shared" si="2"/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0" t="s">
        <v>269</v>
      </c>
      <c r="B32" s="61"/>
      <c r="C32" s="61">
        <f t="shared" si="1"/>
        <v>0</v>
      </c>
      <c r="D32" s="62">
        <f t="shared" si="2"/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3" t="s">
        <v>270</v>
      </c>
      <c r="B33" s="64"/>
      <c r="C33" s="64">
        <f t="shared" si="1"/>
        <v>0</v>
      </c>
      <c r="D33" s="65">
        <f t="shared" si="2"/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0" t="s">
        <v>271</v>
      </c>
      <c r="B34" s="61"/>
      <c r="C34" s="61">
        <f t="shared" si="1"/>
        <v>0</v>
      </c>
      <c r="D34" s="62">
        <f t="shared" si="2"/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3" t="s">
        <v>272</v>
      </c>
      <c r="B35" s="64"/>
      <c r="C35" s="64">
        <f t="shared" si="1"/>
        <v>0</v>
      </c>
      <c r="D35" s="65">
        <f t="shared" si="2"/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0" t="s">
        <v>273</v>
      </c>
      <c r="B36" s="61"/>
      <c r="C36" s="61">
        <f t="shared" si="1"/>
        <v>0</v>
      </c>
      <c r="D36" s="62">
        <f t="shared" si="2"/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3" t="s">
        <v>274</v>
      </c>
      <c r="B37" s="64"/>
      <c r="C37" s="64">
        <f t="shared" si="1"/>
        <v>0</v>
      </c>
      <c r="D37" s="65">
        <f t="shared" si="2"/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0" t="s">
        <v>275</v>
      </c>
      <c r="B38" s="61"/>
      <c r="C38" s="61">
        <f t="shared" si="1"/>
        <v>0</v>
      </c>
      <c r="D38" s="62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3" t="s">
        <v>276</v>
      </c>
      <c r="B39" s="64"/>
      <c r="C39" s="64">
        <f t="shared" si="1"/>
        <v>0</v>
      </c>
      <c r="D39" s="65">
        <f t="shared" si="2"/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0" t="s">
        <v>277</v>
      </c>
      <c r="B40" s="61"/>
      <c r="C40" s="61">
        <f t="shared" si="1"/>
        <v>0</v>
      </c>
      <c r="D40" s="62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3" t="s">
        <v>278</v>
      </c>
      <c r="B41" s="64"/>
      <c r="C41" s="64">
        <f t="shared" si="1"/>
        <v>0</v>
      </c>
      <c r="D41" s="65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0" t="s">
        <v>279</v>
      </c>
      <c r="B42" s="61"/>
      <c r="C42" s="61">
        <f t="shared" si="1"/>
        <v>0</v>
      </c>
      <c r="D42" s="62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3" t="s">
        <v>280</v>
      </c>
      <c r="B43" s="64"/>
      <c r="C43" s="64">
        <f t="shared" si="1"/>
        <v>0</v>
      </c>
      <c r="D43" s="65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0" t="s">
        <v>281</v>
      </c>
      <c r="B44" s="61"/>
      <c r="C44" s="61">
        <f t="shared" si="1"/>
        <v>0</v>
      </c>
      <c r="D44" s="62">
        <f t="shared" si="2"/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3" t="s">
        <v>282</v>
      </c>
      <c r="B45" s="64"/>
      <c r="C45" s="64">
        <f t="shared" si="1"/>
        <v>0</v>
      </c>
      <c r="D45" s="65">
        <f t="shared" si="2"/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0" t="s">
        <v>283</v>
      </c>
      <c r="B46" s="61"/>
      <c r="C46" s="61">
        <f t="shared" si="1"/>
        <v>0</v>
      </c>
      <c r="D46" s="62">
        <f t="shared" si="2"/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3" t="s">
        <v>284</v>
      </c>
      <c r="B47" s="64"/>
      <c r="C47" s="64">
        <f t="shared" si="1"/>
        <v>0</v>
      </c>
      <c r="D47" s="65">
        <f t="shared" si="2"/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0" t="s">
        <v>285</v>
      </c>
      <c r="B48" s="61"/>
      <c r="C48" s="61">
        <f t="shared" si="1"/>
        <v>0</v>
      </c>
      <c r="D48" s="62">
        <f t="shared" si="2"/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3" t="s">
        <v>286</v>
      </c>
      <c r="B49" s="64"/>
      <c r="C49" s="64">
        <f t="shared" si="1"/>
        <v>0</v>
      </c>
      <c r="D49" s="65">
        <f t="shared" si="2"/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0" t="s">
        <v>287</v>
      </c>
      <c r="B50" s="61"/>
      <c r="C50" s="61">
        <f t="shared" si="1"/>
        <v>0</v>
      </c>
      <c r="D50" s="62">
        <f t="shared" si="2"/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3" t="s">
        <v>288</v>
      </c>
      <c r="B51" s="64"/>
      <c r="C51" s="64">
        <f t="shared" si="1"/>
        <v>0</v>
      </c>
      <c r="D51" s="65">
        <f t="shared" si="2"/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0" t="s">
        <v>289</v>
      </c>
      <c r="B52" s="61"/>
      <c r="C52" s="61">
        <f t="shared" si="1"/>
        <v>0</v>
      </c>
      <c r="D52" s="62">
        <f t="shared" si="2"/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3" t="s">
        <v>290</v>
      </c>
      <c r="B53" s="64"/>
      <c r="C53" s="64">
        <f t="shared" si="1"/>
        <v>0</v>
      </c>
      <c r="D53" s="65">
        <f t="shared" si="2"/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0" t="s">
        <v>291</v>
      </c>
      <c r="B54" s="61"/>
      <c r="C54" s="61">
        <f t="shared" si="1"/>
        <v>0</v>
      </c>
      <c r="D54" s="62">
        <f t="shared" si="2"/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3" t="s">
        <v>292</v>
      </c>
      <c r="B55" s="64"/>
      <c r="C55" s="64">
        <f t="shared" si="1"/>
        <v>0</v>
      </c>
      <c r="D55" s="65">
        <f t="shared" si="2"/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0" t="s">
        <v>293</v>
      </c>
      <c r="B56" s="61"/>
      <c r="C56" s="61">
        <f t="shared" si="1"/>
        <v>0</v>
      </c>
      <c r="D56" s="62">
        <f t="shared" si="2"/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3" t="s">
        <v>294</v>
      </c>
      <c r="B57" s="64"/>
      <c r="C57" s="64">
        <f t="shared" si="1"/>
        <v>0</v>
      </c>
      <c r="D57" s="65">
        <f t="shared" si="2"/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0" t="s">
        <v>295</v>
      </c>
      <c r="B58" s="61"/>
      <c r="C58" s="61">
        <f t="shared" si="1"/>
        <v>0</v>
      </c>
      <c r="D58" s="62">
        <f t="shared" si="2"/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3" t="s">
        <v>296</v>
      </c>
      <c r="B59" s="64"/>
      <c r="C59" s="64">
        <f t="shared" si="1"/>
        <v>0</v>
      </c>
      <c r="D59" s="65">
        <f t="shared" si="2"/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0" t="s">
        <v>297</v>
      </c>
      <c r="B60" s="61"/>
      <c r="C60" s="61">
        <f t="shared" si="1"/>
        <v>0</v>
      </c>
      <c r="D60" s="62">
        <f t="shared" si="2"/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3" t="s">
        <v>298</v>
      </c>
      <c r="B61" s="64"/>
      <c r="C61" s="64">
        <f t="shared" si="1"/>
        <v>0</v>
      </c>
      <c r="D61" s="65">
        <f t="shared" si="2"/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0" t="s">
        <v>299</v>
      </c>
      <c r="B62" s="61"/>
      <c r="C62" s="61">
        <f t="shared" si="1"/>
        <v>0</v>
      </c>
      <c r="D62" s="62">
        <f t="shared" si="2"/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3" t="s">
        <v>300</v>
      </c>
      <c r="B63" s="64"/>
      <c r="C63" s="64">
        <f t="shared" si="1"/>
        <v>0</v>
      </c>
      <c r="D63" s="65">
        <f t="shared" si="2"/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0" t="s">
        <v>301</v>
      </c>
      <c r="B64" s="61"/>
      <c r="C64" s="61">
        <f t="shared" si="1"/>
        <v>0</v>
      </c>
      <c r="D64" s="62">
        <f t="shared" si="2"/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3" t="s">
        <v>302</v>
      </c>
      <c r="B65" s="64"/>
      <c r="C65" s="64">
        <f t="shared" si="1"/>
        <v>0</v>
      </c>
      <c r="D65" s="65">
        <f t="shared" si="2"/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0" t="s">
        <v>303</v>
      </c>
      <c r="B66" s="61"/>
      <c r="C66" s="61">
        <f t="shared" si="1"/>
        <v>0</v>
      </c>
      <c r="D66" s="62">
        <f t="shared" si="2"/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3" t="s">
        <v>304</v>
      </c>
      <c r="B67" s="64"/>
      <c r="C67" s="64">
        <f t="shared" si="1"/>
        <v>0</v>
      </c>
      <c r="D67" s="65">
        <f t="shared" si="2"/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0" t="s">
        <v>189</v>
      </c>
      <c r="B68" s="61">
        <v>12.0</v>
      </c>
      <c r="C68" s="61">
        <f t="shared" si="1"/>
        <v>20.4</v>
      </c>
      <c r="D68" s="62">
        <f t="shared" si="2"/>
        <v>26.4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3" t="s">
        <v>305</v>
      </c>
      <c r="B69" s="64"/>
      <c r="C69" s="64">
        <f t="shared" si="1"/>
        <v>0</v>
      </c>
      <c r="D69" s="65">
        <f t="shared" si="2"/>
        <v>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0" t="s">
        <v>306</v>
      </c>
      <c r="B70" s="61"/>
      <c r="C70" s="61">
        <f t="shared" si="1"/>
        <v>0</v>
      </c>
      <c r="D70" s="62">
        <f t="shared" si="2"/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3" t="s">
        <v>307</v>
      </c>
      <c r="B71" s="64"/>
      <c r="C71" s="64">
        <f t="shared" si="1"/>
        <v>0</v>
      </c>
      <c r="D71" s="65">
        <f t="shared" si="2"/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0" t="s">
        <v>308</v>
      </c>
      <c r="B72" s="61"/>
      <c r="C72" s="61">
        <f t="shared" si="1"/>
        <v>0</v>
      </c>
      <c r="D72" s="62">
        <f t="shared" si="2"/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3" t="s">
        <v>309</v>
      </c>
      <c r="B73" s="64"/>
      <c r="C73" s="64">
        <f t="shared" si="1"/>
        <v>0</v>
      </c>
      <c r="D73" s="65">
        <f t="shared" si="2"/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0" t="s">
        <v>310</v>
      </c>
      <c r="B74" s="61"/>
      <c r="C74" s="61">
        <f t="shared" si="1"/>
        <v>0</v>
      </c>
      <c r="D74" s="62">
        <f t="shared" si="2"/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3" t="s">
        <v>311</v>
      </c>
      <c r="B75" s="64"/>
      <c r="C75" s="64">
        <f t="shared" si="1"/>
        <v>0</v>
      </c>
      <c r="D75" s="65">
        <f t="shared" si="2"/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0" t="s">
        <v>312</v>
      </c>
      <c r="B76" s="61"/>
      <c r="C76" s="61">
        <f t="shared" si="1"/>
        <v>0</v>
      </c>
      <c r="D76" s="62">
        <f t="shared" si="2"/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3" t="s">
        <v>313</v>
      </c>
      <c r="B77" s="64"/>
      <c r="C77" s="64">
        <f t="shared" si="1"/>
        <v>0</v>
      </c>
      <c r="D77" s="65">
        <f t="shared" si="2"/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0" t="s">
        <v>314</v>
      </c>
      <c r="B78" s="61"/>
      <c r="C78" s="61">
        <f t="shared" si="1"/>
        <v>0</v>
      </c>
      <c r="D78" s="62">
        <f t="shared" si="2"/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3" t="s">
        <v>315</v>
      </c>
      <c r="B79" s="64"/>
      <c r="C79" s="64">
        <f t="shared" si="1"/>
        <v>0</v>
      </c>
      <c r="D79" s="65">
        <f t="shared" si="2"/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0" t="s">
        <v>316</v>
      </c>
      <c r="B80" s="80"/>
      <c r="C80" s="61">
        <f t="shared" si="1"/>
        <v>0</v>
      </c>
      <c r="D80" s="62">
        <f t="shared" si="2"/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3" t="s">
        <v>317</v>
      </c>
      <c r="B81" s="64"/>
      <c r="C81" s="64">
        <f t="shared" si="1"/>
        <v>0</v>
      </c>
      <c r="D81" s="65">
        <f t="shared" si="2"/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0" t="s">
        <v>318</v>
      </c>
      <c r="B82" s="61"/>
      <c r="C82" s="61">
        <f t="shared" si="1"/>
        <v>0</v>
      </c>
      <c r="D82" s="62">
        <f t="shared" si="2"/>
        <v>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3" t="s">
        <v>319</v>
      </c>
      <c r="B83" s="64"/>
      <c r="C83" s="64">
        <f t="shared" si="1"/>
        <v>0</v>
      </c>
      <c r="D83" s="65">
        <f t="shared" si="2"/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0" t="s">
        <v>320</v>
      </c>
      <c r="B84" s="80"/>
      <c r="C84" s="61">
        <f t="shared" si="1"/>
        <v>0</v>
      </c>
      <c r="D84" s="62">
        <f t="shared" si="2"/>
        <v>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3" t="s">
        <v>321</v>
      </c>
      <c r="B85" s="64"/>
      <c r="C85" s="64">
        <f t="shared" si="1"/>
        <v>0</v>
      </c>
      <c r="D85" s="65">
        <f t="shared" si="2"/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0" t="s">
        <v>322</v>
      </c>
      <c r="B86" s="61"/>
      <c r="C86" s="61">
        <f t="shared" si="1"/>
        <v>0</v>
      </c>
      <c r="D86" s="62">
        <f t="shared" si="2"/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3" t="s">
        <v>323</v>
      </c>
      <c r="B87" s="64"/>
      <c r="C87" s="64">
        <f t="shared" si="1"/>
        <v>0</v>
      </c>
      <c r="D87" s="65">
        <f t="shared" si="2"/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60" t="s">
        <v>324</v>
      </c>
      <c r="B88" s="61"/>
      <c r="C88" s="61">
        <f t="shared" si="1"/>
        <v>0</v>
      </c>
      <c r="D88" s="62">
        <f t="shared" si="2"/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3" t="s">
        <v>325</v>
      </c>
      <c r="B89" s="64">
        <v>14.0</v>
      </c>
      <c r="C89" s="64">
        <f t="shared" si="1"/>
        <v>23.8</v>
      </c>
      <c r="D89" s="65">
        <f t="shared" si="2"/>
        <v>30.8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0" t="s">
        <v>326</v>
      </c>
      <c r="B90" s="61"/>
      <c r="C90" s="61">
        <f t="shared" si="1"/>
        <v>0</v>
      </c>
      <c r="D90" s="62">
        <f t="shared" si="2"/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3" t="s">
        <v>327</v>
      </c>
      <c r="B91" s="64"/>
      <c r="C91" s="64">
        <f t="shared" si="1"/>
        <v>0</v>
      </c>
      <c r="D91" s="65">
        <f t="shared" si="2"/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0" t="s">
        <v>328</v>
      </c>
      <c r="B92" s="61"/>
      <c r="C92" s="61">
        <f t="shared" si="1"/>
        <v>0</v>
      </c>
      <c r="D92" s="62">
        <f t="shared" si="2"/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3" t="s">
        <v>329</v>
      </c>
      <c r="B93" s="64"/>
      <c r="C93" s="64">
        <f t="shared" si="1"/>
        <v>0</v>
      </c>
      <c r="D93" s="65">
        <f t="shared" si="2"/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0" t="s">
        <v>330</v>
      </c>
      <c r="B94" s="61"/>
      <c r="C94" s="61">
        <f t="shared" si="1"/>
        <v>0</v>
      </c>
      <c r="D94" s="62">
        <f t="shared" si="2"/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3" t="s">
        <v>331</v>
      </c>
      <c r="B95" s="64"/>
      <c r="C95" s="64">
        <f t="shared" si="1"/>
        <v>0</v>
      </c>
      <c r="D95" s="65">
        <f t="shared" si="2"/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0" t="s">
        <v>332</v>
      </c>
      <c r="B96" s="61"/>
      <c r="C96" s="61">
        <f t="shared" si="1"/>
        <v>0</v>
      </c>
      <c r="D96" s="62">
        <f t="shared" si="2"/>
        <v>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3" t="s">
        <v>333</v>
      </c>
      <c r="B97" s="64"/>
      <c r="C97" s="64">
        <f t="shared" si="1"/>
        <v>0</v>
      </c>
      <c r="D97" s="65">
        <f t="shared" si="2"/>
        <v>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0" t="s">
        <v>334</v>
      </c>
      <c r="B98" s="61"/>
      <c r="C98" s="61">
        <f t="shared" si="1"/>
        <v>0</v>
      </c>
      <c r="D98" s="62">
        <f t="shared" si="2"/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3" t="s">
        <v>335</v>
      </c>
      <c r="B99" s="64"/>
      <c r="C99" s="64">
        <f t="shared" si="1"/>
        <v>0</v>
      </c>
      <c r="D99" s="65">
        <f t="shared" si="2"/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0" t="s">
        <v>336</v>
      </c>
      <c r="B100" s="61"/>
      <c r="C100" s="61">
        <f t="shared" si="1"/>
        <v>0</v>
      </c>
      <c r="D100" s="62">
        <f t="shared" si="2"/>
        <v>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3" t="s">
        <v>337</v>
      </c>
      <c r="B101" s="64"/>
      <c r="C101" s="64">
        <f t="shared" si="1"/>
        <v>0</v>
      </c>
      <c r="D101" s="65">
        <f t="shared" si="2"/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0" t="s">
        <v>338</v>
      </c>
      <c r="B102" s="61"/>
      <c r="C102" s="61">
        <f t="shared" si="1"/>
        <v>0</v>
      </c>
      <c r="D102" s="62">
        <f t="shared" si="2"/>
        <v>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3" t="s">
        <v>339</v>
      </c>
      <c r="B103" s="64"/>
      <c r="C103" s="64">
        <f t="shared" si="1"/>
        <v>0</v>
      </c>
      <c r="D103" s="65">
        <f t="shared" si="2"/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0" t="s">
        <v>340</v>
      </c>
      <c r="B104" s="61"/>
      <c r="C104" s="61">
        <f t="shared" si="1"/>
        <v>0</v>
      </c>
      <c r="D104" s="62">
        <f t="shared" si="2"/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3" t="s">
        <v>341</v>
      </c>
      <c r="B105" s="64"/>
      <c r="C105" s="64">
        <f t="shared" si="1"/>
        <v>0</v>
      </c>
      <c r="D105" s="65">
        <f t="shared" si="2"/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0" t="s">
        <v>342</v>
      </c>
      <c r="B106" s="61"/>
      <c r="C106" s="61">
        <f t="shared" si="1"/>
        <v>0</v>
      </c>
      <c r="D106" s="62">
        <f t="shared" si="2"/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3" t="s">
        <v>343</v>
      </c>
      <c r="B107" s="64"/>
      <c r="C107" s="64">
        <f t="shared" si="1"/>
        <v>0</v>
      </c>
      <c r="D107" s="65">
        <f t="shared" si="2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2"/>
      <c r="B108" s="32"/>
      <c r="C108" s="32"/>
      <c r="D108" s="3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81" t="s">
        <v>344</v>
      </c>
      <c r="B109" s="82"/>
      <c r="C109" s="64">
        <f t="shared" ref="C109:C134" si="3">B109 * 1.7</f>
        <v>0</v>
      </c>
      <c r="D109" s="65">
        <f t="shared" ref="D109:D134" si="4">B109 * 2.2</f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7" t="s">
        <v>345</v>
      </c>
      <c r="B110" s="83"/>
      <c r="C110" s="61">
        <f t="shared" si="3"/>
        <v>0</v>
      </c>
      <c r="D110" s="62">
        <f t="shared" si="4"/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81" t="s">
        <v>346</v>
      </c>
      <c r="B111" s="82"/>
      <c r="C111" s="64">
        <f t="shared" si="3"/>
        <v>0</v>
      </c>
      <c r="D111" s="65">
        <f t="shared" si="4"/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7" t="s">
        <v>347</v>
      </c>
      <c r="B112" s="83"/>
      <c r="C112" s="61">
        <f t="shared" si="3"/>
        <v>0</v>
      </c>
      <c r="D112" s="62">
        <f t="shared" si="4"/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81" t="s">
        <v>348</v>
      </c>
      <c r="B113" s="82"/>
      <c r="C113" s="64">
        <f t="shared" si="3"/>
        <v>0</v>
      </c>
      <c r="D113" s="65">
        <f t="shared" si="4"/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7" t="s">
        <v>349</v>
      </c>
      <c r="B114" s="83"/>
      <c r="C114" s="61">
        <f t="shared" si="3"/>
        <v>0</v>
      </c>
      <c r="D114" s="62">
        <f t="shared" si="4"/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81" t="s">
        <v>350</v>
      </c>
      <c r="B115" s="82"/>
      <c r="C115" s="64">
        <f t="shared" si="3"/>
        <v>0</v>
      </c>
      <c r="D115" s="65">
        <f t="shared" si="4"/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7" t="s">
        <v>184</v>
      </c>
      <c r="B116" s="83"/>
      <c r="C116" s="61">
        <f t="shared" si="3"/>
        <v>0</v>
      </c>
      <c r="D116" s="62">
        <f t="shared" si="4"/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81" t="s">
        <v>351</v>
      </c>
      <c r="B117" s="82"/>
      <c r="C117" s="64">
        <f t="shared" si="3"/>
        <v>0</v>
      </c>
      <c r="D117" s="65">
        <f t="shared" si="4"/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7" t="s">
        <v>352</v>
      </c>
      <c r="B118" s="83"/>
      <c r="C118" s="61">
        <f t="shared" si="3"/>
        <v>0</v>
      </c>
      <c r="D118" s="62">
        <f t="shared" si="4"/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81" t="s">
        <v>353</v>
      </c>
      <c r="B119" s="82"/>
      <c r="C119" s="64">
        <f t="shared" si="3"/>
        <v>0</v>
      </c>
      <c r="D119" s="65">
        <f t="shared" si="4"/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7" t="s">
        <v>354</v>
      </c>
      <c r="B120" s="83"/>
      <c r="C120" s="61">
        <f t="shared" si="3"/>
        <v>0</v>
      </c>
      <c r="D120" s="62">
        <f t="shared" si="4"/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81" t="s">
        <v>355</v>
      </c>
      <c r="B121" s="82"/>
      <c r="C121" s="64">
        <f t="shared" si="3"/>
        <v>0</v>
      </c>
      <c r="D121" s="65">
        <f t="shared" si="4"/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7" t="s">
        <v>356</v>
      </c>
      <c r="B122" s="83"/>
      <c r="C122" s="61">
        <f t="shared" si="3"/>
        <v>0</v>
      </c>
      <c r="D122" s="62">
        <f t="shared" si="4"/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81" t="s">
        <v>357</v>
      </c>
      <c r="B123" s="82"/>
      <c r="C123" s="64">
        <f t="shared" si="3"/>
        <v>0</v>
      </c>
      <c r="D123" s="65">
        <f t="shared" si="4"/>
        <v>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7" t="s">
        <v>358</v>
      </c>
      <c r="B124" s="83"/>
      <c r="C124" s="61">
        <f t="shared" si="3"/>
        <v>0</v>
      </c>
      <c r="D124" s="62">
        <f t="shared" si="4"/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81" t="s">
        <v>359</v>
      </c>
      <c r="B125" s="82"/>
      <c r="C125" s="64">
        <f t="shared" si="3"/>
        <v>0</v>
      </c>
      <c r="D125" s="65">
        <f t="shared" si="4"/>
        <v>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7" t="s">
        <v>360</v>
      </c>
      <c r="B126" s="83"/>
      <c r="C126" s="61">
        <f t="shared" si="3"/>
        <v>0</v>
      </c>
      <c r="D126" s="62">
        <f t="shared" si="4"/>
        <v>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81" t="s">
        <v>361</v>
      </c>
      <c r="B127" s="82"/>
      <c r="C127" s="64">
        <f t="shared" si="3"/>
        <v>0</v>
      </c>
      <c r="D127" s="65">
        <f t="shared" si="4"/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7" t="s">
        <v>362</v>
      </c>
      <c r="B128" s="83"/>
      <c r="C128" s="61">
        <f t="shared" si="3"/>
        <v>0</v>
      </c>
      <c r="D128" s="62">
        <f t="shared" si="4"/>
        <v>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81" t="s">
        <v>363</v>
      </c>
      <c r="B129" s="82"/>
      <c r="C129" s="64">
        <f t="shared" si="3"/>
        <v>0</v>
      </c>
      <c r="D129" s="65">
        <f t="shared" si="4"/>
        <v>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7" t="s">
        <v>364</v>
      </c>
      <c r="B130" s="83"/>
      <c r="C130" s="61">
        <f t="shared" si="3"/>
        <v>0</v>
      </c>
      <c r="D130" s="62">
        <f t="shared" si="4"/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81" t="s">
        <v>365</v>
      </c>
      <c r="B131" s="82"/>
      <c r="C131" s="64">
        <f t="shared" si="3"/>
        <v>0</v>
      </c>
      <c r="D131" s="65">
        <f t="shared" si="4"/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7" t="s">
        <v>366</v>
      </c>
      <c r="B132" s="83"/>
      <c r="C132" s="61">
        <f t="shared" si="3"/>
        <v>0</v>
      </c>
      <c r="D132" s="62">
        <f t="shared" si="4"/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1" t="s">
        <v>367</v>
      </c>
      <c r="B133" s="82"/>
      <c r="C133" s="64">
        <f t="shared" si="3"/>
        <v>0</v>
      </c>
      <c r="D133" s="65">
        <f t="shared" si="4"/>
        <v>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7" t="s">
        <v>368</v>
      </c>
      <c r="B134" s="83"/>
      <c r="C134" s="61">
        <f t="shared" si="3"/>
        <v>0</v>
      </c>
      <c r="D134" s="62">
        <f t="shared" si="4"/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81" t="s">
        <v>369</v>
      </c>
      <c r="B135" s="84"/>
      <c r="C135" s="84"/>
      <c r="D135" s="8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7" t="s">
        <v>370</v>
      </c>
      <c r="B136" s="32"/>
      <c r="C136" s="32"/>
      <c r="D136" s="3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81" t="s">
        <v>371</v>
      </c>
      <c r="B137" s="82"/>
      <c r="C137" s="64">
        <f t="shared" ref="C137:C265" si="5">B137 * 1.7</f>
        <v>0</v>
      </c>
      <c r="D137" s="65">
        <f t="shared" ref="D137:D274" si="6">B137 * 2.2</f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7" t="s">
        <v>372</v>
      </c>
      <c r="B138" s="83"/>
      <c r="C138" s="61">
        <f t="shared" si="5"/>
        <v>0</v>
      </c>
      <c r="D138" s="62">
        <f t="shared" si="6"/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81" t="s">
        <v>373</v>
      </c>
      <c r="B139" s="82"/>
      <c r="C139" s="64">
        <f t="shared" si="5"/>
        <v>0</v>
      </c>
      <c r="D139" s="65">
        <f t="shared" si="6"/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7" t="s">
        <v>374</v>
      </c>
      <c r="B140" s="83"/>
      <c r="C140" s="61">
        <f t="shared" si="5"/>
        <v>0</v>
      </c>
      <c r="D140" s="62">
        <f t="shared" si="6"/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81" t="s">
        <v>375</v>
      </c>
      <c r="B141" s="82"/>
      <c r="C141" s="64">
        <f t="shared" si="5"/>
        <v>0</v>
      </c>
      <c r="D141" s="65">
        <f t="shared" si="6"/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7" t="s">
        <v>376</v>
      </c>
      <c r="B142" s="83"/>
      <c r="C142" s="61">
        <f t="shared" si="5"/>
        <v>0</v>
      </c>
      <c r="D142" s="62">
        <f t="shared" si="6"/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81" t="s">
        <v>377</v>
      </c>
      <c r="B143" s="82"/>
      <c r="C143" s="64">
        <f t="shared" si="5"/>
        <v>0</v>
      </c>
      <c r="D143" s="65">
        <f t="shared" si="6"/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7" t="s">
        <v>378</v>
      </c>
      <c r="B144" s="83"/>
      <c r="C144" s="61">
        <f t="shared" si="5"/>
        <v>0</v>
      </c>
      <c r="D144" s="62">
        <f t="shared" si="6"/>
        <v>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81" t="s">
        <v>379</v>
      </c>
      <c r="B145" s="82"/>
      <c r="C145" s="64">
        <f t="shared" si="5"/>
        <v>0</v>
      </c>
      <c r="D145" s="65">
        <f t="shared" si="6"/>
        <v>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7" t="s">
        <v>380</v>
      </c>
      <c r="B146" s="83"/>
      <c r="C146" s="61">
        <f t="shared" si="5"/>
        <v>0</v>
      </c>
      <c r="D146" s="62">
        <f t="shared" si="6"/>
        <v>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81" t="s">
        <v>381</v>
      </c>
      <c r="B147" s="82"/>
      <c r="C147" s="64">
        <f t="shared" si="5"/>
        <v>0</v>
      </c>
      <c r="D147" s="65">
        <f t="shared" si="6"/>
        <v>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7" t="s">
        <v>382</v>
      </c>
      <c r="B148" s="83"/>
      <c r="C148" s="61">
        <f t="shared" si="5"/>
        <v>0</v>
      </c>
      <c r="D148" s="62">
        <f t="shared" si="6"/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81" t="s">
        <v>383</v>
      </c>
      <c r="B149" s="82"/>
      <c r="C149" s="64">
        <f t="shared" si="5"/>
        <v>0</v>
      </c>
      <c r="D149" s="65">
        <f t="shared" si="6"/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7" t="s">
        <v>384</v>
      </c>
      <c r="B150" s="83"/>
      <c r="C150" s="61">
        <f t="shared" si="5"/>
        <v>0</v>
      </c>
      <c r="D150" s="62">
        <f t="shared" si="6"/>
        <v>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81" t="s">
        <v>385</v>
      </c>
      <c r="B151" s="82"/>
      <c r="C151" s="64">
        <f t="shared" si="5"/>
        <v>0</v>
      </c>
      <c r="D151" s="65">
        <f t="shared" si="6"/>
        <v>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7" t="s">
        <v>386</v>
      </c>
      <c r="B152" s="83"/>
      <c r="C152" s="61">
        <f t="shared" si="5"/>
        <v>0</v>
      </c>
      <c r="D152" s="62">
        <f t="shared" si="6"/>
        <v>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81" t="s">
        <v>387</v>
      </c>
      <c r="B153" s="82"/>
      <c r="C153" s="64">
        <f t="shared" si="5"/>
        <v>0</v>
      </c>
      <c r="D153" s="65">
        <f t="shared" si="6"/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7" t="s">
        <v>388</v>
      </c>
      <c r="B154" s="83"/>
      <c r="C154" s="61">
        <f t="shared" si="5"/>
        <v>0</v>
      </c>
      <c r="D154" s="62">
        <f t="shared" si="6"/>
        <v>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81" t="s">
        <v>389</v>
      </c>
      <c r="B155" s="82"/>
      <c r="C155" s="64">
        <f t="shared" si="5"/>
        <v>0</v>
      </c>
      <c r="D155" s="65">
        <f t="shared" si="6"/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7" t="s">
        <v>390</v>
      </c>
      <c r="B156" s="83"/>
      <c r="C156" s="61">
        <f t="shared" si="5"/>
        <v>0</v>
      </c>
      <c r="D156" s="62">
        <f t="shared" si="6"/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81" t="s">
        <v>391</v>
      </c>
      <c r="B157" s="82"/>
      <c r="C157" s="64">
        <f t="shared" si="5"/>
        <v>0</v>
      </c>
      <c r="D157" s="65">
        <f t="shared" si="6"/>
        <v>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7" t="s">
        <v>392</v>
      </c>
      <c r="B158" s="83"/>
      <c r="C158" s="61">
        <f t="shared" si="5"/>
        <v>0</v>
      </c>
      <c r="D158" s="62">
        <f t="shared" si="6"/>
        <v>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81" t="s">
        <v>393</v>
      </c>
      <c r="B159" s="82"/>
      <c r="C159" s="64">
        <f t="shared" si="5"/>
        <v>0</v>
      </c>
      <c r="D159" s="65">
        <f t="shared" si="6"/>
        <v>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7" t="s">
        <v>394</v>
      </c>
      <c r="B160" s="83"/>
      <c r="C160" s="61">
        <f t="shared" si="5"/>
        <v>0</v>
      </c>
      <c r="D160" s="62">
        <f t="shared" si="6"/>
        <v>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81" t="s">
        <v>395</v>
      </c>
      <c r="B161" s="82"/>
      <c r="C161" s="64">
        <f t="shared" si="5"/>
        <v>0</v>
      </c>
      <c r="D161" s="65">
        <f t="shared" si="6"/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7" t="s">
        <v>396</v>
      </c>
      <c r="B162" s="83"/>
      <c r="C162" s="61">
        <f t="shared" si="5"/>
        <v>0</v>
      </c>
      <c r="D162" s="62">
        <f t="shared" si="6"/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81" t="s">
        <v>161</v>
      </c>
      <c r="B163" s="82"/>
      <c r="C163" s="64">
        <f t="shared" si="5"/>
        <v>0</v>
      </c>
      <c r="D163" s="65">
        <f t="shared" si="6"/>
        <v>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7" t="s">
        <v>397</v>
      </c>
      <c r="B164" s="85">
        <v>12.0</v>
      </c>
      <c r="C164" s="61">
        <f t="shared" si="5"/>
        <v>20.4</v>
      </c>
      <c r="D164" s="62">
        <f t="shared" si="6"/>
        <v>26.4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81" t="s">
        <v>398</v>
      </c>
      <c r="B165" s="82"/>
      <c r="C165" s="64">
        <f t="shared" si="5"/>
        <v>0</v>
      </c>
      <c r="D165" s="65">
        <f t="shared" si="6"/>
        <v>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7" t="s">
        <v>399</v>
      </c>
      <c r="B166" s="83"/>
      <c r="C166" s="61">
        <f t="shared" si="5"/>
        <v>0</v>
      </c>
      <c r="D166" s="62">
        <f t="shared" si="6"/>
        <v>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81" t="s">
        <v>400</v>
      </c>
      <c r="B167" s="82"/>
      <c r="C167" s="64">
        <f t="shared" si="5"/>
        <v>0</v>
      </c>
      <c r="D167" s="65">
        <f t="shared" si="6"/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7" t="s">
        <v>401</v>
      </c>
      <c r="B168" s="83"/>
      <c r="C168" s="61">
        <f t="shared" si="5"/>
        <v>0</v>
      </c>
      <c r="D168" s="62">
        <f t="shared" si="6"/>
        <v>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81" t="s">
        <v>402</v>
      </c>
      <c r="B169" s="82"/>
      <c r="C169" s="64">
        <f t="shared" si="5"/>
        <v>0</v>
      </c>
      <c r="D169" s="65">
        <f t="shared" si="6"/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7" t="s">
        <v>403</v>
      </c>
      <c r="B170" s="83"/>
      <c r="C170" s="61">
        <f t="shared" si="5"/>
        <v>0</v>
      </c>
      <c r="D170" s="62">
        <f t="shared" si="6"/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81" t="s">
        <v>404</v>
      </c>
      <c r="B171" s="82"/>
      <c r="C171" s="64">
        <f t="shared" si="5"/>
        <v>0</v>
      </c>
      <c r="D171" s="65">
        <f t="shared" si="6"/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7" t="s">
        <v>405</v>
      </c>
      <c r="B172" s="83"/>
      <c r="C172" s="61">
        <f t="shared" si="5"/>
        <v>0</v>
      </c>
      <c r="D172" s="62">
        <f t="shared" si="6"/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81" t="s">
        <v>403</v>
      </c>
      <c r="B173" s="82"/>
      <c r="C173" s="64">
        <f t="shared" si="5"/>
        <v>0</v>
      </c>
      <c r="D173" s="65">
        <f t="shared" si="6"/>
        <v>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7" t="s">
        <v>406</v>
      </c>
      <c r="B174" s="83"/>
      <c r="C174" s="61">
        <f t="shared" si="5"/>
        <v>0</v>
      </c>
      <c r="D174" s="62">
        <f t="shared" si="6"/>
        <v>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81" t="s">
        <v>407</v>
      </c>
      <c r="B175" s="82"/>
      <c r="C175" s="64">
        <f t="shared" si="5"/>
        <v>0</v>
      </c>
      <c r="D175" s="65">
        <f t="shared" si="6"/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7" t="s">
        <v>408</v>
      </c>
      <c r="B176" s="83"/>
      <c r="C176" s="61">
        <f t="shared" si="5"/>
        <v>0</v>
      </c>
      <c r="D176" s="62">
        <f t="shared" si="6"/>
        <v>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81" t="s">
        <v>409</v>
      </c>
      <c r="B177" s="82"/>
      <c r="C177" s="64">
        <f t="shared" si="5"/>
        <v>0</v>
      </c>
      <c r="D177" s="65">
        <f t="shared" si="6"/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7" t="s">
        <v>410</v>
      </c>
      <c r="B178" s="83"/>
      <c r="C178" s="61">
        <f t="shared" si="5"/>
        <v>0</v>
      </c>
      <c r="D178" s="62">
        <f t="shared" si="6"/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81" t="s">
        <v>411</v>
      </c>
      <c r="B179" s="82"/>
      <c r="C179" s="64">
        <f t="shared" si="5"/>
        <v>0</v>
      </c>
      <c r="D179" s="65">
        <f t="shared" si="6"/>
        <v>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7" t="s">
        <v>412</v>
      </c>
      <c r="B180" s="85">
        <v>12.0</v>
      </c>
      <c r="C180" s="61">
        <f t="shared" si="5"/>
        <v>20.4</v>
      </c>
      <c r="D180" s="62">
        <f t="shared" si="6"/>
        <v>26.4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81" t="s">
        <v>413</v>
      </c>
      <c r="B181" s="82"/>
      <c r="C181" s="64">
        <f t="shared" si="5"/>
        <v>0</v>
      </c>
      <c r="D181" s="65">
        <f t="shared" si="6"/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7" t="s">
        <v>414</v>
      </c>
      <c r="B182" s="83"/>
      <c r="C182" s="61">
        <f t="shared" si="5"/>
        <v>0</v>
      </c>
      <c r="D182" s="62">
        <f t="shared" si="6"/>
        <v>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1" t="s">
        <v>415</v>
      </c>
      <c r="B183" s="86">
        <v>12.0</v>
      </c>
      <c r="C183" s="64">
        <f t="shared" si="5"/>
        <v>20.4</v>
      </c>
      <c r="D183" s="65">
        <f t="shared" si="6"/>
        <v>26.4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7" t="s">
        <v>416</v>
      </c>
      <c r="B184" s="83"/>
      <c r="C184" s="61">
        <f t="shared" si="5"/>
        <v>0</v>
      </c>
      <c r="D184" s="62">
        <f t="shared" si="6"/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81" t="s">
        <v>261</v>
      </c>
      <c r="B185" s="86">
        <v>18.0</v>
      </c>
      <c r="C185" s="64">
        <f t="shared" si="5"/>
        <v>30.6</v>
      </c>
      <c r="D185" s="65">
        <f t="shared" si="6"/>
        <v>39.6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7" t="s">
        <v>417</v>
      </c>
      <c r="B186" s="83"/>
      <c r="C186" s="61">
        <f t="shared" si="5"/>
        <v>0</v>
      </c>
      <c r="D186" s="62">
        <f t="shared" si="6"/>
        <v>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81" t="s">
        <v>418</v>
      </c>
      <c r="B187" s="82"/>
      <c r="C187" s="64">
        <f t="shared" si="5"/>
        <v>0</v>
      </c>
      <c r="D187" s="65">
        <f t="shared" si="6"/>
        <v>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7" t="s">
        <v>419</v>
      </c>
      <c r="B188" s="85">
        <v>12.0</v>
      </c>
      <c r="C188" s="61">
        <f t="shared" si="5"/>
        <v>20.4</v>
      </c>
      <c r="D188" s="62">
        <f t="shared" si="6"/>
        <v>26.4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81" t="s">
        <v>420</v>
      </c>
      <c r="B189" s="82"/>
      <c r="C189" s="64">
        <f t="shared" si="5"/>
        <v>0</v>
      </c>
      <c r="D189" s="65">
        <f t="shared" si="6"/>
        <v>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7" t="s">
        <v>421</v>
      </c>
      <c r="B190" s="83"/>
      <c r="C190" s="61">
        <f t="shared" si="5"/>
        <v>0</v>
      </c>
      <c r="D190" s="62">
        <f t="shared" si="6"/>
        <v>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81" t="s">
        <v>422</v>
      </c>
      <c r="B191" s="82"/>
      <c r="C191" s="64">
        <f t="shared" si="5"/>
        <v>0</v>
      </c>
      <c r="D191" s="65">
        <f t="shared" si="6"/>
        <v>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7" t="s">
        <v>423</v>
      </c>
      <c r="B192" s="83"/>
      <c r="C192" s="61">
        <f t="shared" si="5"/>
        <v>0</v>
      </c>
      <c r="D192" s="62">
        <f t="shared" si="6"/>
        <v>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81" t="s">
        <v>424</v>
      </c>
      <c r="B193" s="82"/>
      <c r="C193" s="64">
        <f t="shared" si="5"/>
        <v>0</v>
      </c>
      <c r="D193" s="65">
        <f t="shared" si="6"/>
        <v>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7" t="s">
        <v>425</v>
      </c>
      <c r="B194" s="83"/>
      <c r="C194" s="61">
        <f t="shared" si="5"/>
        <v>0</v>
      </c>
      <c r="D194" s="62">
        <f t="shared" si="6"/>
        <v>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81" t="s">
        <v>426</v>
      </c>
      <c r="B195" s="82"/>
      <c r="C195" s="64">
        <f t="shared" si="5"/>
        <v>0</v>
      </c>
      <c r="D195" s="65">
        <f t="shared" si="6"/>
        <v>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7" t="s">
        <v>427</v>
      </c>
      <c r="B196" s="83"/>
      <c r="C196" s="61">
        <f t="shared" si="5"/>
        <v>0</v>
      </c>
      <c r="D196" s="62">
        <f t="shared" si="6"/>
        <v>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81" t="s">
        <v>428</v>
      </c>
      <c r="B197" s="82"/>
      <c r="C197" s="64">
        <f t="shared" si="5"/>
        <v>0</v>
      </c>
      <c r="D197" s="65">
        <f t="shared" si="6"/>
        <v>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7" t="s">
        <v>429</v>
      </c>
      <c r="B198" s="83"/>
      <c r="C198" s="61">
        <f t="shared" si="5"/>
        <v>0</v>
      </c>
      <c r="D198" s="62">
        <f t="shared" si="6"/>
        <v>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81" t="s">
        <v>430</v>
      </c>
      <c r="B199" s="82"/>
      <c r="C199" s="64">
        <f t="shared" si="5"/>
        <v>0</v>
      </c>
      <c r="D199" s="65">
        <f t="shared" si="6"/>
        <v>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7" t="s">
        <v>431</v>
      </c>
      <c r="B200" s="83"/>
      <c r="C200" s="61">
        <f t="shared" si="5"/>
        <v>0</v>
      </c>
      <c r="D200" s="62">
        <f t="shared" si="6"/>
        <v>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81" t="s">
        <v>432</v>
      </c>
      <c r="B201" s="82"/>
      <c r="C201" s="64">
        <f t="shared" si="5"/>
        <v>0</v>
      </c>
      <c r="D201" s="65">
        <f t="shared" si="6"/>
        <v>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7" t="s">
        <v>433</v>
      </c>
      <c r="B202" s="83"/>
      <c r="C202" s="61">
        <f t="shared" si="5"/>
        <v>0</v>
      </c>
      <c r="D202" s="62">
        <f t="shared" si="6"/>
        <v>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81" t="s">
        <v>434</v>
      </c>
      <c r="B203" s="82"/>
      <c r="C203" s="64">
        <f t="shared" si="5"/>
        <v>0</v>
      </c>
      <c r="D203" s="65">
        <f t="shared" si="6"/>
        <v>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7" t="s">
        <v>177</v>
      </c>
      <c r="B204" s="83"/>
      <c r="C204" s="61">
        <f t="shared" si="5"/>
        <v>0</v>
      </c>
      <c r="D204" s="62">
        <f t="shared" si="6"/>
        <v>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81" t="s">
        <v>435</v>
      </c>
      <c r="B205" s="82"/>
      <c r="C205" s="64">
        <f t="shared" si="5"/>
        <v>0</v>
      </c>
      <c r="D205" s="65">
        <f t="shared" si="6"/>
        <v>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7" t="s">
        <v>436</v>
      </c>
      <c r="B206" s="83"/>
      <c r="C206" s="61">
        <f t="shared" si="5"/>
        <v>0</v>
      </c>
      <c r="D206" s="62">
        <f t="shared" si="6"/>
        <v>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81" t="s">
        <v>437</v>
      </c>
      <c r="B207" s="82"/>
      <c r="C207" s="64">
        <f t="shared" si="5"/>
        <v>0</v>
      </c>
      <c r="D207" s="65">
        <f t="shared" si="6"/>
        <v>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7" t="s">
        <v>438</v>
      </c>
      <c r="B208" s="83"/>
      <c r="C208" s="61">
        <f t="shared" si="5"/>
        <v>0</v>
      </c>
      <c r="D208" s="62">
        <f t="shared" si="6"/>
        <v>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81" t="s">
        <v>439</v>
      </c>
      <c r="B209" s="82"/>
      <c r="C209" s="64">
        <f t="shared" si="5"/>
        <v>0</v>
      </c>
      <c r="D209" s="65">
        <f t="shared" si="6"/>
        <v>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7" t="s">
        <v>440</v>
      </c>
      <c r="B210" s="83"/>
      <c r="C210" s="61">
        <f t="shared" si="5"/>
        <v>0</v>
      </c>
      <c r="D210" s="62">
        <f t="shared" si="6"/>
        <v>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81" t="s">
        <v>441</v>
      </c>
      <c r="B211" s="82"/>
      <c r="C211" s="64">
        <f t="shared" si="5"/>
        <v>0</v>
      </c>
      <c r="D211" s="65">
        <f t="shared" si="6"/>
        <v>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7" t="s">
        <v>442</v>
      </c>
      <c r="B212" s="83"/>
      <c r="C212" s="61">
        <f t="shared" si="5"/>
        <v>0</v>
      </c>
      <c r="D212" s="62">
        <f t="shared" si="6"/>
        <v>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81" t="s">
        <v>443</v>
      </c>
      <c r="B213" s="82"/>
      <c r="C213" s="64">
        <f t="shared" si="5"/>
        <v>0</v>
      </c>
      <c r="D213" s="65">
        <f t="shared" si="6"/>
        <v>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7" t="s">
        <v>444</v>
      </c>
      <c r="B214" s="83"/>
      <c r="C214" s="61">
        <f t="shared" si="5"/>
        <v>0</v>
      </c>
      <c r="D214" s="62">
        <f t="shared" si="6"/>
        <v>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81" t="s">
        <v>445</v>
      </c>
      <c r="B215" s="82"/>
      <c r="C215" s="64">
        <f t="shared" si="5"/>
        <v>0</v>
      </c>
      <c r="D215" s="65">
        <f t="shared" si="6"/>
        <v>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7" t="s">
        <v>446</v>
      </c>
      <c r="B216" s="85">
        <v>12.0</v>
      </c>
      <c r="C216" s="61">
        <f t="shared" si="5"/>
        <v>20.4</v>
      </c>
      <c r="D216" s="62">
        <f t="shared" si="6"/>
        <v>26.4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81" t="s">
        <v>447</v>
      </c>
      <c r="B217" s="86">
        <v>12.0</v>
      </c>
      <c r="C217" s="64">
        <f t="shared" si="5"/>
        <v>20.4</v>
      </c>
      <c r="D217" s="65">
        <f t="shared" si="6"/>
        <v>26.4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7" t="s">
        <v>448</v>
      </c>
      <c r="B218" s="85">
        <v>12.0</v>
      </c>
      <c r="C218" s="61">
        <f t="shared" si="5"/>
        <v>20.4</v>
      </c>
      <c r="D218" s="62">
        <f t="shared" si="6"/>
        <v>26.4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81" t="s">
        <v>449</v>
      </c>
      <c r="B219" s="86">
        <v>12.0</v>
      </c>
      <c r="C219" s="64">
        <f t="shared" si="5"/>
        <v>20.4</v>
      </c>
      <c r="D219" s="65">
        <f t="shared" si="6"/>
        <v>26.4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2"/>
      <c r="B220" s="83"/>
      <c r="C220" s="61">
        <f t="shared" si="5"/>
        <v>0</v>
      </c>
      <c r="D220" s="62">
        <f t="shared" si="6"/>
        <v>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84"/>
      <c r="B221" s="82"/>
      <c r="C221" s="64">
        <f t="shared" si="5"/>
        <v>0</v>
      </c>
      <c r="D221" s="65">
        <f t="shared" si="6"/>
        <v>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2"/>
      <c r="B222" s="83"/>
      <c r="C222" s="61">
        <f t="shared" si="5"/>
        <v>0</v>
      </c>
      <c r="D222" s="62">
        <f t="shared" si="6"/>
        <v>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84"/>
      <c r="B223" s="82"/>
      <c r="C223" s="64">
        <f t="shared" si="5"/>
        <v>0</v>
      </c>
      <c r="D223" s="65">
        <f t="shared" si="6"/>
        <v>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2"/>
      <c r="B224" s="83"/>
      <c r="C224" s="61">
        <f t="shared" si="5"/>
        <v>0</v>
      </c>
      <c r="D224" s="62">
        <f t="shared" si="6"/>
        <v>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84"/>
      <c r="B225" s="82"/>
      <c r="C225" s="64">
        <f t="shared" si="5"/>
        <v>0</v>
      </c>
      <c r="D225" s="65">
        <f t="shared" si="6"/>
        <v>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2"/>
      <c r="B226" s="83"/>
      <c r="C226" s="61">
        <f t="shared" si="5"/>
        <v>0</v>
      </c>
      <c r="D226" s="62">
        <f t="shared" si="6"/>
        <v>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84"/>
      <c r="B227" s="82"/>
      <c r="C227" s="64">
        <f t="shared" si="5"/>
        <v>0</v>
      </c>
      <c r="D227" s="65">
        <f t="shared" si="6"/>
        <v>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2"/>
      <c r="B228" s="83"/>
      <c r="C228" s="61">
        <f t="shared" si="5"/>
        <v>0</v>
      </c>
      <c r="D228" s="62">
        <f t="shared" si="6"/>
        <v>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84"/>
      <c r="B229" s="82"/>
      <c r="C229" s="64">
        <f t="shared" si="5"/>
        <v>0</v>
      </c>
      <c r="D229" s="65">
        <f t="shared" si="6"/>
        <v>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2"/>
      <c r="B230" s="83"/>
      <c r="C230" s="61">
        <f t="shared" si="5"/>
        <v>0</v>
      </c>
      <c r="D230" s="62">
        <f t="shared" si="6"/>
        <v>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84"/>
      <c r="B231" s="82"/>
      <c r="C231" s="64">
        <f t="shared" si="5"/>
        <v>0</v>
      </c>
      <c r="D231" s="65">
        <f t="shared" si="6"/>
        <v>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2"/>
      <c r="B232" s="83"/>
      <c r="C232" s="61">
        <f t="shared" si="5"/>
        <v>0</v>
      </c>
      <c r="D232" s="62">
        <f t="shared" si="6"/>
        <v>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84"/>
      <c r="B233" s="82"/>
      <c r="C233" s="64">
        <f t="shared" si="5"/>
        <v>0</v>
      </c>
      <c r="D233" s="65">
        <f t="shared" si="6"/>
        <v>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2"/>
      <c r="B234" s="83"/>
      <c r="C234" s="61">
        <f t="shared" si="5"/>
        <v>0</v>
      </c>
      <c r="D234" s="62">
        <f t="shared" si="6"/>
        <v>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84"/>
      <c r="B235" s="82"/>
      <c r="C235" s="64">
        <f t="shared" si="5"/>
        <v>0</v>
      </c>
      <c r="D235" s="65">
        <f t="shared" si="6"/>
        <v>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2"/>
      <c r="B236" s="83"/>
      <c r="C236" s="61">
        <f t="shared" si="5"/>
        <v>0</v>
      </c>
      <c r="D236" s="62">
        <f t="shared" si="6"/>
        <v>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84"/>
      <c r="B237" s="82"/>
      <c r="C237" s="64">
        <f t="shared" si="5"/>
        <v>0</v>
      </c>
      <c r="D237" s="65">
        <f t="shared" si="6"/>
        <v>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2"/>
      <c r="B238" s="83"/>
      <c r="C238" s="61">
        <f t="shared" si="5"/>
        <v>0</v>
      </c>
      <c r="D238" s="62">
        <f t="shared" si="6"/>
        <v>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84"/>
      <c r="B239" s="82"/>
      <c r="C239" s="64">
        <f t="shared" si="5"/>
        <v>0</v>
      </c>
      <c r="D239" s="65">
        <f t="shared" si="6"/>
        <v>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2"/>
      <c r="B240" s="83"/>
      <c r="C240" s="61">
        <f t="shared" si="5"/>
        <v>0</v>
      </c>
      <c r="D240" s="62">
        <f t="shared" si="6"/>
        <v>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84"/>
      <c r="B241" s="82"/>
      <c r="C241" s="64">
        <f t="shared" si="5"/>
        <v>0</v>
      </c>
      <c r="D241" s="65">
        <f t="shared" si="6"/>
        <v>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2"/>
      <c r="B242" s="83"/>
      <c r="C242" s="61">
        <f t="shared" si="5"/>
        <v>0</v>
      </c>
      <c r="D242" s="62">
        <f t="shared" si="6"/>
        <v>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84"/>
      <c r="B243" s="82"/>
      <c r="C243" s="64">
        <f t="shared" si="5"/>
        <v>0</v>
      </c>
      <c r="D243" s="65">
        <f t="shared" si="6"/>
        <v>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2"/>
      <c r="B244" s="83"/>
      <c r="C244" s="61">
        <f t="shared" si="5"/>
        <v>0</v>
      </c>
      <c r="D244" s="62">
        <f t="shared" si="6"/>
        <v>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84"/>
      <c r="B245" s="82"/>
      <c r="C245" s="64">
        <f t="shared" si="5"/>
        <v>0</v>
      </c>
      <c r="D245" s="65">
        <f t="shared" si="6"/>
        <v>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2"/>
      <c r="B246" s="83"/>
      <c r="C246" s="61">
        <f t="shared" si="5"/>
        <v>0</v>
      </c>
      <c r="D246" s="62">
        <f t="shared" si="6"/>
        <v>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84"/>
      <c r="B247" s="82"/>
      <c r="C247" s="64">
        <f t="shared" si="5"/>
        <v>0</v>
      </c>
      <c r="D247" s="65">
        <f t="shared" si="6"/>
        <v>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2"/>
      <c r="B248" s="83"/>
      <c r="C248" s="61">
        <f t="shared" si="5"/>
        <v>0</v>
      </c>
      <c r="D248" s="62">
        <f t="shared" si="6"/>
        <v>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84"/>
      <c r="B249" s="82"/>
      <c r="C249" s="64">
        <f t="shared" si="5"/>
        <v>0</v>
      </c>
      <c r="D249" s="65">
        <f t="shared" si="6"/>
        <v>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2"/>
      <c r="B250" s="83"/>
      <c r="C250" s="61">
        <f t="shared" si="5"/>
        <v>0</v>
      </c>
      <c r="D250" s="62">
        <f t="shared" si="6"/>
        <v>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84"/>
      <c r="B251" s="82"/>
      <c r="C251" s="64">
        <f t="shared" si="5"/>
        <v>0</v>
      </c>
      <c r="D251" s="65">
        <f t="shared" si="6"/>
        <v>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2"/>
      <c r="B252" s="83"/>
      <c r="C252" s="61">
        <f t="shared" si="5"/>
        <v>0</v>
      </c>
      <c r="D252" s="62">
        <f t="shared" si="6"/>
        <v>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84"/>
      <c r="B253" s="82"/>
      <c r="C253" s="64">
        <f t="shared" si="5"/>
        <v>0</v>
      </c>
      <c r="D253" s="65">
        <f t="shared" si="6"/>
        <v>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2"/>
      <c r="B254" s="83"/>
      <c r="C254" s="61">
        <f t="shared" si="5"/>
        <v>0</v>
      </c>
      <c r="D254" s="62">
        <f t="shared" si="6"/>
        <v>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84"/>
      <c r="B255" s="82"/>
      <c r="C255" s="64">
        <f t="shared" si="5"/>
        <v>0</v>
      </c>
      <c r="D255" s="65">
        <f t="shared" si="6"/>
        <v>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2"/>
      <c r="B256" s="83"/>
      <c r="C256" s="61">
        <f t="shared" si="5"/>
        <v>0</v>
      </c>
      <c r="D256" s="62">
        <f t="shared" si="6"/>
        <v>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84"/>
      <c r="B257" s="82"/>
      <c r="C257" s="64">
        <f t="shared" si="5"/>
        <v>0</v>
      </c>
      <c r="D257" s="65">
        <f t="shared" si="6"/>
        <v>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2"/>
      <c r="B258" s="83"/>
      <c r="C258" s="61">
        <f t="shared" si="5"/>
        <v>0</v>
      </c>
      <c r="D258" s="62">
        <f t="shared" si="6"/>
        <v>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84"/>
      <c r="B259" s="82"/>
      <c r="C259" s="64">
        <f t="shared" si="5"/>
        <v>0</v>
      </c>
      <c r="D259" s="65">
        <f t="shared" si="6"/>
        <v>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2"/>
      <c r="B260" s="83"/>
      <c r="C260" s="61">
        <f t="shared" si="5"/>
        <v>0</v>
      </c>
      <c r="D260" s="62">
        <f t="shared" si="6"/>
        <v>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84"/>
      <c r="B261" s="82"/>
      <c r="C261" s="64">
        <f t="shared" si="5"/>
        <v>0</v>
      </c>
      <c r="D261" s="65">
        <f t="shared" si="6"/>
        <v>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2"/>
      <c r="B262" s="83"/>
      <c r="C262" s="61">
        <f t="shared" si="5"/>
        <v>0</v>
      </c>
      <c r="D262" s="62">
        <f t="shared" si="6"/>
        <v>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84"/>
      <c r="B263" s="82"/>
      <c r="C263" s="64">
        <f t="shared" si="5"/>
        <v>0</v>
      </c>
      <c r="D263" s="65">
        <f t="shared" si="6"/>
        <v>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2"/>
      <c r="B264" s="83"/>
      <c r="C264" s="61">
        <f t="shared" si="5"/>
        <v>0</v>
      </c>
      <c r="D264" s="62">
        <f t="shared" si="6"/>
        <v>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84"/>
      <c r="B265" s="82"/>
      <c r="C265" s="64">
        <f t="shared" si="5"/>
        <v>0</v>
      </c>
      <c r="D265" s="65">
        <f t="shared" si="6"/>
        <v>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2"/>
      <c r="B266" s="83"/>
      <c r="C266" s="32"/>
      <c r="D266" s="62">
        <f t="shared" si="6"/>
        <v>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84"/>
      <c r="B267" s="82"/>
      <c r="C267" s="84"/>
      <c r="D267" s="65">
        <f t="shared" si="6"/>
        <v>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2"/>
      <c r="B268" s="83"/>
      <c r="C268" s="32"/>
      <c r="D268" s="62">
        <f t="shared" si="6"/>
        <v>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84"/>
      <c r="B269" s="82"/>
      <c r="C269" s="84"/>
      <c r="D269" s="65">
        <f t="shared" si="6"/>
        <v>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2"/>
      <c r="B270" s="83"/>
      <c r="C270" s="32"/>
      <c r="D270" s="62">
        <f t="shared" si="6"/>
        <v>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84"/>
      <c r="B271" s="82"/>
      <c r="C271" s="84"/>
      <c r="D271" s="65">
        <f t="shared" si="6"/>
        <v>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2"/>
      <c r="B272" s="83"/>
      <c r="C272" s="32"/>
      <c r="D272" s="62">
        <f t="shared" si="6"/>
        <v>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84"/>
      <c r="B273" s="82"/>
      <c r="C273" s="84"/>
      <c r="D273" s="65">
        <f t="shared" si="6"/>
        <v>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5"/>
      <c r="B274" s="87"/>
      <c r="C274" s="25"/>
      <c r="D274" s="88">
        <f t="shared" si="6"/>
        <v>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8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8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8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8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8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8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8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8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8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8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8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8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8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8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8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8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8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8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8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8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8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8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8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8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8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8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8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8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8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8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8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8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8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8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8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8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8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8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8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8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8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8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8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8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8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8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8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8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8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8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8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8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8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8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8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8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8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8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8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8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8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8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8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8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8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8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8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8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8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8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8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8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8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8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8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8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8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8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8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8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8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8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8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8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8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8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8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8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8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8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8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8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8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8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8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8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8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8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8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8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8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8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8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8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8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8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8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8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8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8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8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8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8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8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8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8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8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8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8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8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8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8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8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8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8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8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8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8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8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8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8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8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8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8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8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8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8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8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8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8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8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8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8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8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8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8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8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8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8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8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8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8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8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8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8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8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8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8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8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8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8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8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8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8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8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8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8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8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8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8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8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8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8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8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8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8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8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8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8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8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8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8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8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8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8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8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8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8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8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8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8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8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8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8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8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8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8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8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8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8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8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8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8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8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8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8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8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8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8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8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8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8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8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8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8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8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8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8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8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8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8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8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8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8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8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8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8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8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8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8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8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8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8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8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8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8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8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8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8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8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8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8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8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8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8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8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8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8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8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8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8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8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8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8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8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8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8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8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8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8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8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8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8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8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8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8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8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8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8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8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8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8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8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8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8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8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8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8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8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8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8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8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8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8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8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8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8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8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8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8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8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8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8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8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8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8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8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8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8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8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8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8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8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8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8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8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8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8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8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8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8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8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8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8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8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8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8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8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8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8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8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8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8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8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8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8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8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8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8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8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8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8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8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8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8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8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8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8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8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8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8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8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8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8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8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8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8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8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8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8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8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8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8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8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8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8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8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8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8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8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8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8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8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8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8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8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8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8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8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8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8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8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8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8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8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8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8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8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8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8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8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8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8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8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8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8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8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8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8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8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8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8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8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8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8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8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8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8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8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8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8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8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8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8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8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8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8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8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8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8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8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8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8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8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8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8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8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8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8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8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8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8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8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8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8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8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8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8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8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8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8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8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8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8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8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8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8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8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8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8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8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8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8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8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8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8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8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8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8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8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8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8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8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8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8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8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8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8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8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8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8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8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8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8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8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8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8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8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8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8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8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8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8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8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8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8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8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8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8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8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8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8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8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8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8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8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8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8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8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8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8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8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8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8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8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8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8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8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8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8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8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8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8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8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8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8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8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8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8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8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8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8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8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8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8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8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8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8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8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8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8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8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8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8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8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8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8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8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8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8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8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8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8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8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8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8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8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8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8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8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8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8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8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8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8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8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8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8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8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8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8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8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8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8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8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8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8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8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8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8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8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8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8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8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8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8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8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8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8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8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8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8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8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8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8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8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8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8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8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8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8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8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8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8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8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8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8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8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8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8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8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8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8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8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8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8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8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8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8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8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8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8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8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8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8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8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8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8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8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8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8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8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8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8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8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8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8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8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8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8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8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8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8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8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8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8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8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8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8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8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8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8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8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8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8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8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8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8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8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8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8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8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8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8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8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8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8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8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8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8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8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8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8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8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8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8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8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8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8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8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8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8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8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8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8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8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8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8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8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8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8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8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8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8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8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8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8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8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8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8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8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8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8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8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8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8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8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8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8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8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8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8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8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8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8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8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8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8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8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8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8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8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8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8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8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8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8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8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8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8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8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8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8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8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8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8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8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8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8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8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8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8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8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8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$A$3:$D$998"/>
  <mergeCells count="1">
    <mergeCell ref="A1:D2"/>
  </mergeCells>
  <drawing r:id="rId1"/>
</worksheet>
</file>
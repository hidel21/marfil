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ÁMETROS" sheetId="1" state="visible" r:id="rId1"/>
    <sheet name="CONTROL" sheetId="2" state="visible" r:id="rId2"/>
    <sheet name="VENTAS" sheetId="3" state="visible" r:id="rId3"/>
    <sheet name="REGISTRO DE CUOTAS" sheetId="4" state="visible" r:id="rId4"/>
    <sheet name="GASTOS Y COMPRAS" sheetId="5" state="visible" r:id="rId5"/>
    <sheet name="PRECIOS PERF ORIGINALES" sheetId="6" state="visible" r:id="rId6"/>
    <sheet name="PRECIOS PERF TOP QUALITY" sheetId="7" state="visible" r:id="rId7"/>
    <sheet name="CHANGELOG" sheetId="8" state="visible" r:id="rId8"/>
  </sheets>
  <definedNames>
    <definedName name="GANANCIA_DIVISA">'PARÁMETROS'!$B$5</definedName>
    <definedName name="GANANCIA_BCV">'PARÁMETROS'!$B$6</definedName>
    <definedName name="DESC_TEAM">'PARÁMETROS'!$B$7</definedName>
    <definedName name="DESC_REVENDEDOR">'PARÁMETROS'!$B$8</definedName>
    <definedName name="_xlnm._FilterDatabase" localSheetId="3" hidden="1">'REGISTRO DE CUOTAS'!$A$3:$I$203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0.0%"/>
    <numFmt numFmtId="165" formatCode="yyyy-mm-dd h:mm:ss"/>
    <numFmt numFmtId="166" formatCode="dd/mm/yyyy"/>
    <numFmt numFmtId="167" formatCode="&quot;$&quot;#,##0.00"/>
    <numFmt numFmtId="168" formatCode="&quot;Bs &quot;#,##0.00"/>
    <numFmt numFmtId="169" formatCode="yyyy-mm-dd"/>
    <numFmt numFmtId="170" formatCode="0 %"/>
  </numFmts>
  <fonts count="14">
    <font>
      <name val="Calibri"/>
      <family val="2"/>
      <color theme="1"/>
      <sz val="11"/>
      <scheme val="minor"/>
    </font>
    <font>
      <b val="1"/>
      <color rgb="000F3440"/>
      <sz val="15"/>
    </font>
    <font>
      <i val="1"/>
      <color rgb="00555555"/>
      <sz val="9"/>
    </font>
    <font>
      <b val="1"/>
      <color rgb="00FFFFFF"/>
      <sz val="10"/>
    </font>
    <font>
      <b val="1"/>
      <sz val="10"/>
    </font>
    <font>
      <b val="1"/>
    </font>
    <font>
      <sz val="9"/>
    </font>
    <font>
      <i val="1"/>
      <color rgb="004A6B75"/>
      <sz val="9"/>
    </font>
    <font>
      <i val="1"/>
      <sz val="9"/>
    </font>
    <font>
      <sz val="10"/>
    </font>
    <font>
      <i val="1"/>
      <color rgb="00A0522D"/>
      <sz val="8"/>
    </font>
    <font>
      <i val="1"/>
      <color rgb="00A0522D"/>
      <sz val="9"/>
    </font>
    <font>
      <color rgb="00666666"/>
      <sz val="9"/>
    </font>
    <font>
      <color rgb="004A6B75"/>
      <sz val="9"/>
    </font>
  </fonts>
  <fills count="11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FF4D6"/>
      </patternFill>
    </fill>
    <fill>
      <patternFill patternType="solid">
        <fgColor rgb="002E6F82"/>
      </patternFill>
    </fill>
    <fill>
      <patternFill patternType="solid">
        <fgColor rgb="00EEF4F6"/>
      </patternFill>
    </fill>
    <fill>
      <patternFill patternType="solid">
        <fgColor rgb="00F7FAFB"/>
      </patternFill>
    </fill>
    <fill>
      <patternFill patternType="solid">
        <fgColor rgb="00FCE8E6"/>
      </patternFill>
    </fill>
    <fill>
      <patternFill patternType="solid">
        <fgColor rgb="00DCE9ED"/>
      </patternFill>
    </fill>
    <fill>
      <patternFill patternType="solid">
        <fgColor rgb="00F0E6F6"/>
      </patternFill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rgb="00B9CCD3"/>
      </left>
      <right style="thin">
        <color rgb="00B9CCD3"/>
      </right>
      <top style="thin">
        <color rgb="00B9CCD3"/>
      </top>
      <bottom style="thin">
        <color rgb="00B9CCD3"/>
      </bottom>
    </border>
    <border>
      <left style="thin">
        <color rgb="00B9CCD3"/>
      </left>
      <right style="thin">
        <color rgb="00B9CCD3"/>
      </right>
      <top style="thin">
        <color rgb="001F4E5F"/>
      </top>
      <bottom style="thin">
        <color rgb="00B9CCD3"/>
      </bottom>
    </border>
    <border>
      <left style="thin">
        <color rgb="00B9CCD3"/>
      </left>
      <right style="thin">
        <color rgb="00B9CCD3"/>
      </right>
      <top style="medium">
        <color rgb="001F4E5F"/>
      </top>
      <bottom style="thin">
        <color rgb="00B9CCD3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5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6" fillId="0" borderId="1" pivotButton="0" quotePrefix="0" xfId="0"/>
    <xf numFmtId="0" fontId="7" fillId="0" borderId="1" pivotButton="0" quotePrefix="0" xfId="0"/>
    <xf numFmtId="0" fontId="3" fillId="4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166" fontId="9" fillId="0" borderId="1" applyAlignment="1" pivotButton="0" quotePrefix="0" xfId="0">
      <alignment horizontal="center"/>
    </xf>
    <xf numFmtId="0" fontId="9" fillId="0" borderId="1" pivotButton="0" quotePrefix="0" xfId="0"/>
    <xf numFmtId="167" fontId="9" fillId="0" borderId="1" pivotButton="0" quotePrefix="0" xfId="0"/>
    <xf numFmtId="168" fontId="9" fillId="0" borderId="1" pivotButton="0" quotePrefix="0" xfId="0"/>
    <xf numFmtId="0" fontId="9" fillId="0" borderId="1" applyAlignment="1" pivotButton="0" quotePrefix="0" xfId="0">
      <alignment horizontal="center"/>
    </xf>
    <xf numFmtId="168" fontId="9" fillId="5" borderId="1" pivotButton="0" quotePrefix="0" xfId="0"/>
    <xf numFmtId="0" fontId="4" fillId="6" borderId="1" pivotButton="0" quotePrefix="0" xfId="0"/>
    <xf numFmtId="3" fontId="4" fillId="0" borderId="1" applyAlignment="1" pivotButton="0" quotePrefix="0" xfId="0">
      <alignment horizontal="right"/>
    </xf>
    <xf numFmtId="167" fontId="4" fillId="0" borderId="1" applyAlignment="1" pivotButton="0" quotePrefix="0" xfId="0">
      <alignment horizontal="right"/>
    </xf>
    <xf numFmtId="168" fontId="4" fillId="0" borderId="1" applyAlignment="1" pivotButton="0" quotePrefix="0" xfId="0">
      <alignment horizontal="right"/>
    </xf>
    <xf numFmtId="0" fontId="8" fillId="0" borderId="1" pivotButton="0" quotePrefix="0" xfId="0"/>
    <xf numFmtId="167" fontId="5" fillId="3" borderId="1" pivotButton="0" quotePrefix="0" xfId="0"/>
    <xf numFmtId="0" fontId="10" fillId="0" borderId="0" pivotButton="0" quotePrefix="0" xfId="0"/>
    <xf numFmtId="0" fontId="11" fillId="0" borderId="0" pivotButton="0" quotePrefix="0" xfId="0"/>
    <xf numFmtId="0" fontId="6" fillId="0" borderId="0" pivotButton="0" quotePrefix="0" xfId="0"/>
    <xf numFmtId="0" fontId="0" fillId="7" borderId="1" pivotButton="0" quotePrefix="0" xfId="0"/>
    <xf numFmtId="0" fontId="0" fillId="0" borderId="1" pivotButton="0" quotePrefix="0" xfId="0"/>
    <xf numFmtId="167" fontId="0" fillId="0" borderId="1" pivotButton="0" quotePrefix="0" xfId="0"/>
    <xf numFmtId="167" fontId="0" fillId="5" borderId="1" pivotButton="0" quotePrefix="0" xfId="0"/>
    <xf numFmtId="164" fontId="0" fillId="5" borderId="1" applyAlignment="1" pivotButton="0" quotePrefix="0" xfId="0">
      <alignment horizontal="center"/>
    </xf>
    <xf numFmtId="164" fontId="4" fillId="0" borderId="1" applyAlignment="1" pivotButton="0" quotePrefix="0" xfId="0">
      <alignment horizontal="right"/>
    </xf>
    <xf numFmtId="0" fontId="10" fillId="0" borderId="0" applyAlignment="1" pivotButton="0" quotePrefix="0" xfId="0">
      <alignment vertical="top" wrapText="1"/>
    </xf>
    <xf numFmtId="0" fontId="0" fillId="6" borderId="1" pivotButton="0" quotePrefix="0" xfId="0"/>
    <xf numFmtId="166" fontId="0" fillId="6" borderId="1" pivotButton="0" quotePrefix="0" xfId="0"/>
    <xf numFmtId="167" fontId="0" fillId="6" borderId="1" pivotButton="0" quotePrefix="0" xfId="0"/>
    <xf numFmtId="166" fontId="0" fillId="0" borderId="1" pivotButton="0" quotePrefix="0" xfId="0"/>
    <xf numFmtId="0" fontId="4" fillId="8" borderId="1" pivotButton="0" quotePrefix="0" xfId="0"/>
    <xf numFmtId="166" fontId="4" fillId="8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12" fillId="8" borderId="1" pivotButton="0" quotePrefix="0" xfId="0"/>
    <xf numFmtId="0" fontId="3" fillId="4" borderId="1" applyAlignment="1" pivotButton="0" quotePrefix="0" xfId="0">
      <alignment horizontal="center" vertical="center" wrapText="1"/>
    </xf>
    <xf numFmtId="166" fontId="0" fillId="0" borderId="1" applyAlignment="1" pivotButton="0" quotePrefix="0" xfId="0">
      <alignment horizontal="center"/>
    </xf>
    <xf numFmtId="0" fontId="12" fillId="0" borderId="1" pivotButton="0" quotePrefix="0" xfId="0"/>
    <xf numFmtId="0" fontId="4" fillId="3" borderId="2" pivotButton="0" quotePrefix="0" xfId="0"/>
    <xf numFmtId="166" fontId="4" fillId="3" borderId="2" applyAlignment="1" pivotButton="0" quotePrefix="0" xfId="0">
      <alignment horizontal="center"/>
    </xf>
    <xf numFmtId="0" fontId="4" fillId="3" borderId="2" applyAlignment="1" pivotButton="0" quotePrefix="0" xfId="0">
      <alignment horizontal="center"/>
    </xf>
    <xf numFmtId="167" fontId="4" fillId="3" borderId="2" pivotButton="0" quotePrefix="0" xfId="0"/>
    <xf numFmtId="0" fontId="12" fillId="3" borderId="2" pivotButton="0" quotePrefix="0" xfId="0"/>
    <xf numFmtId="0" fontId="5" fillId="0" borderId="3" pivotButton="0" quotePrefix="0" xfId="0"/>
    <xf numFmtId="167" fontId="5" fillId="0" borderId="3" pivotButton="0" quotePrefix="0" xfId="0"/>
    <xf numFmtId="0" fontId="5" fillId="0" borderId="1" pivotButton="0" quotePrefix="0" xfId="0"/>
    <xf numFmtId="167" fontId="5" fillId="0" borderId="1" pivotButton="0" quotePrefix="0" xfId="0"/>
    <xf numFmtId="168" fontId="5" fillId="0" borderId="1" pivotButton="0" quotePrefix="0" xfId="0"/>
    <xf numFmtId="0" fontId="0" fillId="9" borderId="1" pivotButton="0" quotePrefix="0" xfId="0"/>
    <xf numFmtId="0" fontId="0" fillId="9" borderId="1" applyAlignment="1" pivotButton="0" quotePrefix="0" xfId="0">
      <alignment horizontal="center"/>
    </xf>
    <xf numFmtId="167" fontId="0" fillId="9" borderId="1" pivotButton="0" quotePrefix="0" xfId="0"/>
    <xf numFmtId="168" fontId="0" fillId="9" borderId="1" pivotButton="0" quotePrefix="0" xfId="0"/>
    <xf numFmtId="0" fontId="12" fillId="9" borderId="1" pivotButton="0" quotePrefix="0" xfId="0"/>
    <xf numFmtId="166" fontId="0" fillId="9" borderId="1" applyAlignment="1" pivotButton="0" quotePrefix="0" xfId="0">
      <alignment horizontal="center"/>
    </xf>
    <xf numFmtId="167" fontId="0" fillId="10" borderId="1" pivotButton="0" quotePrefix="0" xfId="0"/>
    <xf numFmtId="0" fontId="13" fillId="0" borderId="1" applyAlignment="1" pivotButton="0" quotePrefix="0" xfId="0">
      <alignment horizontal="left"/>
    </xf>
    <xf numFmtId="17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vertical="top"/>
    </xf>
    <xf numFmtId="0" fontId="9" fillId="0" borderId="1" applyAlignment="1" pivotButton="0" quotePrefix="0" xfId="0">
      <alignment vertical="top"/>
    </xf>
    <xf numFmtId="0" fontId="9" fillId="0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E6F4EA"/>
        </patternFill>
      </fill>
    </dxf>
    <dxf>
      <fill>
        <patternFill patternType="solid">
          <fgColor rgb="00FCE8E6"/>
        </patternFill>
      </fill>
    </dxf>
    <dxf>
      <fill>
        <patternFill patternType="solid">
          <fgColor rgb="00FFF8E1"/>
        </patternFill>
      </fill>
    </dxf>
    <dxf>
      <font>
        <b val="1"/>
        <color rgb="009C0006"/>
      </font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Control" displayName="Control" ref="A3:Q39" headerRowCount="1">
  <autoFilter ref="A3:Q39"/>
  <tableColumns count="17">
    <tableColumn id="1" name="FECHA VENTA"/>
    <tableColumn id="2" name="CLIENTE"/>
    <tableColumn id="3" name="VENDEDOR"/>
    <tableColumn id="4" name="PRODUCTO"/>
    <tableColumn id="5" name="PRECIO TOTAL ($)"/>
    <tableColumn id="6" name="MONTO Bs P1"/>
    <tableColumn id="7" name="FECHA P1"/>
    <tableColumn id="8" name="REFERENCIA P1"/>
    <tableColumn id="9" name="MONTO Bs P2"/>
    <tableColumn id="10" name="FECHA P2"/>
    <tableColumn id="11" name="REFERENCIA P2"/>
    <tableColumn id="12" name="MONTO Bs P3"/>
    <tableColumn id="13" name="FECHA P3"/>
    <tableColumn id="14" name="REFERENCIA P3"/>
    <tableColumn id="15" name="ESTATUS"/>
    <tableColumn id="16" name="TOTAL ABONADO Bs"/>
    <tableColumn id="17" name="NOTAS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id="2" name="Ventas" displayName="Ventas" ref="A3:L45" headerRowCount="1">
  <autoFilter ref="A3:L45"/>
  <tableColumns count="12">
    <tableColumn id="1" name="N° OPERACIÓN"/>
    <tableColumn id="2" name="PRODUCTO"/>
    <tableColumn id="3" name="CLIENTE"/>
    <tableColumn id="4" name="VENDEDOR"/>
    <tableColumn id="5" name="PRECIO VENTA ($)"/>
    <tableColumn id="6" name="COSTO ($)"/>
    <tableColumn id="7" name="GANANCIA ($)"/>
    <tableColumn id="8" name="MARGEN"/>
    <tableColumn id="9" name="MONEDA"/>
    <tableColumn id="10" name="ABONADO ($)"/>
    <tableColumn id="11" name="DEUDA ($)"/>
    <tableColumn id="12" name="NOTAS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id="3" name="Gastos" displayName="Gastos" ref="A3:H80" headerRowCount="1">
  <autoFilter ref="A3:H80"/>
  <tableColumns count="8">
    <tableColumn id="1" name="LOTE"/>
    <tableColumn id="2" name="FECHA LOTE"/>
    <tableColumn id="3" name="TIPO"/>
    <tableColumn id="4" name="DESCRIPCIÓN"/>
    <tableColumn id="5" name="MONTO ($)"/>
    <tableColumn id="6" name="MONTO Bs"/>
    <tableColumn id="7" name="CANAL"/>
    <tableColumn id="8" name="TEXTO ORIGINAL"/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id="4" name="PreciosOriginales" displayName="PreciosOriginales" ref="A3:D36" headerRowCount="1">
  <autoFilter ref="A3:D36"/>
  <tableColumns count="4">
    <tableColumn id="1" name="PRODUCTO"/>
    <tableColumn id="2" name="PRECIO ORIGINAL ($)"/>
    <tableColumn id="3" name="PRECIO TEAM ($)"/>
    <tableColumn id="4" name="PRECIO REVENDEDOR ($)"/>
  </tableColumns>
  <tableStyleInfo name="TableStyleLight13" showFirstColumn="0" showLastColumn="0" showRowStripes="1" showColumnStripes="0"/>
</table>
</file>

<file path=xl/tables/table5.xml><?xml version="1.0" encoding="utf-8"?>
<table xmlns="http://schemas.openxmlformats.org/spreadsheetml/2006/main" id="5" name="PreciosTopQuality" displayName="PreciosTopQuality" ref="A3:E215" headerRowCount="1">
  <autoFilter ref="A3:E215"/>
  <tableColumns count="5">
    <tableColumn id="1" name="LÍNEA"/>
    <tableColumn id="2" name="PRODUCTO"/>
    <tableColumn id="3" name="COSTO ($)"/>
    <tableColumn id="4" name="PRECIO DIVISA / USDT ($)  +70%"/>
    <tableColumn id="5" name="PRECIO TASA BCV ($)  +120%"/>
  </tableColumns>
  <tableStyleInfo name="TableStyleLight13" showFirstColumn="0" showLastColumn="0" showRowStripes="1" showColumnStripes="0"/>
</table>
</file>

<file path=xl/tables/table6.xml><?xml version="1.0" encoding="utf-8"?>
<table xmlns="http://schemas.openxmlformats.org/spreadsheetml/2006/main" id="6" name="Changelog" displayName="Changelog" ref="A3:C43" headerRowCount="1">
  <autoFilter ref="A3:C43"/>
  <tableColumns count="3">
    <tableColumn id="1" name="HOJA"/>
    <tableColumn id="2" name="TIPO DE CAMBIO"/>
    <tableColumn id="3" name="DETALLE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tabColor rgb="00B8860B"/>
    <outlinePr summaryBelow="1" summaryRight="1"/>
    <pageSetUpPr/>
  </sheetPr>
  <dimension ref="A1:E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9" customWidth="1" min="3" max="3"/>
    <col width="66" customWidth="1" min="4" max="4"/>
    <col width="24" customWidth="1" min="5" max="5"/>
  </cols>
  <sheetData>
    <row r="1">
      <c r="A1" s="1" t="inlineStr">
        <is>
          <t>PARÁMETROS DEL SISTEMA</t>
        </is>
      </c>
    </row>
    <row r="2">
      <c r="A2" s="2" t="inlineStr">
        <is>
          <t>Editá solo estas celdas amarillas: todas las listas de precios se recalculan solas. Los dos primeros valores son la GANANCIA SOBRE EL COSTO, no el precio final.</t>
        </is>
      </c>
    </row>
    <row r="4" ht="30" customHeight="1">
      <c r="A4" s="3" t="inlineStr">
        <is>
          <t>Nombre definido</t>
        </is>
      </c>
      <c r="B4" s="3" t="inlineStr">
        <is>
          <t>Valor</t>
        </is>
      </c>
      <c r="C4" s="3" t="inlineStr">
        <is>
          <t>Formato</t>
        </is>
      </c>
      <c r="D4" s="3" t="inlineStr">
        <is>
          <t>Qué controla</t>
        </is>
      </c>
      <c r="E4" s="3" t="inlineStr">
        <is>
          <t>Equivale a</t>
        </is>
      </c>
    </row>
    <row r="5">
      <c r="A5" s="4" t="inlineStr">
        <is>
          <t>GANANCIA_DIVISA</t>
        </is>
      </c>
      <c r="B5" s="5" t="n">
        <v>0.7</v>
      </c>
      <c r="C5" s="6" t="inlineStr">
        <is>
          <t>%</t>
        </is>
      </c>
      <c r="D5" s="7" t="inlineStr">
        <is>
          <t>Ganancia sobre el COSTO cuando el cliente paga en divisa o USDT (PRECIOS PERF TOP QUALITY)</t>
        </is>
      </c>
      <c r="E5" s="8" t="inlineStr">
        <is>
          <t>precio = costo × 1,70</t>
        </is>
      </c>
    </row>
    <row r="6">
      <c r="A6" s="4" t="inlineStr">
        <is>
          <t>GANANCIA_BCV</t>
        </is>
      </c>
      <c r="B6" s="5" t="n">
        <v>1.2</v>
      </c>
      <c r="C6" s="6" t="inlineStr">
        <is>
          <t>%</t>
        </is>
      </c>
      <c r="D6" s="7" t="inlineStr">
        <is>
          <t>Ganancia sobre el COSTO cuando el cliente paga a tasa BCV (PRECIOS PERF TOP QUALITY)</t>
        </is>
      </c>
      <c r="E6" s="8" t="inlineStr">
        <is>
          <t>precio = costo × 2,20</t>
        </is>
      </c>
    </row>
    <row r="7">
      <c r="A7" s="4" t="inlineStr">
        <is>
          <t>DESC_TEAM</t>
        </is>
      </c>
      <c r="B7" s="5" t="n">
        <v>0.25</v>
      </c>
      <c r="C7" s="6" t="inlineStr">
        <is>
          <t>%</t>
        </is>
      </c>
      <c r="D7" s="7" t="inlineStr">
        <is>
          <t>Descuento sobre el precio original para el team (PRECIOS PERF ORIGINALES)</t>
        </is>
      </c>
      <c r="E7" s="8" t="inlineStr">
        <is>
          <t>precio = original × 0,75</t>
        </is>
      </c>
    </row>
    <row r="8">
      <c r="A8" s="4" t="inlineStr">
        <is>
          <t>DESC_REVENDEDOR</t>
        </is>
      </c>
      <c r="B8" s="5" t="n">
        <v>0.15</v>
      </c>
      <c r="C8" s="6" t="inlineStr">
        <is>
          <t>%</t>
        </is>
      </c>
      <c r="D8" s="7" t="inlineStr">
        <is>
          <t>Descuento sobre el precio original para revendedores (PRECIOS PERF ORIGINALES)</t>
        </is>
      </c>
      <c r="E8" s="8" t="inlineStr">
        <is>
          <t>precio = original × 0,85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5F"/>
    <outlinePr summaryBelow="1" summaryRight="1"/>
    <pageSetUpPr/>
  </sheetPr>
  <dimension ref="A1:T39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.5" customWidth="1" min="1" max="1"/>
    <col width="20.5" customWidth="1" min="2" max="2"/>
    <col width="11.5" customWidth="1" min="3" max="3"/>
    <col width="22.5" customWidth="1" min="4" max="4"/>
    <col width="18.5" customWidth="1" min="5" max="5"/>
    <col width="14.5" customWidth="1" min="6" max="6"/>
    <col width="13.5" customWidth="1" min="7" max="7"/>
    <col width="15.5" customWidth="1" min="8" max="8"/>
    <col width="14.5" customWidth="1" min="9" max="9"/>
    <col width="13.5" customWidth="1" min="10" max="10"/>
    <col width="15.5" customWidth="1" min="11" max="11"/>
    <col width="13.5" customWidth="1" min="12" max="12"/>
    <col width="13.5" customWidth="1" min="13" max="13"/>
    <col width="15.5" customWidth="1" min="14" max="14"/>
    <col width="24.5" customWidth="1" min="15" max="15"/>
    <col width="18.5" customWidth="1" min="16" max="16"/>
    <col width="46" customWidth="1" min="17" max="17"/>
    <col width="3" customWidth="1" min="18" max="18"/>
    <col width="28" customWidth="1" min="19" max="19"/>
    <col width="16" customWidth="1" min="20" max="20"/>
  </cols>
  <sheetData>
    <row r="1">
      <c r="A1" s="1" t="inlineStr">
        <is>
          <t>CONTROL DE PAGOS Y COBRANZA</t>
        </is>
      </c>
    </row>
    <row r="2">
      <c r="F2" s="9" t="inlineStr">
        <is>
          <t>PAGO 1</t>
        </is>
      </c>
      <c r="I2" s="9" t="inlineStr">
        <is>
          <t>PAGO 2</t>
        </is>
      </c>
      <c r="L2" s="9" t="inlineStr">
        <is>
          <t>PAGO 3</t>
        </is>
      </c>
    </row>
    <row r="3" ht="20" customHeight="1">
      <c r="A3" s="3" t="inlineStr">
        <is>
          <t>FECHA VENTA</t>
        </is>
      </c>
      <c r="B3" s="3" t="inlineStr">
        <is>
          <t>CLIENTE</t>
        </is>
      </c>
      <c r="C3" s="3" t="inlineStr">
        <is>
          <t>VENDEDOR</t>
        </is>
      </c>
      <c r="D3" s="3" t="inlineStr">
        <is>
          <t>PRODUCTO</t>
        </is>
      </c>
      <c r="E3" s="3" t="inlineStr">
        <is>
          <t>PRECIO TOTAL ($)</t>
        </is>
      </c>
      <c r="F3" s="3" t="inlineStr">
        <is>
          <t>MONTO Bs P1</t>
        </is>
      </c>
      <c r="G3" s="3" t="inlineStr">
        <is>
          <t>FECHA P1</t>
        </is>
      </c>
      <c r="H3" s="3" t="inlineStr">
        <is>
          <t>REFERENCIA P1</t>
        </is>
      </c>
      <c r="I3" s="3" t="inlineStr">
        <is>
          <t>MONTO Bs P2</t>
        </is>
      </c>
      <c r="J3" s="3" t="inlineStr">
        <is>
          <t>FECHA P2</t>
        </is>
      </c>
      <c r="K3" s="3" t="inlineStr">
        <is>
          <t>REFERENCIA P2</t>
        </is>
      </c>
      <c r="L3" s="3" t="inlineStr">
        <is>
          <t>MONTO Bs P3</t>
        </is>
      </c>
      <c r="M3" s="3" t="inlineStr">
        <is>
          <t>FECHA P3</t>
        </is>
      </c>
      <c r="N3" s="3" t="inlineStr">
        <is>
          <t>REFERENCIA P3</t>
        </is>
      </c>
      <c r="O3" s="3" t="inlineStr">
        <is>
          <t>ESTATUS</t>
        </is>
      </c>
      <c r="P3" s="3" t="inlineStr">
        <is>
          <t>TOTAL ABONADO Bs</t>
        </is>
      </c>
      <c r="Q3" s="3" t="inlineStr">
        <is>
          <t>NOTAS</t>
        </is>
      </c>
      <c r="S3" s="10" t="inlineStr">
        <is>
          <t>RESUMEN (dinámico)</t>
        </is>
      </c>
    </row>
    <row r="4">
      <c r="A4" s="11" t="n">
        <v>46200</v>
      </c>
      <c r="B4" s="12" t="inlineStr">
        <is>
          <t>Cristhian</t>
        </is>
      </c>
      <c r="C4" s="12" t="inlineStr">
        <is>
          <t>Gregory</t>
        </is>
      </c>
      <c r="D4" s="12" t="inlineStr">
        <is>
          <t>Very Good Girl</t>
        </is>
      </c>
      <c r="E4" s="13" t="n">
        <v>24</v>
      </c>
      <c r="F4" s="14" t="n">
        <v>7466.56</v>
      </c>
      <c r="G4" s="11" t="n">
        <v>46200</v>
      </c>
      <c r="H4" s="15" t="inlineStr">
        <is>
          <t>5863</t>
        </is>
      </c>
      <c r="I4" s="14" t="n">
        <v>7835.67</v>
      </c>
      <c r="J4" s="11" t="n">
        <v>46207</v>
      </c>
      <c r="K4" s="15" t="inlineStr">
        <is>
          <t>9442</t>
        </is>
      </c>
      <c r="L4" s="12" t="n"/>
      <c r="M4" s="15" t="n"/>
      <c r="N4" s="12" t="n"/>
      <c r="O4" s="12" t="inlineStr">
        <is>
          <t>YA PAGO</t>
        </is>
      </c>
      <c r="P4" s="16">
        <f>IF(COUNT(F4,I4,L4)=0,"",SUM(F4,I4,L4))</f>
        <v/>
      </c>
      <c r="Q4" s="12" t="n"/>
      <c r="S4" s="17" t="inlineStr">
        <is>
          <t>Operaciones registradas</t>
        </is>
      </c>
      <c r="T4" s="18">
        <f>COUNT(A:A)</f>
        <v/>
      </c>
    </row>
    <row r="5">
      <c r="A5" s="11" t="n">
        <v>46200</v>
      </c>
      <c r="B5" s="12" t="inlineStr">
        <is>
          <t>Amarista</t>
        </is>
      </c>
      <c r="C5" s="12" t="inlineStr">
        <is>
          <t>Gregory</t>
        </is>
      </c>
      <c r="D5" s="12" t="inlineStr">
        <is>
          <t>Khamrah Qahwa</t>
        </is>
      </c>
      <c r="E5" s="13" t="n">
        <v>42</v>
      </c>
      <c r="F5" s="14" t="n">
        <v>13066.48</v>
      </c>
      <c r="G5" s="11" t="n">
        <v>46200</v>
      </c>
      <c r="H5" s="15" t="inlineStr">
        <is>
          <t>6585</t>
        </is>
      </c>
      <c r="I5" s="14" t="n">
        <v>14903.56</v>
      </c>
      <c r="J5" s="11" t="n">
        <v>46214</v>
      </c>
      <c r="K5" s="15" t="inlineStr">
        <is>
          <t>5675</t>
        </is>
      </c>
      <c r="L5" s="12" t="n"/>
      <c r="M5" s="15" t="n"/>
      <c r="N5" s="12" t="n"/>
      <c r="O5" s="12" t="inlineStr">
        <is>
          <t>YA PAGO</t>
        </is>
      </c>
      <c r="P5" s="16">
        <f>IF(COUNT(F5,I5,L5)=0,"",SUM(F5,I5,L5))</f>
        <v/>
      </c>
      <c r="Q5" s="12" t="n"/>
      <c r="S5" s="17" t="inlineStr">
        <is>
          <t>Total en Ventas ($)</t>
        </is>
      </c>
      <c r="T5" s="19">
        <f>SUM(E:E)</f>
        <v/>
      </c>
    </row>
    <row r="6">
      <c r="A6" s="11" t="n">
        <v>46201</v>
      </c>
      <c r="B6" s="12" t="inlineStr">
        <is>
          <t>Ángel</t>
        </is>
      </c>
      <c r="C6" s="12" t="inlineStr">
        <is>
          <t>Gregory</t>
        </is>
      </c>
      <c r="D6" s="12" t="inlineStr">
        <is>
          <t>Bharara King</t>
        </is>
      </c>
      <c r="E6" s="13" t="n">
        <v>42</v>
      </c>
      <c r="F6" s="14" t="n">
        <v>13066.48</v>
      </c>
      <c r="G6" s="11" t="n">
        <v>46201</v>
      </c>
      <c r="H6" s="15" t="inlineStr">
        <is>
          <t>5135</t>
        </is>
      </c>
      <c r="I6" s="14" t="n">
        <v>15679.22</v>
      </c>
      <c r="J6" s="11" t="n">
        <v>46235</v>
      </c>
      <c r="K6" s="15" t="inlineStr">
        <is>
          <t>7366</t>
        </is>
      </c>
      <c r="L6" s="12" t="n"/>
      <c r="M6" s="15" t="n"/>
      <c r="N6" s="12" t="n"/>
      <c r="O6" s="12" t="inlineStr">
        <is>
          <t>YA PAGO</t>
        </is>
      </c>
      <c r="P6" s="16">
        <f>IF(COUNT(F6,I6,L6)=0,"",SUM(F6,I6,L6))</f>
        <v/>
      </c>
      <c r="Q6" s="12" t="n"/>
      <c r="S6" s="17" t="inlineStr">
        <is>
          <t>Total abonado en Bs</t>
        </is>
      </c>
      <c r="T6" s="20">
        <f>SUM(P:P)</f>
        <v/>
      </c>
    </row>
    <row r="7">
      <c r="A7" s="11" t="n">
        <v>46202</v>
      </c>
      <c r="B7" s="12" t="inlineStr">
        <is>
          <t>Ricardo</t>
        </is>
      </c>
      <c r="C7" s="12" t="inlineStr">
        <is>
          <t>Gregory</t>
        </is>
      </c>
      <c r="D7" s="12" t="inlineStr">
        <is>
          <t>Universe</t>
        </is>
      </c>
      <c r="E7" s="13" t="n">
        <v>42</v>
      </c>
      <c r="F7" s="14" t="n">
        <v>11823</v>
      </c>
      <c r="G7" s="11" t="n">
        <v>46202</v>
      </c>
      <c r="H7" s="15" t="inlineStr">
        <is>
          <t>9373</t>
        </is>
      </c>
      <c r="I7" s="14" t="n">
        <v>8730</v>
      </c>
      <c r="J7" s="11" t="n">
        <v>46219</v>
      </c>
      <c r="K7" s="15" t="inlineStr">
        <is>
          <t>1008</t>
        </is>
      </c>
      <c r="L7" s="14" t="n">
        <v>8307</v>
      </c>
      <c r="M7" s="11" t="n">
        <v>46239</v>
      </c>
      <c r="N7" s="15" t="inlineStr">
        <is>
          <t>542</t>
        </is>
      </c>
      <c r="O7" s="12" t="inlineStr">
        <is>
          <t>YA PAGO</t>
        </is>
      </c>
      <c r="P7" s="16">
        <f>IF(COUNT(F7,I7,L7)=0,"",SUM(F7,I7,L7))</f>
        <v/>
      </c>
      <c r="Q7" s="12" t="n"/>
      <c r="S7" s="17" t="inlineStr">
        <is>
          <t xml:space="preserve">  · Pago 1 (Bs)</t>
        </is>
      </c>
      <c r="T7" s="20">
        <f>SUM(F:F)</f>
        <v/>
      </c>
    </row>
    <row r="8">
      <c r="A8" s="11" t="n">
        <v>46206</v>
      </c>
      <c r="B8" s="12" t="inlineStr">
        <is>
          <t>Norelvis</t>
        </is>
      </c>
      <c r="C8" s="12" t="inlineStr">
        <is>
          <t>Gregory</t>
        </is>
      </c>
      <c r="D8" s="12" t="inlineStr">
        <is>
          <t>Cloud</t>
        </is>
      </c>
      <c r="E8" s="13" t="n">
        <v>30</v>
      </c>
      <c r="F8" s="14" t="n">
        <v>9794.59</v>
      </c>
      <c r="G8" s="11" t="n">
        <v>46206</v>
      </c>
      <c r="H8" s="15" t="inlineStr">
        <is>
          <t>8447</t>
        </is>
      </c>
      <c r="I8" s="14" t="n">
        <v>10645.4</v>
      </c>
      <c r="J8" s="11" t="n">
        <v>46215</v>
      </c>
      <c r="K8" s="15" t="inlineStr">
        <is>
          <t>4494</t>
        </is>
      </c>
      <c r="L8" s="12" t="n"/>
      <c r="M8" s="15" t="n"/>
      <c r="N8" s="12" t="n"/>
      <c r="O8" s="12" t="inlineStr">
        <is>
          <t>YA PAGO</t>
        </is>
      </c>
      <c r="P8" s="16">
        <f>IF(COUNT(F8,I8,L8)=0,"",SUM(F8,I8,L8))</f>
        <v/>
      </c>
      <c r="Q8" s="12" t="n"/>
      <c r="S8" s="17" t="inlineStr">
        <is>
          <t xml:space="preserve">  · Pago 2 (Bs)</t>
        </is>
      </c>
      <c r="T8" s="20">
        <f>SUM(I:I)</f>
        <v/>
      </c>
    </row>
    <row r="9">
      <c r="A9" s="11" t="n">
        <v>46207</v>
      </c>
      <c r="B9" s="12" t="inlineStr">
        <is>
          <t>Anderson</t>
        </is>
      </c>
      <c r="C9" s="12" t="inlineStr">
        <is>
          <t>Gregory</t>
        </is>
      </c>
      <c r="D9" s="12" t="inlineStr">
        <is>
          <t>212 Vip</t>
        </is>
      </c>
      <c r="E9" s="13" t="n">
        <v>22</v>
      </c>
      <c r="F9" s="14" t="n">
        <v>4580</v>
      </c>
      <c r="G9" s="11" t="n">
        <v>46207</v>
      </c>
      <c r="H9" s="15" t="inlineStr">
        <is>
          <t>172</t>
        </is>
      </c>
      <c r="I9" s="14" t="n">
        <v>5100</v>
      </c>
      <c r="J9" s="11" t="n">
        <v>46218</v>
      </c>
      <c r="K9" s="15" t="inlineStr">
        <is>
          <t>2830</t>
        </is>
      </c>
      <c r="L9" s="14" t="n">
        <v>5910</v>
      </c>
      <c r="M9" s="11" t="n">
        <v>46231</v>
      </c>
      <c r="N9" s="15" t="inlineStr">
        <is>
          <t>5001</t>
        </is>
      </c>
      <c r="O9" s="12" t="inlineStr">
        <is>
          <t>YA PAGO</t>
        </is>
      </c>
      <c r="P9" s="16">
        <f>IF(COUNT(F9,I9,L9)=0,"",SUM(F9,I9,L9))</f>
        <v/>
      </c>
      <c r="Q9" s="12" t="n"/>
      <c r="S9" s="17" t="inlineStr">
        <is>
          <t xml:space="preserve">  · Pago 3 (Bs)</t>
        </is>
      </c>
      <c r="T9" s="20">
        <f>SUM(L:L)</f>
        <v/>
      </c>
    </row>
    <row r="10">
      <c r="A10" s="11" t="n">
        <v>46207</v>
      </c>
      <c r="B10" s="12" t="inlineStr">
        <is>
          <t>Marbella</t>
        </is>
      </c>
      <c r="C10" s="12" t="inlineStr">
        <is>
          <t>Gregory</t>
        </is>
      </c>
      <c r="D10" s="12" t="inlineStr">
        <is>
          <t>Yara Moi</t>
        </is>
      </c>
      <c r="E10" s="13" t="n">
        <v>30</v>
      </c>
      <c r="F10" s="14" t="n">
        <v>13341</v>
      </c>
      <c r="G10" s="11" t="n">
        <v>46207</v>
      </c>
      <c r="H10" s="15" t="inlineStr">
        <is>
          <t>1469</t>
        </is>
      </c>
      <c r="I10" s="14" t="n">
        <v>7420</v>
      </c>
      <c r="J10" s="11" t="n">
        <v>46228</v>
      </c>
      <c r="K10" s="15" t="inlineStr">
        <is>
          <t>6675</t>
        </is>
      </c>
      <c r="L10" s="12" t="n"/>
      <c r="M10" s="15" t="n"/>
      <c r="N10" s="12" t="n"/>
      <c r="O10" s="12" t="inlineStr">
        <is>
          <t>YA PAGO</t>
        </is>
      </c>
      <c r="P10" s="16">
        <f>IF(COUNT(F10,I10,L10)=0,"",SUM(F10,I10,L10))</f>
        <v/>
      </c>
      <c r="Q10" s="21" t="inlineStr">
        <is>
          <t>Fecha pago 3 anotada como «listo»</t>
        </is>
      </c>
      <c r="S10" s="17" t="inlineStr">
        <is>
          <t>Operaciones YA PAGO</t>
        </is>
      </c>
      <c r="T10" s="18">
        <f>COUNTIF(O:O,"YA PAGO")</f>
        <v/>
      </c>
    </row>
    <row r="11">
      <c r="A11" s="11" t="n">
        <v>46207</v>
      </c>
      <c r="B11" s="12" t="inlineStr">
        <is>
          <t>Polanco</t>
        </is>
      </c>
      <c r="C11" s="12" t="inlineStr">
        <is>
          <t>Gregory</t>
        </is>
      </c>
      <c r="D11" s="12" t="inlineStr">
        <is>
          <t>Club de Nuit</t>
        </is>
      </c>
      <c r="E11" s="13" t="n">
        <v>30</v>
      </c>
      <c r="F11" s="14" t="n">
        <v>9794.59</v>
      </c>
      <c r="G11" s="11" t="n">
        <v>46207</v>
      </c>
      <c r="H11" s="15" t="inlineStr">
        <is>
          <t>9023</t>
        </is>
      </c>
      <c r="I11" s="14" t="n">
        <v>11068.22</v>
      </c>
      <c r="J11" s="11" t="n">
        <v>46228</v>
      </c>
      <c r="K11" s="15" t="inlineStr">
        <is>
          <t>2736</t>
        </is>
      </c>
      <c r="L11" s="12" t="n"/>
      <c r="M11" s="15" t="n"/>
      <c r="N11" s="12" t="n"/>
      <c r="O11" s="12" t="inlineStr">
        <is>
          <t>YA PAGO</t>
        </is>
      </c>
      <c r="P11" s="16">
        <f>IF(COUNT(F11,I11,L11)=0,"",SUM(F11,I11,L11))</f>
        <v/>
      </c>
      <c r="Q11" s="21" t="inlineStr">
        <is>
          <t>Fecha pago 3 anotada como «listo»</t>
        </is>
      </c>
      <c r="S11" s="17" t="inlineStr">
        <is>
          <t>Operaciones PENDIENTE</t>
        </is>
      </c>
      <c r="T11" s="18">
        <f>COUNTIF(O:O,"PENDIENTE*")</f>
        <v/>
      </c>
    </row>
    <row r="12">
      <c r="A12" s="11" t="n">
        <v>46214</v>
      </c>
      <c r="B12" s="12" t="inlineStr">
        <is>
          <t>Polanco</t>
        </is>
      </c>
      <c r="C12" s="12" t="inlineStr">
        <is>
          <t>Gregory</t>
        </is>
      </c>
      <c r="D12" s="12" t="inlineStr">
        <is>
          <t>Honor y Glory</t>
        </is>
      </c>
      <c r="E12" s="13" t="n">
        <v>35</v>
      </c>
      <c r="F12" s="14" t="n">
        <v>14193.87</v>
      </c>
      <c r="G12" s="11" t="n">
        <v>46214</v>
      </c>
      <c r="H12" s="15" t="inlineStr">
        <is>
          <t>5460</t>
        </is>
      </c>
      <c r="I12" s="14" t="n">
        <v>11199.45</v>
      </c>
      <c r="J12" s="11" t="n">
        <v>46236</v>
      </c>
      <c r="K12" s="15" t="inlineStr">
        <is>
          <t>2165</t>
        </is>
      </c>
      <c r="L12" s="12" t="n"/>
      <c r="M12" s="15" t="n"/>
      <c r="N12" s="12" t="n"/>
      <c r="O12" s="12" t="n"/>
      <c r="P12" s="16">
        <f>IF(COUNT(F12,I12,L12)=0,"",SUM(F12,I12,L12))</f>
        <v/>
      </c>
      <c r="Q12" s="12" t="n"/>
      <c r="S12" s="17" t="inlineStr">
        <is>
          <t>Operaciones sin estatus</t>
        </is>
      </c>
      <c r="T12" s="18">
        <f>SUMPRODUCT(($A$4:$A$39&lt;&gt;"")*($O$4:$O$39=""))</f>
        <v/>
      </c>
    </row>
    <row r="13">
      <c r="A13" s="11" t="n">
        <v>46215</v>
      </c>
      <c r="B13" s="12" t="inlineStr">
        <is>
          <t>Llovera</t>
        </is>
      </c>
      <c r="C13" s="12" t="inlineStr">
        <is>
          <t>Gregory</t>
        </is>
      </c>
      <c r="D13" s="12" t="inlineStr">
        <is>
          <t>Eros Men</t>
        </is>
      </c>
      <c r="E13" s="13" t="n">
        <v>24</v>
      </c>
      <c r="F13" s="14" t="n">
        <v>17000</v>
      </c>
      <c r="G13" s="11" t="n">
        <v>46215</v>
      </c>
      <c r="H13" s="15" t="inlineStr">
        <is>
          <t>1911</t>
        </is>
      </c>
      <c r="I13" s="12" t="n"/>
      <c r="J13" s="15" t="n"/>
      <c r="K13" s="12" t="n"/>
      <c r="L13" s="12" t="n"/>
      <c r="M13" s="15" t="n"/>
      <c r="N13" s="12" t="n"/>
      <c r="O13" s="12" t="inlineStr">
        <is>
          <t>YA PAGO</t>
        </is>
      </c>
      <c r="P13" s="16">
        <f>IF(COUNT(F13,I13,L13)=0,"",SUM(F13,I13,L13))</f>
        <v/>
      </c>
      <c r="Q13" s="12" t="n"/>
      <c r="S13" s="17" t="inlineStr">
        <is>
          <t>Operaciones sin ningún abono</t>
        </is>
      </c>
      <c r="T13" s="18">
        <f>SUMPRODUCT(($A$4:$A$39&lt;&gt;"")*($F$4:$F$39="")*($I$4:$I$39="")*($L$4:$L$39=""))</f>
        <v/>
      </c>
    </row>
    <row r="14">
      <c r="A14" s="11" t="n">
        <v>46218</v>
      </c>
      <c r="B14" s="12" t="inlineStr">
        <is>
          <t>Belisario</t>
        </is>
      </c>
      <c r="C14" s="12" t="inlineStr">
        <is>
          <t>Gregory</t>
        </is>
      </c>
      <c r="D14" s="12" t="inlineStr">
        <is>
          <t>Club de Nuit Urban</t>
        </is>
      </c>
      <c r="E14" s="13" t="n">
        <v>30</v>
      </c>
      <c r="F14" s="14" t="n">
        <v>10886.21</v>
      </c>
      <c r="G14" s="11" t="n">
        <v>46218</v>
      </c>
      <c r="H14" s="15" t="inlineStr">
        <is>
          <t>7099</t>
        </is>
      </c>
      <c r="I14" s="12" t="n"/>
      <c r="J14" s="15" t="n"/>
      <c r="K14" s="12" t="n"/>
      <c r="L14" s="12" t="n"/>
      <c r="M14" s="15" t="n"/>
      <c r="N14" s="12" t="n"/>
      <c r="O14" s="12" t="inlineStr">
        <is>
          <t>PENDIENTE</t>
        </is>
      </c>
      <c r="P14" s="16">
        <f>IF(COUNT(F14,I14,L14)=0,"",SUM(F14,I14,L14))</f>
        <v/>
      </c>
      <c r="Q14" s="12" t="n"/>
    </row>
    <row r="15">
      <c r="A15" s="11" t="n">
        <v>46219</v>
      </c>
      <c r="B15" s="12" t="inlineStr">
        <is>
          <t>Fernanda</t>
        </is>
      </c>
      <c r="C15" s="12" t="inlineStr">
        <is>
          <t>Gregory</t>
        </is>
      </c>
      <c r="D15" s="12" t="inlineStr">
        <is>
          <t>Yara Fem</t>
        </is>
      </c>
      <c r="E15" s="13" t="n">
        <v>30</v>
      </c>
      <c r="F15" s="14" t="n">
        <v>14549.02</v>
      </c>
      <c r="G15" s="11" t="n">
        <v>46219</v>
      </c>
      <c r="H15" s="15" t="inlineStr">
        <is>
          <t>7014</t>
        </is>
      </c>
      <c r="I15" s="14" t="n">
        <v>3733.15</v>
      </c>
      <c r="J15" s="11" t="n">
        <v>46236</v>
      </c>
      <c r="K15" s="15" t="inlineStr">
        <is>
          <t>9323</t>
        </is>
      </c>
      <c r="L15" s="12" t="n"/>
      <c r="M15" s="15" t="n"/>
      <c r="N15" s="12" t="n"/>
      <c r="O15" s="12" t="inlineStr">
        <is>
          <t>PENDIENTE</t>
        </is>
      </c>
      <c r="P15" s="16">
        <f>IF(COUNT(F15,I15,L15)=0,"",SUM(F15,I15,L15))</f>
        <v/>
      </c>
      <c r="Q15" s="12" t="n"/>
      <c r="S15" s="4" t="inlineStr">
        <is>
          <t>Total Divisas Pagadas ($) — captura manual</t>
        </is>
      </c>
      <c r="T15" s="22" t="n">
        <v>306</v>
      </c>
    </row>
    <row r="16">
      <c r="A16" s="11" t="n">
        <v>46220</v>
      </c>
      <c r="B16" s="12" t="inlineStr">
        <is>
          <t>Cristhian</t>
        </is>
      </c>
      <c r="C16" s="12" t="inlineStr">
        <is>
          <t>Gregory</t>
        </is>
      </c>
      <c r="D16" s="12" t="inlineStr">
        <is>
          <t>Aqua Dubai</t>
        </is>
      </c>
      <c r="E16" s="13" t="n">
        <v>34</v>
      </c>
      <c r="F16" s="14" t="n">
        <v>10645.4</v>
      </c>
      <c r="G16" s="11" t="n">
        <v>46213</v>
      </c>
      <c r="H16" s="15" t="inlineStr">
        <is>
          <t>8770</t>
        </is>
      </c>
      <c r="I16" s="14" t="n">
        <v>10987.18</v>
      </c>
      <c r="J16" s="11" t="n">
        <v>46220</v>
      </c>
      <c r="K16" s="15" t="inlineStr">
        <is>
          <t>546</t>
        </is>
      </c>
      <c r="L16" s="14" t="n">
        <v>2951.53</v>
      </c>
      <c r="M16" s="11" t="n">
        <v>46227</v>
      </c>
      <c r="N16" s="15" t="inlineStr">
        <is>
          <t>9686</t>
        </is>
      </c>
      <c r="O16" s="12" t="inlineStr">
        <is>
          <t>YA PAGO</t>
        </is>
      </c>
      <c r="P16" s="16">
        <f>IF(COUNT(F16,I16,L16)=0,"",SUM(F16,I16,L16))</f>
        <v/>
      </c>
      <c r="Q16" s="12" t="n"/>
      <c r="S16" s="23" t="inlineStr">
        <is>
          <t>No existe columna de abonos en $ en la hoja, así que este total sigue siendo un valor escrito a mano (venía del original).</t>
        </is>
      </c>
    </row>
    <row r="17">
      <c r="A17" s="11" t="n">
        <v>46192</v>
      </c>
      <c r="B17" s="12" t="inlineStr">
        <is>
          <t>Ivana</t>
        </is>
      </c>
      <c r="C17" s="12" t="inlineStr">
        <is>
          <t>Gregory</t>
        </is>
      </c>
      <c r="D17" s="12" t="inlineStr">
        <is>
          <t>La Bomba</t>
        </is>
      </c>
      <c r="E17" s="13" t="n">
        <v>30</v>
      </c>
      <c r="F17" s="12" t="n"/>
      <c r="G17" s="15" t="n"/>
      <c r="H17" s="12" t="n"/>
      <c r="I17" s="12" t="n"/>
      <c r="J17" s="15" t="n"/>
      <c r="K17" s="12" t="n"/>
      <c r="L17" s="12" t="n"/>
      <c r="M17" s="15" t="n"/>
      <c r="N17" s="12" t="n"/>
      <c r="O17" s="12" t="inlineStr">
        <is>
          <t>PENDIENTE (SIN ABONOS)</t>
        </is>
      </c>
      <c r="P17" s="16">
        <f>IF(COUNT(F17,I17,L17)=0,"",SUM(F17,I17,L17))</f>
        <v/>
      </c>
      <c r="Q17" s="12" t="n"/>
    </row>
    <row r="18">
      <c r="A18" s="11" t="n">
        <v>46199</v>
      </c>
      <c r="B18" s="12" t="inlineStr">
        <is>
          <t>Reinel</t>
        </is>
      </c>
      <c r="C18" s="12" t="inlineStr">
        <is>
          <t>Hidelberg</t>
        </is>
      </c>
      <c r="D18" s="12" t="inlineStr">
        <is>
          <t>212 NYC</t>
        </is>
      </c>
      <c r="E18" s="13" t="n">
        <v>24</v>
      </c>
      <c r="F18" s="14" t="n">
        <v>18183</v>
      </c>
      <c r="G18" s="11" t="n">
        <v>46244</v>
      </c>
      <c r="H18" s="15" t="inlineStr">
        <is>
          <t>4795</t>
        </is>
      </c>
      <c r="I18" s="12" t="n"/>
      <c r="J18" s="15" t="n"/>
      <c r="K18" s="12" t="n"/>
      <c r="L18" s="12" t="n"/>
      <c r="M18" s="15" t="n"/>
      <c r="N18" s="12" t="n"/>
      <c r="O18" s="12" t="n"/>
      <c r="P18" s="16">
        <f>IF(COUNT(F18,I18,L18)=0,"",SUM(F18,I18,L18))</f>
        <v/>
      </c>
      <c r="Q18" s="12" t="n"/>
      <c r="S18" s="24" t="inlineStr">
        <is>
          <t>Valores sueltos hallados en C64/D64 del archivo original (estaban dentro de la fila de totales, sin etiqueta):</t>
        </is>
      </c>
    </row>
    <row r="19">
      <c r="A19" s="11" t="n">
        <v>46220</v>
      </c>
      <c r="B19" s="12" t="inlineStr">
        <is>
          <t>Mirleidy</t>
        </is>
      </c>
      <c r="C19" s="12" t="inlineStr">
        <is>
          <t>Gregory</t>
        </is>
      </c>
      <c r="D19" s="12" t="inlineStr">
        <is>
          <t>360</t>
        </is>
      </c>
      <c r="E19" s="13" t="n">
        <v>12</v>
      </c>
      <c r="F19" s="12" t="n"/>
      <c r="G19" s="11" t="n">
        <v>46236</v>
      </c>
      <c r="H19" s="12" t="n"/>
      <c r="I19" s="12" t="n"/>
      <c r="J19" s="15" t="n"/>
      <c r="K19" s="12" t="n"/>
      <c r="L19" s="12" t="n"/>
      <c r="M19" s="15" t="n"/>
      <c r="N19" s="12" t="n"/>
      <c r="O19" s="12" t="n"/>
      <c r="P19" s="16">
        <f>IF(COUNT(F19,I19,L19)=0,"",SUM(F19,I19,L19))</f>
        <v/>
      </c>
      <c r="Q19" s="21" t="inlineStr">
        <is>
          <t>Precio anotado como «12 MY» | Pago 1 anotado como «12 EFECTIVO» (no es un monto en Bs)</t>
        </is>
      </c>
      <c r="S19" s="25" t="inlineStr">
        <is>
          <t>C64</t>
        </is>
      </c>
      <c r="T19" s="26" t="n">
        <v>260</v>
      </c>
    </row>
    <row r="20">
      <c r="A20" s="11" t="n">
        <v>46220</v>
      </c>
      <c r="B20" s="12" t="inlineStr">
        <is>
          <t>Mirleidy</t>
        </is>
      </c>
      <c r="C20" s="12" t="inlineStr">
        <is>
          <t>Gregory</t>
        </is>
      </c>
      <c r="D20" s="12" t="inlineStr">
        <is>
          <t>ASAD BORBOM</t>
        </is>
      </c>
      <c r="E20" s="13" t="n">
        <v>16</v>
      </c>
      <c r="F20" s="12" t="n"/>
      <c r="G20" s="11" t="n">
        <v>46236</v>
      </c>
      <c r="H20" s="12" t="n"/>
      <c r="I20" s="12" t="n"/>
      <c r="J20" s="15" t="n"/>
      <c r="K20" s="12" t="n"/>
      <c r="L20" s="12" t="n"/>
      <c r="M20" s="15" t="n"/>
      <c r="N20" s="12" t="n"/>
      <c r="O20" s="12" t="n"/>
      <c r="P20" s="16">
        <f>IF(COUNT(F20,I20,L20)=0,"",SUM(F20,I20,L20))</f>
        <v/>
      </c>
      <c r="Q20" s="21" t="inlineStr">
        <is>
          <t>Precio anotado como «16 MY» | Pago 1 anotado como «16 EFECTIVO» (no es un monto en Bs)</t>
        </is>
      </c>
      <c r="S20" s="25" t="inlineStr">
        <is>
          <t>D64</t>
        </is>
      </c>
      <c r="T20" s="26" t="n">
        <v>100</v>
      </c>
    </row>
    <row r="21">
      <c r="A21" s="11" t="n">
        <v>46232</v>
      </c>
      <c r="B21" s="12" t="inlineStr">
        <is>
          <t>Polanco</t>
        </is>
      </c>
      <c r="C21" s="12" t="inlineStr">
        <is>
          <t>Gregory</t>
        </is>
      </c>
      <c r="D21" s="12" t="inlineStr">
        <is>
          <t>TOMMY</t>
        </is>
      </c>
      <c r="E21" s="13" t="n">
        <v>24</v>
      </c>
      <c r="F21" s="14" t="n">
        <v>8854.58</v>
      </c>
      <c r="G21" s="11" t="n">
        <v>46231</v>
      </c>
      <c r="H21" s="15" t="inlineStr">
        <is>
          <t>1826</t>
        </is>
      </c>
      <c r="I21" s="14" t="n">
        <v>8985.440000000001</v>
      </c>
      <c r="J21" s="11" t="n">
        <v>46237</v>
      </c>
      <c r="K21" s="15" t="inlineStr">
        <is>
          <t>5170</t>
        </is>
      </c>
      <c r="L21" s="12" t="n"/>
      <c r="M21" s="15" t="n"/>
      <c r="N21" s="12" t="n"/>
      <c r="O21" s="12" t="n"/>
      <c r="P21" s="16">
        <f>IF(COUNT(F21,I21,L21)=0,"",SUM(F21,I21,L21))</f>
        <v/>
      </c>
      <c r="Q21" s="12" t="n"/>
    </row>
    <row r="22">
      <c r="A22" s="11" t="n">
        <v>46232</v>
      </c>
      <c r="B22" s="12" t="inlineStr">
        <is>
          <t>Belisario</t>
        </is>
      </c>
      <c r="C22" s="12" t="inlineStr">
        <is>
          <t>Gregory</t>
        </is>
      </c>
      <c r="D22" s="12" t="inlineStr">
        <is>
          <t>BAD BOY</t>
        </is>
      </c>
      <c r="E22" s="13" t="n">
        <v>24</v>
      </c>
      <c r="F22" s="12" t="n"/>
      <c r="G22" s="15" t="n"/>
      <c r="H22" s="12" t="n"/>
      <c r="I22" s="12" t="n"/>
      <c r="J22" s="15" t="n"/>
      <c r="K22" s="12" t="n"/>
      <c r="L22" s="12" t="n"/>
      <c r="M22" s="15" t="n"/>
      <c r="N22" s="12" t="n"/>
      <c r="O22" s="12" t="n"/>
      <c r="P22" s="16">
        <f>IF(COUNT(F22,I22,L22)=0,"",SUM(F22,I22,L22))</f>
        <v/>
      </c>
      <c r="Q22" s="12" t="n"/>
    </row>
    <row r="23">
      <c r="A23" s="11" t="n">
        <v>46233</v>
      </c>
      <c r="B23" s="12" t="inlineStr">
        <is>
          <t>Anderson</t>
        </is>
      </c>
      <c r="C23" s="12" t="inlineStr">
        <is>
          <t>Gregory</t>
        </is>
      </c>
      <c r="D23" s="12" t="inlineStr">
        <is>
          <t>AQUA DI GIO</t>
        </is>
      </c>
      <c r="E23" s="13" t="n">
        <v>22</v>
      </c>
      <c r="F23" s="14" t="n">
        <v>5400</v>
      </c>
      <c r="G23" s="11" t="n">
        <v>46250</v>
      </c>
      <c r="H23" s="15" t="inlineStr">
        <is>
          <t>2265</t>
        </is>
      </c>
      <c r="I23" s="12" t="n"/>
      <c r="J23" s="15" t="n"/>
      <c r="K23" s="12" t="n"/>
      <c r="L23" s="12" t="n"/>
      <c r="M23" s="15" t="n"/>
      <c r="N23" s="12" t="n"/>
      <c r="O23" s="12" t="n"/>
      <c r="P23" s="16">
        <f>IF(COUNT(F23,I23,L23)=0,"",SUM(F23,I23,L23))</f>
        <v/>
      </c>
      <c r="Q23" s="12" t="n"/>
    </row>
    <row r="24">
      <c r="A24" s="11" t="n">
        <v>46236</v>
      </c>
      <c r="B24" s="12" t="inlineStr">
        <is>
          <t>Adolfito</t>
        </is>
      </c>
      <c r="C24" s="12" t="inlineStr">
        <is>
          <t>Gregory</t>
        </is>
      </c>
      <c r="D24" s="12" t="inlineStr">
        <is>
          <t>SCANDAL</t>
        </is>
      </c>
      <c r="E24" s="13" t="n">
        <v>22</v>
      </c>
      <c r="F24" s="14" t="n">
        <v>8212.93</v>
      </c>
      <c r="G24" s="11" t="n">
        <v>46236</v>
      </c>
      <c r="H24" s="15" t="inlineStr">
        <is>
          <t>1103</t>
        </is>
      </c>
      <c r="I24" s="12" t="n"/>
      <c r="J24" s="15" t="n"/>
      <c r="K24" s="12" t="n"/>
      <c r="L24" s="12" t="n"/>
      <c r="M24" s="15" t="n"/>
      <c r="N24" s="12" t="n"/>
      <c r="O24" s="12" t="n"/>
      <c r="P24" s="16">
        <f>IF(COUNT(F24,I24,L24)=0,"",SUM(F24,I24,L24))</f>
        <v/>
      </c>
      <c r="Q24" s="12" t="n"/>
    </row>
    <row r="25">
      <c r="A25" s="11" t="n">
        <v>46236</v>
      </c>
      <c r="B25" s="12" t="inlineStr">
        <is>
          <t>Rafael</t>
        </is>
      </c>
      <c r="C25" s="12" t="inlineStr">
        <is>
          <t>Gregory</t>
        </is>
      </c>
      <c r="D25" s="12" t="inlineStr">
        <is>
          <t>INVICTUS</t>
        </is>
      </c>
      <c r="E25" s="13" t="n">
        <v>22</v>
      </c>
      <c r="F25" s="14" t="n">
        <v>5226.34</v>
      </c>
      <c r="G25" s="11" t="n">
        <v>46236</v>
      </c>
      <c r="H25" s="15" t="inlineStr">
        <is>
          <t>666</t>
        </is>
      </c>
      <c r="I25" s="14" t="n">
        <v>5398</v>
      </c>
      <c r="J25" s="11" t="n">
        <v>46249</v>
      </c>
      <c r="K25" s="15" t="inlineStr">
        <is>
          <t>8343</t>
        </is>
      </c>
      <c r="L25" s="12" t="n"/>
      <c r="M25" s="15" t="n"/>
      <c r="N25" s="12" t="n"/>
      <c r="O25" s="12" t="n"/>
      <c r="P25" s="16">
        <f>IF(COUNT(F25,I25,L25)=0,"",SUM(F25,I25,L25))</f>
        <v/>
      </c>
      <c r="Q25" s="12" t="n"/>
    </row>
    <row r="26">
      <c r="A26" s="11" t="n">
        <v>46061</v>
      </c>
      <c r="B26" s="12" t="inlineStr">
        <is>
          <t>Ricardo</t>
        </is>
      </c>
      <c r="C26" s="12" t="inlineStr">
        <is>
          <t>Gregory</t>
        </is>
      </c>
      <c r="D26" s="12" t="inlineStr">
        <is>
          <t>AQUA DI GIO</t>
        </is>
      </c>
      <c r="E26" s="13" t="n">
        <v>24</v>
      </c>
      <c r="F26" s="12" t="n"/>
      <c r="G26" s="15" t="n"/>
      <c r="H26" s="12" t="n"/>
      <c r="I26" s="12" t="n"/>
      <c r="J26" s="15" t="n"/>
      <c r="K26" s="12" t="n"/>
      <c r="L26" s="12" t="n"/>
      <c r="M26" s="15" t="n"/>
      <c r="N26" s="12" t="n"/>
      <c r="O26" s="12" t="n"/>
      <c r="P26" s="16">
        <f>IF(COUNT(F26,I26,L26)=0,"",SUM(F26,I26,L26))</f>
        <v/>
      </c>
      <c r="Q26" s="12" t="n"/>
    </row>
    <row r="27">
      <c r="A27" s="11" t="n">
        <v>46061</v>
      </c>
      <c r="B27" s="12" t="inlineStr">
        <is>
          <t>Melany</t>
        </is>
      </c>
      <c r="C27" s="12" t="inlineStr">
        <is>
          <t>Gregory</t>
        </is>
      </c>
      <c r="D27" s="12" t="inlineStr">
        <is>
          <t>CLOUD</t>
        </is>
      </c>
      <c r="E27" s="13" t="n">
        <v>24</v>
      </c>
      <c r="F27" s="12" t="n"/>
      <c r="G27" s="15" t="n"/>
      <c r="H27" s="12" t="n"/>
      <c r="I27" s="12" t="n"/>
      <c r="J27" s="15" t="n"/>
      <c r="K27" s="12" t="n"/>
      <c r="L27" s="12" t="n"/>
      <c r="M27" s="15" t="n"/>
      <c r="N27" s="12" t="n"/>
      <c r="O27" s="12" t="n"/>
      <c r="P27" s="16">
        <f>IF(COUNT(F27,I27,L27)=0,"",SUM(F27,I27,L27))</f>
        <v/>
      </c>
      <c r="Q27" s="12" t="n"/>
    </row>
    <row r="28">
      <c r="A28" s="11" t="n">
        <v>46061</v>
      </c>
      <c r="B28" s="12" t="inlineStr">
        <is>
          <t>Gregor</t>
        </is>
      </c>
      <c r="C28" s="12" t="inlineStr">
        <is>
          <t>Gregor</t>
        </is>
      </c>
      <c r="D28" s="12" t="inlineStr">
        <is>
          <t>BHARARA BLUE</t>
        </is>
      </c>
      <c r="E28" s="13" t="n">
        <v>18</v>
      </c>
      <c r="F28" s="12" t="n"/>
      <c r="G28" s="15" t="n"/>
      <c r="H28" s="12" t="n"/>
      <c r="I28" s="12" t="n"/>
      <c r="J28" s="15" t="n"/>
      <c r="K28" s="12" t="n"/>
      <c r="L28" s="12" t="n"/>
      <c r="M28" s="15" t="n"/>
      <c r="N28" s="12" t="n"/>
      <c r="O28" s="12" t="n"/>
      <c r="P28" s="16">
        <f>IF(COUNT(F28,I28,L28)=0,"",SUM(F28,I28,L28))</f>
        <v/>
      </c>
      <c r="Q28" s="21" t="inlineStr">
        <is>
          <t>Precio anotado como «18 GM»</t>
        </is>
      </c>
    </row>
    <row r="29">
      <c r="A29" s="11" t="n">
        <v>46061</v>
      </c>
      <c r="B29" s="12" t="inlineStr">
        <is>
          <t>Hidelberg</t>
        </is>
      </c>
      <c r="C29" s="12" t="inlineStr">
        <is>
          <t>Hidelberg</t>
        </is>
      </c>
      <c r="D29" s="12" t="inlineStr">
        <is>
          <t>TOMMY</t>
        </is>
      </c>
      <c r="E29" s="13" t="n">
        <v>12</v>
      </c>
      <c r="F29" s="12" t="n"/>
      <c r="G29" s="15" t="n"/>
      <c r="H29" s="12" t="n"/>
      <c r="I29" s="12" t="n"/>
      <c r="J29" s="15" t="n"/>
      <c r="K29" s="12" t="n"/>
      <c r="L29" s="12" t="n"/>
      <c r="M29" s="15" t="n"/>
      <c r="N29" s="12" t="n"/>
      <c r="O29" s="12" t="n"/>
      <c r="P29" s="16">
        <f>IF(COUNT(F29,I29,L29)=0,"",SUM(F29,I29,L29))</f>
        <v/>
      </c>
      <c r="Q29" s="21" t="inlineStr">
        <is>
          <t>Precio anotado como «12 GM»</t>
        </is>
      </c>
    </row>
    <row r="30">
      <c r="A30" s="11" t="n">
        <v>46061</v>
      </c>
      <c r="B30" s="12" t="inlineStr">
        <is>
          <t>Juan Herrade</t>
        </is>
      </c>
      <c r="C30" s="12" t="inlineStr">
        <is>
          <t>Gregor</t>
        </is>
      </c>
      <c r="D30" s="12" t="inlineStr">
        <is>
          <t>Sauvage Dior</t>
        </is>
      </c>
      <c r="E30" s="13" t="n">
        <v>22</v>
      </c>
      <c r="F30" s="12" t="n"/>
      <c r="G30" s="15" t="n"/>
      <c r="H30" s="12" t="n"/>
      <c r="I30" s="12" t="n"/>
      <c r="J30" s="15" t="n"/>
      <c r="K30" s="12" t="n"/>
      <c r="L30" s="12" t="n"/>
      <c r="M30" s="15" t="n"/>
      <c r="N30" s="12" t="n"/>
      <c r="O30" s="12" t="n"/>
      <c r="P30" s="16">
        <f>IF(COUNT(F30,I30,L30)=0,"",SUM(F30,I30,L30))</f>
        <v/>
      </c>
      <c r="Q30" s="12" t="n"/>
    </row>
    <row r="31">
      <c r="A31" s="11" t="n">
        <v>46061</v>
      </c>
      <c r="B31" s="12" t="inlineStr">
        <is>
          <t>Juan Herrade</t>
        </is>
      </c>
      <c r="C31" s="12" t="inlineStr">
        <is>
          <t>Gregor</t>
        </is>
      </c>
      <c r="D31" s="12" t="inlineStr">
        <is>
          <t>Victorinox swis army</t>
        </is>
      </c>
      <c r="E31" s="13" t="n">
        <v>22</v>
      </c>
      <c r="F31" s="12" t="n"/>
      <c r="G31" s="15" t="n"/>
      <c r="H31" s="12" t="n"/>
      <c r="I31" s="12" t="n"/>
      <c r="J31" s="15" t="n"/>
      <c r="K31" s="12" t="n"/>
      <c r="L31" s="12" t="n"/>
      <c r="M31" s="15" t="n"/>
      <c r="N31" s="12" t="n"/>
      <c r="O31" s="12" t="n"/>
      <c r="P31" s="16">
        <f>IF(COUNT(F31,I31,L31)=0,"",SUM(F31,I31,L31))</f>
        <v/>
      </c>
      <c r="Q31" s="12" t="n"/>
    </row>
    <row r="32">
      <c r="A32" s="11" t="n">
        <v>46061</v>
      </c>
      <c r="B32" s="12" t="inlineStr">
        <is>
          <t>Ricardo Palacios</t>
        </is>
      </c>
      <c r="C32" s="12" t="inlineStr">
        <is>
          <t>Gregor</t>
        </is>
      </c>
      <c r="D32" s="12" t="inlineStr">
        <is>
          <t>Eros Flame</t>
        </is>
      </c>
      <c r="E32" s="13" t="n">
        <v>22</v>
      </c>
      <c r="F32" s="12" t="n"/>
      <c r="G32" s="15" t="n"/>
      <c r="H32" s="12" t="n"/>
      <c r="I32" s="12" t="n"/>
      <c r="J32" s="15" t="n"/>
      <c r="K32" s="12" t="n"/>
      <c r="L32" s="12" t="n"/>
      <c r="M32" s="15" t="n"/>
      <c r="N32" s="12" t="n"/>
      <c r="O32" s="12" t="n"/>
      <c r="P32" s="16">
        <f>IF(COUNT(F32,I32,L32)=0,"",SUM(F32,I32,L32))</f>
        <v/>
      </c>
      <c r="Q32" s="12" t="n"/>
    </row>
    <row r="33">
      <c r="A33" s="11" t="n">
        <v>46061</v>
      </c>
      <c r="B33" s="12" t="inlineStr">
        <is>
          <t>Ricardo Palacios</t>
        </is>
      </c>
      <c r="C33" s="12" t="inlineStr">
        <is>
          <t>Gregor</t>
        </is>
      </c>
      <c r="D33" s="12" t="inlineStr">
        <is>
          <t>Mandarin Sky</t>
        </is>
      </c>
      <c r="E33" s="13" t="n">
        <v>22</v>
      </c>
      <c r="F33" s="12" t="n"/>
      <c r="G33" s="15" t="n"/>
      <c r="H33" s="12" t="n"/>
      <c r="I33" s="12" t="n"/>
      <c r="J33" s="15" t="n"/>
      <c r="K33" s="12" t="n"/>
      <c r="L33" s="12" t="n"/>
      <c r="M33" s="15" t="n"/>
      <c r="N33" s="12" t="n"/>
      <c r="O33" s="12" t="n"/>
      <c r="P33" s="16">
        <f>IF(COUNT(F33,I33,L33)=0,"",SUM(F33,I33,L33))</f>
        <v/>
      </c>
      <c r="Q33" s="12" t="n"/>
    </row>
    <row r="34">
      <c r="A34" s="11" t="n">
        <v>46244</v>
      </c>
      <c r="B34" s="12" t="inlineStr">
        <is>
          <t>Jeferson Mejias</t>
        </is>
      </c>
      <c r="C34" s="12" t="inlineStr">
        <is>
          <t>Hidelberg</t>
        </is>
      </c>
      <c r="D34" s="12" t="inlineStr">
        <is>
          <t>BHARARA KING</t>
        </is>
      </c>
      <c r="E34" s="13" t="n">
        <v>42</v>
      </c>
      <c r="F34" s="12" t="n"/>
      <c r="G34" s="15" t="n"/>
      <c r="H34" s="12" t="n"/>
      <c r="I34" s="12" t="n"/>
      <c r="J34" s="15" t="n"/>
      <c r="K34" s="12" t="n"/>
      <c r="L34" s="12" t="n"/>
      <c r="M34" s="15" t="n"/>
      <c r="N34" s="12" t="n"/>
      <c r="O34" s="12" t="n"/>
      <c r="P34" s="16">
        <f>IF(COUNT(F34,I34,L34)=0,"",SUM(F34,I34,L34))</f>
        <v/>
      </c>
      <c r="Q34" s="12" t="n"/>
    </row>
    <row r="35">
      <c r="A35" s="11" t="n">
        <v>46245</v>
      </c>
      <c r="B35" s="12" t="inlineStr">
        <is>
          <t>Apostol</t>
        </is>
      </c>
      <c r="C35" s="12" t="inlineStr">
        <is>
          <t>Gregory</t>
        </is>
      </c>
      <c r="D35" s="12" t="inlineStr">
        <is>
          <t>Sauvage Dior</t>
        </is>
      </c>
      <c r="E35" s="13" t="n">
        <v>24</v>
      </c>
      <c r="F35" s="14" t="n">
        <v>9252.860000000001</v>
      </c>
      <c r="G35" s="11" t="n">
        <v>46249</v>
      </c>
      <c r="H35" s="15" t="inlineStr">
        <is>
          <t>7526</t>
        </is>
      </c>
      <c r="I35" s="12" t="n"/>
      <c r="J35" s="15" t="n"/>
      <c r="K35" s="12" t="n"/>
      <c r="L35" s="12" t="n"/>
      <c r="M35" s="15" t="n"/>
      <c r="N35" s="12" t="n"/>
      <c r="O35" s="12" t="n"/>
      <c r="P35" s="16">
        <f>IF(COUNT(F35,I35,L35)=0,"",SUM(F35,I35,L35))</f>
        <v/>
      </c>
      <c r="Q35" s="12" t="n"/>
    </row>
    <row r="36">
      <c r="A36" s="11" t="n">
        <v>46244</v>
      </c>
      <c r="B36" s="12" t="inlineStr">
        <is>
          <t>Hade Mirleidy</t>
        </is>
      </c>
      <c r="C36" s="12" t="inlineStr">
        <is>
          <t>Gregor</t>
        </is>
      </c>
      <c r="D36" s="12" t="inlineStr">
        <is>
          <t>YARA ELIXIR</t>
        </is>
      </c>
      <c r="E36" s="13" t="n">
        <v>24</v>
      </c>
      <c r="F36" s="12" t="n"/>
      <c r="G36" s="15" t="n"/>
      <c r="H36" s="12" t="n"/>
      <c r="I36" s="12" t="n"/>
      <c r="J36" s="15" t="n"/>
      <c r="K36" s="12" t="n"/>
      <c r="L36" s="12" t="n"/>
      <c r="M36" s="15" t="n"/>
      <c r="N36" s="12" t="n"/>
      <c r="O36" s="12" t="n"/>
      <c r="P36" s="16">
        <f>IF(COUNT(F36,I36,L36)=0,"",SUM(F36,I36,L36))</f>
        <v/>
      </c>
      <c r="Q36" s="12" t="n"/>
    </row>
    <row r="37">
      <c r="A37" s="11" t="n">
        <v>46244</v>
      </c>
      <c r="B37" s="12" t="inlineStr">
        <is>
          <t>Luis Sequera</t>
        </is>
      </c>
      <c r="C37" s="12" t="inlineStr">
        <is>
          <t>Gregor</t>
        </is>
      </c>
      <c r="D37" s="12" t="inlineStr">
        <is>
          <t>Mandarin Sky</t>
        </is>
      </c>
      <c r="E37" s="13" t="n">
        <v>31</v>
      </c>
      <c r="F37" s="12" t="n"/>
      <c r="G37" s="15" t="n"/>
      <c r="H37" s="12" t="n"/>
      <c r="I37" s="12" t="n"/>
      <c r="J37" s="15" t="n"/>
      <c r="K37" s="12" t="n"/>
      <c r="L37" s="12" t="n"/>
      <c r="M37" s="15" t="n"/>
      <c r="N37" s="12" t="n"/>
      <c r="O37" s="12" t="n"/>
      <c r="P37" s="16">
        <f>IF(COUNT(F37,I37,L37)=0,"",SUM(F37,I37,L37))</f>
        <v/>
      </c>
      <c r="Q37" s="12" t="n"/>
    </row>
    <row r="38">
      <c r="A38" s="11" t="n">
        <v>46246</v>
      </c>
      <c r="B38" s="12" t="inlineStr">
        <is>
          <t>Ricardo Gomez</t>
        </is>
      </c>
      <c r="C38" s="12" t="inlineStr">
        <is>
          <t>Gregory</t>
        </is>
      </c>
      <c r="D38" s="12" t="inlineStr">
        <is>
          <t>CLUD DE NUIT INTENSE</t>
        </is>
      </c>
      <c r="E38" s="13" t="n">
        <v>19</v>
      </c>
      <c r="F38" s="14" t="n">
        <v>8356</v>
      </c>
      <c r="G38" s="11" t="n">
        <v>46246</v>
      </c>
      <c r="H38" s="15" t="inlineStr">
        <is>
          <t>4657</t>
        </is>
      </c>
      <c r="I38" s="12" t="n"/>
      <c r="J38" s="15" t="n"/>
      <c r="K38" s="12" t="n"/>
      <c r="L38" s="12" t="n"/>
      <c r="M38" s="15" t="n"/>
      <c r="N38" s="12" t="n"/>
      <c r="O38" s="12" t="n"/>
      <c r="P38" s="16">
        <f>IF(COUNT(F38,I38,L38)=0,"",SUM(F38,I38,L38))</f>
        <v/>
      </c>
      <c r="Q38" s="21" t="inlineStr">
        <is>
          <t>Precio anotado como «19 usdt P.M»</t>
        </is>
      </c>
    </row>
    <row r="39">
      <c r="A39" s="11" t="n">
        <v>46247</v>
      </c>
      <c r="B39" s="12" t="inlineStr">
        <is>
          <t>Cristhian Gonzales</t>
        </is>
      </c>
      <c r="C39" s="12" t="inlineStr">
        <is>
          <t>Gregory</t>
        </is>
      </c>
      <c r="D39" s="12" t="inlineStr">
        <is>
          <t>9PM REBEL ORIGINAL</t>
        </is>
      </c>
      <c r="E39" s="13" t="n">
        <v>70</v>
      </c>
      <c r="F39" s="12" t="n"/>
      <c r="G39" s="15" t="n"/>
      <c r="H39" s="12" t="n"/>
      <c r="I39" s="12" t="n"/>
      <c r="J39" s="15" t="n"/>
      <c r="K39" s="12" t="n"/>
      <c r="L39" s="12" t="n"/>
      <c r="M39" s="15" t="n"/>
      <c r="N39" s="12" t="n"/>
      <c r="O39" s="12" t="n"/>
      <c r="P39" s="16">
        <f>IF(COUNT(F39,I39,L39)=0,"",SUM(F39,I39,L39))</f>
        <v/>
      </c>
      <c r="Q39" s="12" t="n"/>
    </row>
  </sheetData>
  <mergeCells count="4">
    <mergeCell ref="L2:N2"/>
    <mergeCell ref="S3:T3"/>
    <mergeCell ref="F2:H2"/>
    <mergeCell ref="I2:K2"/>
  </mergeCells>
  <conditionalFormatting sqref="O4:O39">
    <cfRule type="expression" priority="1" dxfId="0" stopIfTrue="0">
      <formula>$O4="YA PAGO"</formula>
    </cfRule>
    <cfRule type="expression" priority="2" dxfId="1" stopIfTrue="0">
      <formula>LEFT($O4,10)="PENDIENTE"</formula>
    </cfRule>
  </conditionalFormatting>
  <conditionalFormatting sqref="A4:Q39">
    <cfRule type="expression" priority="3" dxfId="2" stopIfTrue="0">
      <formula>AND($A4&lt;&gt;"",COUNT($F4,$I4,$L4)=0)</formula>
    </cfRule>
  </conditionalFormatting>
  <dataValidations count="1">
    <dataValidation sqref="O4:O39" showDropDown="0" showInputMessage="0" showErrorMessage="0" allowBlank="1" errorTitle="Estatus no válido" error="Usá una de las tres opciones de la lista." type="list">
      <formula1>"YA PAGO,PENDIENTE,PENDIENTE (SIN ABONOS)"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1F4E5F"/>
    <outlinePr summaryBelow="1" summaryRight="1"/>
    <pageSetUpPr/>
  </sheetPr>
  <dimension ref="A1:O45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.5" customWidth="1" min="1" max="1"/>
    <col width="27.5" customWidth="1" min="2" max="2"/>
    <col width="20.5" customWidth="1" min="3" max="3"/>
    <col width="11.5" customWidth="1" min="4" max="4"/>
    <col width="18.5" customWidth="1" min="5" max="5"/>
    <col width="11.5" customWidth="1" min="6" max="6"/>
    <col width="14.5" customWidth="1" min="7" max="7"/>
    <col width="14.5" customWidth="1" min="8" max="8"/>
    <col width="10.5" customWidth="1" min="9" max="9"/>
    <col width="14.5" customWidth="1" min="10" max="10"/>
    <col width="14.5" customWidth="1" min="11" max="11"/>
    <col width="40" customWidth="1" min="12" max="12"/>
    <col width="3" customWidth="1" min="13" max="13"/>
    <col width="24" customWidth="1" min="14" max="14"/>
    <col width="16" customWidth="1" min="15" max="15"/>
  </cols>
  <sheetData>
    <row r="1">
      <c r="A1" s="1" t="inlineStr">
        <is>
          <t>REGISTRO DE VENTAS</t>
        </is>
      </c>
    </row>
    <row r="2"/>
    <row r="3" ht="20" customHeight="1">
      <c r="A3" s="3" t="inlineStr">
        <is>
          <t>N° OPERACIÓN</t>
        </is>
      </c>
      <c r="B3" s="3" t="inlineStr">
        <is>
          <t>PRODUCTO</t>
        </is>
      </c>
      <c r="C3" s="3" t="inlineStr">
        <is>
          <t>CLIENTE</t>
        </is>
      </c>
      <c r="D3" s="3" t="inlineStr">
        <is>
          <t>VENDEDOR</t>
        </is>
      </c>
      <c r="E3" s="3" t="inlineStr">
        <is>
          <t>PRECIO VENTA ($)</t>
        </is>
      </c>
      <c r="F3" s="3" t="inlineStr">
        <is>
          <t>COSTO ($)</t>
        </is>
      </c>
      <c r="G3" s="3" t="inlineStr">
        <is>
          <t>GANANCIA ($)</t>
        </is>
      </c>
      <c r="H3" s="3" t="inlineStr">
        <is>
          <t>MARGEN</t>
        </is>
      </c>
      <c r="I3" s="3" t="inlineStr">
        <is>
          <t>MONEDA</t>
        </is>
      </c>
      <c r="J3" s="3" t="inlineStr">
        <is>
          <t>ABONADO ($)</t>
        </is>
      </c>
      <c r="K3" s="3" t="inlineStr">
        <is>
          <t>DEUDA ($)</t>
        </is>
      </c>
      <c r="L3" s="3" t="inlineStr">
        <is>
          <t>NOTAS</t>
        </is>
      </c>
      <c r="N3" s="10" t="inlineStr">
        <is>
          <t>RESUMEN (dinámico)</t>
        </is>
      </c>
    </row>
    <row r="4">
      <c r="A4" s="6" t="n">
        <v>1</v>
      </c>
      <c r="B4" s="27" t="inlineStr">
        <is>
          <t>Yara Fem</t>
        </is>
      </c>
      <c r="C4" s="27" t="inlineStr">
        <is>
          <t>Fernanda</t>
        </is>
      </c>
      <c r="D4" s="27" t="inlineStr">
        <is>
          <t>Gregory</t>
        </is>
      </c>
      <c r="E4" s="28" t="n">
        <v>30</v>
      </c>
      <c r="F4" s="28" t="n">
        <v>13</v>
      </c>
      <c r="G4" s="29">
        <f>IF(COUNT(E4:F4)&lt;2,"",E4-F4)</f>
        <v/>
      </c>
      <c r="H4" s="30">
        <f>IF(OR(G4="",E4=""),"",G4/E4)</f>
        <v/>
      </c>
      <c r="I4" s="6" t="inlineStr">
        <is>
          <t>BCV</t>
        </is>
      </c>
      <c r="J4" s="29">
        <f>SUMIFS('REGISTRO DE CUOTAS'!$F:$F,'REGISTRO DE CUOTAS'!$D:$D,$C4,'REGISTRO DE CUOTAS'!$E:$E,$B4)</f>
        <v/>
      </c>
      <c r="K4" s="29">
        <f>IF(E4="","",E4-J4)</f>
        <v/>
      </c>
      <c r="L4" s="27" t="n"/>
      <c r="N4" s="17" t="inlineStr">
        <is>
          <t>Ventas registradas</t>
        </is>
      </c>
      <c r="O4" s="18">
        <f>COUNTA($B$4:$B$45)</f>
        <v/>
      </c>
    </row>
    <row r="5">
      <c r="A5" s="6" t="n">
        <v>2</v>
      </c>
      <c r="B5" s="27" t="inlineStr">
        <is>
          <t>Bharara King</t>
        </is>
      </c>
      <c r="C5" s="27" t="inlineStr">
        <is>
          <t>Ángel</t>
        </is>
      </c>
      <c r="D5" s="27" t="inlineStr">
        <is>
          <t>Gregory</t>
        </is>
      </c>
      <c r="E5" s="28" t="n">
        <v>42</v>
      </c>
      <c r="F5" s="28" t="n">
        <v>20</v>
      </c>
      <c r="G5" s="29">
        <f>IF(COUNT(E5:F5)&lt;2,"",E5-F5)</f>
        <v/>
      </c>
      <c r="H5" s="30">
        <f>IF(OR(G5="",E5=""),"",G5/E5)</f>
        <v/>
      </c>
      <c r="I5" s="6" t="inlineStr">
        <is>
          <t>BCV</t>
        </is>
      </c>
      <c r="J5" s="29">
        <f>SUMIFS('REGISTRO DE CUOTAS'!$F:$F,'REGISTRO DE CUOTAS'!$D:$D,$C5,'REGISTRO DE CUOTAS'!$E:$E,$B5)</f>
        <v/>
      </c>
      <c r="K5" s="29">
        <f>IF(E5="","",E5-J5)</f>
        <v/>
      </c>
      <c r="L5" s="27" t="n"/>
      <c r="N5" s="17" t="inlineStr">
        <is>
          <t>Total Ventas ($)</t>
        </is>
      </c>
      <c r="O5" s="19">
        <f>SUM(E:E)</f>
        <v/>
      </c>
    </row>
    <row r="6">
      <c r="A6" s="6" t="n">
        <v>3</v>
      </c>
      <c r="B6" s="27" t="inlineStr">
        <is>
          <t>Khamarah Qahwa</t>
        </is>
      </c>
      <c r="C6" s="27" t="inlineStr">
        <is>
          <t>Amarista</t>
        </is>
      </c>
      <c r="D6" s="27" t="inlineStr">
        <is>
          <t>Gregory</t>
        </is>
      </c>
      <c r="E6" s="28" t="n">
        <v>42</v>
      </c>
      <c r="F6" s="28" t="n">
        <v>20</v>
      </c>
      <c r="G6" s="29">
        <f>IF(COUNT(E6:F6)&lt;2,"",E6-F6)</f>
        <v/>
      </c>
      <c r="H6" s="30">
        <f>IF(OR(G6="",E6=""),"",G6/E6)</f>
        <v/>
      </c>
      <c r="I6" s="6" t="inlineStr">
        <is>
          <t>BCV</t>
        </is>
      </c>
      <c r="J6" s="29">
        <f>SUMIFS('REGISTRO DE CUOTAS'!$F:$F,'REGISTRO DE CUOTAS'!$D:$D,$C6,'REGISTRO DE CUOTAS'!$E:$E,$B6)</f>
        <v/>
      </c>
      <c r="K6" s="29">
        <f>IF(E6="","",E6-J6)</f>
        <v/>
      </c>
      <c r="L6" s="27" t="n"/>
      <c r="N6" s="17" t="inlineStr">
        <is>
          <t>Costo Total ($)</t>
        </is>
      </c>
      <c r="O6" s="19">
        <f>SUM(F:F)</f>
        <v/>
      </c>
    </row>
    <row r="7">
      <c r="A7" s="6" t="n">
        <v>4</v>
      </c>
      <c r="B7" s="27" t="inlineStr">
        <is>
          <t>Universe</t>
        </is>
      </c>
      <c r="C7" s="27" t="inlineStr">
        <is>
          <t>Ricardo</t>
        </is>
      </c>
      <c r="D7" s="27" t="inlineStr">
        <is>
          <t>Gregory</t>
        </is>
      </c>
      <c r="E7" s="28" t="n">
        <v>42</v>
      </c>
      <c r="F7" s="28" t="n">
        <v>20</v>
      </c>
      <c r="G7" s="29">
        <f>IF(COUNT(E7:F7)&lt;2,"",E7-F7)</f>
        <v/>
      </c>
      <c r="H7" s="30">
        <f>IF(OR(G7="",E7=""),"",G7/E7)</f>
        <v/>
      </c>
      <c r="I7" s="6" t="inlineStr">
        <is>
          <t>BCV</t>
        </is>
      </c>
      <c r="J7" s="29">
        <f>SUMIFS('REGISTRO DE CUOTAS'!$F:$F,'REGISTRO DE CUOTAS'!$D:$D,$C7,'REGISTRO DE CUOTAS'!$E:$E,$B7)</f>
        <v/>
      </c>
      <c r="K7" s="29">
        <f>IF(E7="","",E7-J7)</f>
        <v/>
      </c>
      <c r="L7" s="27" t="n"/>
      <c r="N7" s="17" t="inlineStr">
        <is>
          <t>Ganancia Total ($)</t>
        </is>
      </c>
      <c r="O7" s="19">
        <f>SUM(G:G)</f>
        <v/>
      </c>
    </row>
    <row r="8">
      <c r="A8" s="6" t="n">
        <v>5</v>
      </c>
      <c r="B8" s="27" t="inlineStr">
        <is>
          <t>Club de Nuit Urban Elixir</t>
        </is>
      </c>
      <c r="C8" s="27" t="inlineStr">
        <is>
          <t>Belisario</t>
        </is>
      </c>
      <c r="D8" s="27" t="inlineStr">
        <is>
          <t>Gregory</t>
        </is>
      </c>
      <c r="E8" s="28" t="n">
        <v>30</v>
      </c>
      <c r="F8" s="28" t="n">
        <v>13</v>
      </c>
      <c r="G8" s="29">
        <f>IF(COUNT(E8:F8)&lt;2,"",E8-F8)</f>
        <v/>
      </c>
      <c r="H8" s="30">
        <f>IF(OR(G8="",E8=""),"",G8/E8)</f>
        <v/>
      </c>
      <c r="I8" s="6" t="inlineStr">
        <is>
          <t>BCV</t>
        </is>
      </c>
      <c r="J8" s="29">
        <f>SUMIFS('REGISTRO DE CUOTAS'!$F:$F,'REGISTRO DE CUOTAS'!$D:$D,$C8,'REGISTRO DE CUOTAS'!$E:$E,$B8)</f>
        <v/>
      </c>
      <c r="K8" s="29">
        <f>IF(E8="","",E8-J8)</f>
        <v/>
      </c>
      <c r="L8" s="27" t="n"/>
      <c r="N8" s="17" t="inlineStr">
        <is>
          <t>Margen promedio</t>
        </is>
      </c>
      <c r="O8" s="31">
        <f>IF(SUM(E:E)=0,"",SUM(G:G)/SUM(E:E))</f>
        <v/>
      </c>
    </row>
    <row r="9">
      <c r="A9" s="6" t="n">
        <v>6</v>
      </c>
      <c r="B9" s="27" t="inlineStr">
        <is>
          <t>Yara Moi</t>
        </is>
      </c>
      <c r="C9" s="27" t="inlineStr">
        <is>
          <t>Marbella</t>
        </is>
      </c>
      <c r="D9" s="27" t="inlineStr">
        <is>
          <t>Gregory</t>
        </is>
      </c>
      <c r="E9" s="28" t="n">
        <v>30</v>
      </c>
      <c r="F9" s="28" t="n">
        <v>13</v>
      </c>
      <c r="G9" s="29">
        <f>IF(COUNT(E9:F9)&lt;2,"",E9-F9)</f>
        <v/>
      </c>
      <c r="H9" s="30">
        <f>IF(OR(G9="",E9=""),"",G9/E9)</f>
        <v/>
      </c>
      <c r="I9" s="6" t="inlineStr">
        <is>
          <t>BCV</t>
        </is>
      </c>
      <c r="J9" s="29">
        <f>SUMIFS('REGISTRO DE CUOTAS'!$F:$F,'REGISTRO DE CUOTAS'!$D:$D,$C9,'REGISTRO DE CUOTAS'!$E:$E,$B9)</f>
        <v/>
      </c>
      <c r="K9" s="29">
        <f>IF(E9="","",E9-J9)</f>
        <v/>
      </c>
      <c r="L9" s="27" t="n"/>
      <c r="N9" s="17" t="inlineStr">
        <is>
          <t>Total Abonado ($)</t>
        </is>
      </c>
      <c r="O9" s="19">
        <f>SUM(J:J)</f>
        <v/>
      </c>
    </row>
    <row r="10">
      <c r="A10" s="6" t="n">
        <v>7</v>
      </c>
      <c r="B10" s="27" t="inlineStr">
        <is>
          <t>Very Good Grul</t>
        </is>
      </c>
      <c r="C10" s="27" t="inlineStr">
        <is>
          <t>Cristihan</t>
        </is>
      </c>
      <c r="D10" s="27" t="inlineStr">
        <is>
          <t>Gregory</t>
        </is>
      </c>
      <c r="E10" s="28" t="n">
        <v>24</v>
      </c>
      <c r="F10" s="28" t="n">
        <v>9.5</v>
      </c>
      <c r="G10" s="29">
        <f>IF(COUNT(E10:F10)&lt;2,"",E10-F10)</f>
        <v/>
      </c>
      <c r="H10" s="30">
        <f>IF(OR(G10="",E10=""),"",G10/E10)</f>
        <v/>
      </c>
      <c r="I10" s="6" t="inlineStr">
        <is>
          <t>BCV</t>
        </is>
      </c>
      <c r="J10" s="29">
        <f>SUMIFS('REGISTRO DE CUOTAS'!$F:$F,'REGISTRO DE CUOTAS'!$D:$D,$C10,'REGISTRO DE CUOTAS'!$E:$E,$B10)</f>
        <v/>
      </c>
      <c r="K10" s="29">
        <f>IF(E10="","",E10-J10)</f>
        <v/>
      </c>
      <c r="L10" s="27" t="n"/>
      <c r="N10" s="17" t="inlineStr">
        <is>
          <t>Total por Cobrar ($)</t>
        </is>
      </c>
      <c r="O10" s="19">
        <f>SUM(K:K)</f>
        <v/>
      </c>
    </row>
    <row r="11">
      <c r="A11" s="6" t="n">
        <v>8</v>
      </c>
      <c r="B11" s="27" t="inlineStr">
        <is>
          <t>Honor y glory</t>
        </is>
      </c>
      <c r="C11" s="27" t="inlineStr">
        <is>
          <t>Polanco</t>
        </is>
      </c>
      <c r="D11" s="27" t="inlineStr">
        <is>
          <t>Gregory</t>
        </is>
      </c>
      <c r="E11" s="28" t="n">
        <v>35</v>
      </c>
      <c r="F11" s="28" t="n">
        <v>12</v>
      </c>
      <c r="G11" s="29">
        <f>IF(COUNT(E11:F11)&lt;2,"",E11-F11)</f>
        <v/>
      </c>
      <c r="H11" s="30">
        <f>IF(OR(G11="",E11=""),"",G11/E11)</f>
        <v/>
      </c>
      <c r="I11" s="6" t="inlineStr">
        <is>
          <t>BCV</t>
        </is>
      </c>
      <c r="J11" s="29">
        <f>SUMIFS('REGISTRO DE CUOTAS'!$F:$F,'REGISTRO DE CUOTAS'!$D:$D,$C11,'REGISTRO DE CUOTAS'!$E:$E,$B11)</f>
        <v/>
      </c>
      <c r="K11" s="29">
        <f>IF(E11="","",E11-J11)</f>
        <v/>
      </c>
      <c r="L11" s="27" t="n"/>
      <c r="N11" s="17" t="inlineStr">
        <is>
          <t>Ventas con pérdida</t>
        </is>
      </c>
      <c r="O11" s="18">
        <f>COUNTIF(G:G,"&lt;0")</f>
        <v/>
      </c>
    </row>
    <row r="12">
      <c r="A12" s="6" t="n">
        <v>9</v>
      </c>
      <c r="B12" s="27" t="inlineStr">
        <is>
          <t>cloud</t>
        </is>
      </c>
      <c r="C12" s="27" t="inlineStr">
        <is>
          <t>Norelvis</t>
        </is>
      </c>
      <c r="D12" s="27" t="inlineStr">
        <is>
          <t>Gregory</t>
        </is>
      </c>
      <c r="E12" s="28" t="n">
        <v>30</v>
      </c>
      <c r="F12" s="28" t="n">
        <v>12</v>
      </c>
      <c r="G12" s="29">
        <f>IF(COUNT(E12:F12)&lt;2,"",E12-F12)</f>
        <v/>
      </c>
      <c r="H12" s="30">
        <f>IF(OR(G12="",E12=""),"",G12/E12)</f>
        <v/>
      </c>
      <c r="I12" s="6" t="inlineStr">
        <is>
          <t>BCV</t>
        </is>
      </c>
      <c r="J12" s="29">
        <f>SUMIFS('REGISTRO DE CUOTAS'!$F:$F,'REGISTRO DE CUOTAS'!$D:$D,$C12,'REGISTRO DE CUOTAS'!$E:$E,$B12)</f>
        <v/>
      </c>
      <c r="K12" s="29">
        <f>IF(E12="","",E12-J12)</f>
        <v/>
      </c>
      <c r="L12" s="27" t="n"/>
    </row>
    <row r="13">
      <c r="A13" s="27" t="n"/>
      <c r="B13" s="27" t="inlineStr">
        <is>
          <t>la bomba</t>
        </is>
      </c>
      <c r="C13" s="27" t="inlineStr">
        <is>
          <t>Ivana</t>
        </is>
      </c>
      <c r="D13" s="27" t="inlineStr">
        <is>
          <t>Gregory</t>
        </is>
      </c>
      <c r="E13" s="28" t="n">
        <v>30</v>
      </c>
      <c r="F13" s="28" t="n">
        <v>17</v>
      </c>
      <c r="G13" s="29">
        <f>IF(COUNT(E13:F13)&lt;2,"",E13-F13)</f>
        <v/>
      </c>
      <c r="H13" s="30">
        <f>IF(OR(G13="",E13=""),"",G13/E13)</f>
        <v/>
      </c>
      <c r="I13" s="6" t="inlineStr">
        <is>
          <t>BCV</t>
        </is>
      </c>
      <c r="J13" s="29">
        <f>SUMIFS('REGISTRO DE CUOTAS'!$F:$F,'REGISTRO DE CUOTAS'!$D:$D,$C13,'REGISTRO DE CUOTAS'!$E:$E,$B13)</f>
        <v/>
      </c>
      <c r="K13" s="29">
        <f>IF(E13="","",E13-J13)</f>
        <v/>
      </c>
      <c r="L13" s="27" t="n"/>
      <c r="N13" s="32" t="inlineStr">
        <is>
          <t>«Total Abonado» sale de la hoja REGISTRO DE CUOTAS, hoy vacía: hasta que se carguen los abonos, la deuda mostrada es el precio completo.</t>
        </is>
      </c>
    </row>
    <row r="14">
      <c r="A14" s="27" t="n"/>
      <c r="B14" s="27" t="inlineStr">
        <is>
          <t>Aqua Dubai</t>
        </is>
      </c>
      <c r="C14" s="27" t="inlineStr">
        <is>
          <t>Cristhian</t>
        </is>
      </c>
      <c r="D14" s="27" t="inlineStr">
        <is>
          <t>Gregory</t>
        </is>
      </c>
      <c r="E14" s="28" t="n">
        <v>34</v>
      </c>
      <c r="F14" s="28" t="n">
        <v>18</v>
      </c>
      <c r="G14" s="29">
        <f>IF(COUNT(E14:F14)&lt;2,"",E14-F14)</f>
        <v/>
      </c>
      <c r="H14" s="30">
        <f>IF(OR(G14="",E14=""),"",G14/E14)</f>
        <v/>
      </c>
      <c r="I14" s="6" t="inlineStr">
        <is>
          <t>BCV</t>
        </is>
      </c>
      <c r="J14" s="29">
        <f>SUMIFS('REGISTRO DE CUOTAS'!$F:$F,'REGISTRO DE CUOTAS'!$D:$D,$C14,'REGISTRO DE CUOTAS'!$E:$E,$B14)</f>
        <v/>
      </c>
      <c r="K14" s="29">
        <f>IF(E14="","",E14-J14)</f>
        <v/>
      </c>
      <c r="L14" s="27" t="n"/>
    </row>
    <row r="15">
      <c r="A15" s="6" t="n">
        <v>10</v>
      </c>
      <c r="B15" s="27" t="inlineStr">
        <is>
          <t>212Vip</t>
        </is>
      </c>
      <c r="C15" s="27" t="inlineStr">
        <is>
          <t>Anderson</t>
        </is>
      </c>
      <c r="D15" s="27" t="inlineStr">
        <is>
          <t>Gregory</t>
        </is>
      </c>
      <c r="E15" s="28" t="n">
        <v>9.5</v>
      </c>
      <c r="F15" s="28" t="n">
        <v>22</v>
      </c>
      <c r="G15" s="29">
        <f>IF(COUNT(E15:F15)&lt;2,"",E15-F15)</f>
        <v/>
      </c>
      <c r="H15" s="30">
        <f>IF(OR(G15="",E15=""),"",G15/E15)</f>
        <v/>
      </c>
      <c r="I15" s="6" t="inlineStr">
        <is>
          <t>BCV</t>
        </is>
      </c>
      <c r="J15" s="29">
        <f>SUMIFS('REGISTRO DE CUOTAS'!$F:$F,'REGISTRO DE CUOTAS'!$D:$D,$C15,'REGISTRO DE CUOTAS'!$E:$E,$B15)</f>
        <v/>
      </c>
      <c r="K15" s="29">
        <f>IF(E15="","",E15-J15)</f>
        <v/>
      </c>
      <c r="L15" s="27" t="n"/>
    </row>
    <row r="16">
      <c r="A16" s="27" t="n"/>
      <c r="B16" s="27" t="inlineStr">
        <is>
          <t>Club de Nuit</t>
        </is>
      </c>
      <c r="C16" s="27" t="inlineStr">
        <is>
          <t>Polanco</t>
        </is>
      </c>
      <c r="D16" s="27" t="inlineStr">
        <is>
          <t>Gregory</t>
        </is>
      </c>
      <c r="E16" s="28" t="n">
        <v>30</v>
      </c>
      <c r="F16" s="28" t="n">
        <v>51</v>
      </c>
      <c r="G16" s="29">
        <f>IF(COUNT(E16:F16)&lt;2,"",E16-F16)</f>
        <v/>
      </c>
      <c r="H16" s="30">
        <f>IF(OR(G16="",E16=""),"",G16/E16)</f>
        <v/>
      </c>
      <c r="I16" s="6" t="inlineStr">
        <is>
          <t>BCV</t>
        </is>
      </c>
      <c r="J16" s="29">
        <f>SUMIFS('REGISTRO DE CUOTAS'!$F:$F,'REGISTRO DE CUOTAS'!$D:$D,$C16,'REGISTRO DE CUOTAS'!$E:$E,$B16)</f>
        <v/>
      </c>
      <c r="K16" s="29">
        <f>IF(E16="","",E16-J16)</f>
        <v/>
      </c>
      <c r="L16" s="27" t="n"/>
    </row>
    <row r="17">
      <c r="A17" s="6" t="n">
        <v>11</v>
      </c>
      <c r="B17" s="27" t="inlineStr">
        <is>
          <t>212 NYC</t>
        </is>
      </c>
      <c r="C17" s="27" t="inlineStr">
        <is>
          <t>Reinel</t>
        </is>
      </c>
      <c r="D17" s="27" t="inlineStr">
        <is>
          <t>Hidelberg</t>
        </is>
      </c>
      <c r="E17" s="28" t="n">
        <v>24</v>
      </c>
      <c r="F17" s="28" t="n">
        <v>12</v>
      </c>
      <c r="G17" s="29">
        <f>IF(COUNT(E17:F17)&lt;2,"",E17-F17)</f>
        <v/>
      </c>
      <c r="H17" s="30">
        <f>IF(OR(G17="",E17=""),"",G17/E17)</f>
        <v/>
      </c>
      <c r="I17" s="6" t="inlineStr">
        <is>
          <t>BCV</t>
        </is>
      </c>
      <c r="J17" s="29">
        <f>SUMIFS('REGISTRO DE CUOTAS'!$F:$F,'REGISTRO DE CUOTAS'!$D:$D,$C17,'REGISTRO DE CUOTAS'!$E:$E,$B17)</f>
        <v/>
      </c>
      <c r="K17" s="29">
        <f>IF(E17="","",E17-J17)</f>
        <v/>
      </c>
      <c r="L17" s="27" t="n"/>
    </row>
    <row r="18">
      <c r="A18" s="6" t="n">
        <v>12</v>
      </c>
      <c r="B18" s="27" t="inlineStr">
        <is>
          <t>EROS MEN VERSACHE</t>
        </is>
      </c>
      <c r="C18" s="27" t="inlineStr">
        <is>
          <t>Llovera</t>
        </is>
      </c>
      <c r="D18" s="27" t="inlineStr">
        <is>
          <t>Gregory</t>
        </is>
      </c>
      <c r="E18" s="28" t="n">
        <v>24</v>
      </c>
      <c r="F18" s="28" t="n">
        <v>9.5</v>
      </c>
      <c r="G18" s="29">
        <f>IF(COUNT(E18:F18)&lt;2,"",E18-F18)</f>
        <v/>
      </c>
      <c r="H18" s="30">
        <f>IF(OR(G18="",E18=""),"",G18/E18)</f>
        <v/>
      </c>
      <c r="I18" s="6" t="n"/>
      <c r="J18" s="29">
        <f>SUMIFS('REGISTRO DE CUOTAS'!$F:$F,'REGISTRO DE CUOTAS'!$D:$D,$C18,'REGISTRO DE CUOTAS'!$E:$E,$B18)</f>
        <v/>
      </c>
      <c r="K18" s="29">
        <f>IF(E18="","",E18-J18)</f>
        <v/>
      </c>
      <c r="L18" s="27" t="n"/>
    </row>
    <row r="19">
      <c r="A19" s="6" t="n">
        <v>13</v>
      </c>
      <c r="B19" s="27" t="inlineStr">
        <is>
          <t>360</t>
        </is>
      </c>
      <c r="C19" s="27" t="inlineStr">
        <is>
          <t>Mirleidy</t>
        </is>
      </c>
      <c r="D19" s="27" t="inlineStr">
        <is>
          <t>Gregory</t>
        </is>
      </c>
      <c r="E19" s="28" t="n">
        <v>12</v>
      </c>
      <c r="F19" s="28" t="n">
        <v>9.5</v>
      </c>
      <c r="G19" s="29">
        <f>IF(COUNT(E19:F19)&lt;2,"",E19-F19)</f>
        <v/>
      </c>
      <c r="H19" s="30">
        <f>IF(OR(G19="",E19=""),"",G19/E19)</f>
        <v/>
      </c>
      <c r="I19" s="6" t="n"/>
      <c r="J19" s="29">
        <f>SUMIFS('REGISTRO DE CUOTAS'!$F:$F,'REGISTRO DE CUOTAS'!$D:$D,$C19,'REGISTRO DE CUOTAS'!$E:$E,$B19)</f>
        <v/>
      </c>
      <c r="K19" s="29">
        <f>IF(E19="","",E19-J19)</f>
        <v/>
      </c>
      <c r="L19" s="27" t="n"/>
    </row>
    <row r="20">
      <c r="A20" s="27" t="n"/>
      <c r="B20" s="27" t="inlineStr">
        <is>
          <t>ASAD BORBOM</t>
        </is>
      </c>
      <c r="C20" s="27" t="inlineStr">
        <is>
          <t>Mirleidy</t>
        </is>
      </c>
      <c r="D20" s="27" t="inlineStr">
        <is>
          <t>Gregory</t>
        </is>
      </c>
      <c r="E20" s="28" t="n">
        <v>16</v>
      </c>
      <c r="F20" s="28" t="n">
        <v>13</v>
      </c>
      <c r="G20" s="29">
        <f>IF(COUNT(E20:F20)&lt;2,"",E20-F20)</f>
        <v/>
      </c>
      <c r="H20" s="30">
        <f>IF(OR(G20="",E20=""),"",G20/E20)</f>
        <v/>
      </c>
      <c r="I20" s="6" t="n"/>
      <c r="J20" s="29">
        <f>SUMIFS('REGISTRO DE CUOTAS'!$F:$F,'REGISTRO DE CUOTAS'!$D:$D,$C20,'REGISTRO DE CUOTAS'!$E:$E,$B20)</f>
        <v/>
      </c>
      <c r="K20" s="29">
        <f>IF(E20="","",E20-J20)</f>
        <v/>
      </c>
      <c r="L20" s="27" t="n"/>
    </row>
    <row r="21">
      <c r="A21" s="27" t="n"/>
      <c r="B21" s="27" t="inlineStr">
        <is>
          <t>TOMMY</t>
        </is>
      </c>
      <c r="C21" s="27" t="inlineStr">
        <is>
          <t>Polanco</t>
        </is>
      </c>
      <c r="D21" s="27" t="inlineStr">
        <is>
          <t>Gregory</t>
        </is>
      </c>
      <c r="E21" s="28" t="n">
        <v>24</v>
      </c>
      <c r="F21" s="28" t="n">
        <v>11</v>
      </c>
      <c r="G21" s="29">
        <f>IF(COUNT(E21:F21)&lt;2,"",E21-F21)</f>
        <v/>
      </c>
      <c r="H21" s="30">
        <f>IF(OR(G21="",E21=""),"",G21/E21)</f>
        <v/>
      </c>
      <c r="I21" s="6" t="n"/>
      <c r="J21" s="29">
        <f>SUMIFS('REGISTRO DE CUOTAS'!$F:$F,'REGISTRO DE CUOTAS'!$D:$D,$C21,'REGISTRO DE CUOTAS'!$E:$E,$B21)</f>
        <v/>
      </c>
      <c r="K21" s="29">
        <f>IF(E21="","",E21-J21)</f>
        <v/>
      </c>
      <c r="L21" s="27" t="n"/>
    </row>
    <row r="22">
      <c r="A22" s="27" t="n"/>
      <c r="B22" s="27" t="inlineStr">
        <is>
          <t>BAD BOY</t>
        </is>
      </c>
      <c r="C22" s="27" t="inlineStr">
        <is>
          <t>Belisario</t>
        </is>
      </c>
      <c r="D22" s="27" t="inlineStr">
        <is>
          <t>Gregory</t>
        </is>
      </c>
      <c r="E22" s="28" t="n">
        <v>24</v>
      </c>
      <c r="F22" s="28" t="n">
        <v>9.5</v>
      </c>
      <c r="G22" s="29">
        <f>IF(COUNT(E22:F22)&lt;2,"",E22-F22)</f>
        <v/>
      </c>
      <c r="H22" s="30">
        <f>IF(OR(G22="",E22=""),"",G22/E22)</f>
        <v/>
      </c>
      <c r="I22" s="6" t="n"/>
      <c r="J22" s="29">
        <f>SUMIFS('REGISTRO DE CUOTAS'!$F:$F,'REGISTRO DE CUOTAS'!$D:$D,$C22,'REGISTRO DE CUOTAS'!$E:$E,$B22)</f>
        <v/>
      </c>
      <c r="K22" s="29">
        <f>IF(E22="","",E22-J22)</f>
        <v/>
      </c>
      <c r="L22" s="27" t="n"/>
    </row>
    <row r="23">
      <c r="A23" s="27" t="n"/>
      <c r="B23" s="27" t="inlineStr">
        <is>
          <t>AQUA DI GIO</t>
        </is>
      </c>
      <c r="C23" s="27" t="inlineStr">
        <is>
          <t>Anderson</t>
        </is>
      </c>
      <c r="D23" s="27" t="inlineStr">
        <is>
          <t>Gregory</t>
        </is>
      </c>
      <c r="E23" s="28" t="n">
        <v>22</v>
      </c>
      <c r="F23" s="28" t="n">
        <v>9.5</v>
      </c>
      <c r="G23" s="29">
        <f>IF(COUNT(E23:F23)&lt;2,"",E23-F23)</f>
        <v/>
      </c>
      <c r="H23" s="30">
        <f>IF(OR(G23="",E23=""),"",G23/E23)</f>
        <v/>
      </c>
      <c r="I23" s="6" t="n"/>
      <c r="J23" s="29">
        <f>SUMIFS('REGISTRO DE CUOTAS'!$F:$F,'REGISTRO DE CUOTAS'!$D:$D,$C23,'REGISTRO DE CUOTAS'!$E:$E,$B23)</f>
        <v/>
      </c>
      <c r="K23" s="29">
        <f>IF(E23="","",E23-J23)</f>
        <v/>
      </c>
      <c r="L23" s="27" t="n"/>
    </row>
    <row r="24">
      <c r="A24" s="6" t="n">
        <v>14</v>
      </c>
      <c r="B24" s="27" t="inlineStr">
        <is>
          <t>SCANDAL</t>
        </is>
      </c>
      <c r="C24" s="27" t="inlineStr">
        <is>
          <t>Adolfito</t>
        </is>
      </c>
      <c r="D24" s="27" t="inlineStr">
        <is>
          <t>Gregory</t>
        </is>
      </c>
      <c r="E24" s="28" t="n">
        <v>22</v>
      </c>
      <c r="F24" s="28" t="n">
        <v>9.5</v>
      </c>
      <c r="G24" s="29">
        <f>IF(COUNT(E24:F24)&lt;2,"",E24-F24)</f>
        <v/>
      </c>
      <c r="H24" s="30">
        <f>IF(OR(G24="",E24=""),"",G24/E24)</f>
        <v/>
      </c>
      <c r="I24" s="6" t="n"/>
      <c r="J24" s="29">
        <f>SUMIFS('REGISTRO DE CUOTAS'!$F:$F,'REGISTRO DE CUOTAS'!$D:$D,$C24,'REGISTRO DE CUOTAS'!$E:$E,$B24)</f>
        <v/>
      </c>
      <c r="K24" s="29">
        <f>IF(E24="","",E24-J24)</f>
        <v/>
      </c>
      <c r="L24" s="27" t="n"/>
    </row>
    <row r="25">
      <c r="A25" s="6" t="n">
        <v>15</v>
      </c>
      <c r="B25" s="27" t="inlineStr">
        <is>
          <t>INVICTUS</t>
        </is>
      </c>
      <c r="C25" s="27" t="inlineStr">
        <is>
          <t>Rafael</t>
        </is>
      </c>
      <c r="D25" s="27" t="inlineStr">
        <is>
          <t>Gregory</t>
        </is>
      </c>
      <c r="E25" s="28" t="n">
        <v>22</v>
      </c>
      <c r="F25" s="28" t="n">
        <v>9.5</v>
      </c>
      <c r="G25" s="29">
        <f>IF(COUNT(E25:F25)&lt;2,"",E25-F25)</f>
        <v/>
      </c>
      <c r="H25" s="30">
        <f>IF(OR(G25="",E25=""),"",G25/E25)</f>
        <v/>
      </c>
      <c r="I25" s="6" t="n"/>
      <c r="J25" s="29">
        <f>SUMIFS('REGISTRO DE CUOTAS'!$F:$F,'REGISTRO DE CUOTAS'!$D:$D,$C25,'REGISTRO DE CUOTAS'!$E:$E,$B25)</f>
        <v/>
      </c>
      <c r="K25" s="29">
        <f>IF(E25="","",E25-J25)</f>
        <v/>
      </c>
      <c r="L25" s="27" t="n"/>
    </row>
    <row r="26">
      <c r="A26" s="27" t="n"/>
      <c r="B26" s="27" t="inlineStr">
        <is>
          <t>AQUA DI GIO</t>
        </is>
      </c>
      <c r="C26" s="27" t="inlineStr">
        <is>
          <t>Ricardo</t>
        </is>
      </c>
      <c r="D26" s="27" t="inlineStr">
        <is>
          <t>Gregory</t>
        </is>
      </c>
      <c r="E26" s="28" t="n">
        <v>24</v>
      </c>
      <c r="F26" s="28" t="n">
        <v>12</v>
      </c>
      <c r="G26" s="29">
        <f>IF(COUNT(E26:F26)&lt;2,"",E26-F26)</f>
        <v/>
      </c>
      <c r="H26" s="30">
        <f>IF(OR(G26="",E26=""),"",G26/E26)</f>
        <v/>
      </c>
      <c r="I26" s="6" t="n"/>
      <c r="J26" s="29">
        <f>SUMIFS('REGISTRO DE CUOTAS'!$F:$F,'REGISTRO DE CUOTAS'!$D:$D,$C26,'REGISTRO DE CUOTAS'!$E:$E,$B26)</f>
        <v/>
      </c>
      <c r="K26" s="29">
        <f>IF(E26="","",E26-J26)</f>
        <v/>
      </c>
      <c r="L26" s="27" t="n"/>
    </row>
    <row r="27">
      <c r="A27" s="6" t="n">
        <v>16</v>
      </c>
      <c r="B27" s="27" t="inlineStr">
        <is>
          <t>CLOUD</t>
        </is>
      </c>
      <c r="C27" s="27" t="inlineStr">
        <is>
          <t>Melany</t>
        </is>
      </c>
      <c r="D27" s="27" t="inlineStr">
        <is>
          <t>Gregory</t>
        </is>
      </c>
      <c r="E27" s="28" t="n">
        <v>24</v>
      </c>
      <c r="F27" s="28" t="n">
        <v>12</v>
      </c>
      <c r="G27" s="29">
        <f>IF(COUNT(E27:F27)&lt;2,"",E27-F27)</f>
        <v/>
      </c>
      <c r="H27" s="30">
        <f>IF(OR(G27="",E27=""),"",G27/E27)</f>
        <v/>
      </c>
      <c r="I27" s="6" t="n"/>
      <c r="J27" s="29">
        <f>SUMIFS('REGISTRO DE CUOTAS'!$F:$F,'REGISTRO DE CUOTAS'!$D:$D,$C27,'REGISTRO DE CUOTAS'!$E:$E,$B27)</f>
        <v/>
      </c>
      <c r="K27" s="29">
        <f>IF(E27="","",E27-J27)</f>
        <v/>
      </c>
      <c r="L27" s="27" t="n"/>
    </row>
    <row r="28">
      <c r="A28" s="27" t="n"/>
      <c r="B28" s="27" t="inlineStr">
        <is>
          <t>BHARARA BLUE</t>
        </is>
      </c>
      <c r="C28" s="27" t="inlineStr">
        <is>
          <t>Gregor</t>
        </is>
      </c>
      <c r="D28" s="27" t="inlineStr">
        <is>
          <t>Gregor</t>
        </is>
      </c>
      <c r="E28" s="28" t="n">
        <v>18</v>
      </c>
      <c r="F28" s="28" t="n">
        <v>18</v>
      </c>
      <c r="G28" s="29">
        <f>IF(COUNT(E28:F28)&lt;2,"",E28-F28)</f>
        <v/>
      </c>
      <c r="H28" s="30">
        <f>IF(OR(G28="",E28=""),"",G28/E28)</f>
        <v/>
      </c>
      <c r="I28" s="6" t="inlineStr">
        <is>
          <t>GM</t>
        </is>
      </c>
      <c r="J28" s="29">
        <f>SUMIFS('REGISTRO DE CUOTAS'!$F:$F,'REGISTRO DE CUOTAS'!$D:$D,$C28,'REGISTRO DE CUOTAS'!$E:$E,$B28)</f>
        <v/>
      </c>
      <c r="K28" s="29">
        <f>IF(E28="","",E28-J28)</f>
        <v/>
      </c>
      <c r="L28" s="21" t="inlineStr">
        <is>
          <t>Precio anotado como «18.GM»</t>
        </is>
      </c>
    </row>
    <row r="29">
      <c r="A29" s="27" t="n"/>
      <c r="B29" s="27" t="inlineStr">
        <is>
          <t>TOMMY</t>
        </is>
      </c>
      <c r="C29" s="27" t="inlineStr">
        <is>
          <t>Hidelberg</t>
        </is>
      </c>
      <c r="D29" s="27" t="inlineStr">
        <is>
          <t>Hidelberg</t>
        </is>
      </c>
      <c r="E29" s="28" t="n">
        <v>12</v>
      </c>
      <c r="F29" s="28" t="n">
        <v>12</v>
      </c>
      <c r="G29" s="29">
        <f>IF(COUNT(E29:F29)&lt;2,"",E29-F29)</f>
        <v/>
      </c>
      <c r="H29" s="30">
        <f>IF(OR(G29="",E29=""),"",G29/E29)</f>
        <v/>
      </c>
      <c r="I29" s="6" t="inlineStr">
        <is>
          <t>GM</t>
        </is>
      </c>
      <c r="J29" s="29">
        <f>SUMIFS('REGISTRO DE CUOTAS'!$F:$F,'REGISTRO DE CUOTAS'!$D:$D,$C29,'REGISTRO DE CUOTAS'!$E:$E,$B29)</f>
        <v/>
      </c>
      <c r="K29" s="29">
        <f>IF(E29="","",E29-J29)</f>
        <v/>
      </c>
      <c r="L29" s="21" t="inlineStr">
        <is>
          <t>Precio anotado como «12.GM»</t>
        </is>
      </c>
    </row>
    <row r="30">
      <c r="A30" s="6" t="n">
        <v>17</v>
      </c>
      <c r="B30" s="27" t="inlineStr">
        <is>
          <t>Sauvage Dior</t>
        </is>
      </c>
      <c r="C30" s="27" t="inlineStr">
        <is>
          <t>Juan Herrade</t>
        </is>
      </c>
      <c r="D30" s="27" t="inlineStr">
        <is>
          <t>Gregory</t>
        </is>
      </c>
      <c r="E30" s="28" t="n">
        <v>22</v>
      </c>
      <c r="F30" s="28" t="n">
        <v>12</v>
      </c>
      <c r="G30" s="29">
        <f>IF(COUNT(E30:F30)&lt;2,"",E30-F30)</f>
        <v/>
      </c>
      <c r="H30" s="30">
        <f>IF(OR(G30="",E30=""),"",G30/E30)</f>
        <v/>
      </c>
      <c r="I30" s="6" t="n"/>
      <c r="J30" s="29">
        <f>SUMIFS('REGISTRO DE CUOTAS'!$F:$F,'REGISTRO DE CUOTAS'!$D:$D,$C30,'REGISTRO DE CUOTAS'!$E:$E,$B30)</f>
        <v/>
      </c>
      <c r="K30" s="29">
        <f>IF(E30="","",E30-J30)</f>
        <v/>
      </c>
      <c r="L30" s="27" t="n"/>
    </row>
    <row r="31">
      <c r="A31" s="27" t="n"/>
      <c r="B31" s="27" t="inlineStr">
        <is>
          <t>Victorinox swis army</t>
        </is>
      </c>
      <c r="C31" s="27" t="inlineStr">
        <is>
          <t>Juan Herrade</t>
        </is>
      </c>
      <c r="D31" s="27" t="inlineStr">
        <is>
          <t>Gregory</t>
        </is>
      </c>
      <c r="E31" s="28" t="n">
        <v>22</v>
      </c>
      <c r="F31" s="28" t="n">
        <v>9.5</v>
      </c>
      <c r="G31" s="29">
        <f>IF(COUNT(E31:F31)&lt;2,"",E31-F31)</f>
        <v/>
      </c>
      <c r="H31" s="30">
        <f>IF(OR(G31="",E31=""),"",G31/E31)</f>
        <v/>
      </c>
      <c r="I31" s="6" t="n"/>
      <c r="J31" s="29">
        <f>SUMIFS('REGISTRO DE CUOTAS'!$F:$F,'REGISTRO DE CUOTAS'!$D:$D,$C31,'REGISTRO DE CUOTAS'!$E:$E,$B31)</f>
        <v/>
      </c>
      <c r="K31" s="29">
        <f>IF(E31="","",E31-J31)</f>
        <v/>
      </c>
      <c r="L31" s="27" t="n"/>
    </row>
    <row r="32">
      <c r="A32" s="6" t="n">
        <v>18</v>
      </c>
      <c r="B32" s="27" t="inlineStr">
        <is>
          <t>Eros Flame</t>
        </is>
      </c>
      <c r="C32" s="27" t="inlineStr">
        <is>
          <t>Ricardo Palacios</t>
        </is>
      </c>
      <c r="D32" s="27" t="inlineStr">
        <is>
          <t>Gregor</t>
        </is>
      </c>
      <c r="E32" s="28" t="n">
        <v>22</v>
      </c>
      <c r="F32" s="28" t="n">
        <v>12</v>
      </c>
      <c r="G32" s="29">
        <f>IF(COUNT(E32:F32)&lt;2,"",E32-F32)</f>
        <v/>
      </c>
      <c r="H32" s="30">
        <f>IF(OR(G32="",E32=""),"",G32/E32)</f>
        <v/>
      </c>
      <c r="I32" s="6" t="n"/>
      <c r="J32" s="29">
        <f>SUMIFS('REGISTRO DE CUOTAS'!$F:$F,'REGISTRO DE CUOTAS'!$D:$D,$C32,'REGISTRO DE CUOTAS'!$E:$E,$B32)</f>
        <v/>
      </c>
      <c r="K32" s="29">
        <f>IF(E32="","",E32-J32)</f>
        <v/>
      </c>
      <c r="L32" s="27" t="n"/>
    </row>
    <row r="33">
      <c r="A33" s="27" t="n"/>
      <c r="B33" s="27" t="inlineStr">
        <is>
          <t>Mandarin Sky</t>
        </is>
      </c>
      <c r="C33" s="27" t="inlineStr">
        <is>
          <t>Ricardo Palacios</t>
        </is>
      </c>
      <c r="D33" s="27" t="inlineStr">
        <is>
          <t>Gregor</t>
        </is>
      </c>
      <c r="E33" s="28" t="n">
        <v>22</v>
      </c>
      <c r="F33" s="28" t="n">
        <v>15</v>
      </c>
      <c r="G33" s="29">
        <f>IF(COUNT(E33:F33)&lt;2,"",E33-F33)</f>
        <v/>
      </c>
      <c r="H33" s="30">
        <f>IF(OR(G33="",E33=""),"",G33/E33)</f>
        <v/>
      </c>
      <c r="I33" s="6" t="n"/>
      <c r="J33" s="29">
        <f>SUMIFS('REGISTRO DE CUOTAS'!$F:$F,'REGISTRO DE CUOTAS'!$D:$D,$C33,'REGISTRO DE CUOTAS'!$E:$E,$B33)</f>
        <v/>
      </c>
      <c r="K33" s="29">
        <f>IF(E33="","",E33-J33)</f>
        <v/>
      </c>
      <c r="L33" s="27" t="n"/>
    </row>
    <row r="34">
      <c r="A34" s="6" t="n">
        <v>19</v>
      </c>
      <c r="B34" s="27" t="inlineStr">
        <is>
          <t>BHARARA KING</t>
        </is>
      </c>
      <c r="C34" s="27" t="inlineStr">
        <is>
          <t>Jeferson Mejias</t>
        </is>
      </c>
      <c r="D34" s="27" t="inlineStr">
        <is>
          <t>Hidelberg</t>
        </is>
      </c>
      <c r="E34" s="28" t="n">
        <v>42</v>
      </c>
      <c r="F34" s="28" t="n">
        <v>20</v>
      </c>
      <c r="G34" s="29">
        <f>IF(COUNT(E34:F34)&lt;2,"",E34-F34)</f>
        <v/>
      </c>
      <c r="H34" s="30">
        <f>IF(OR(G34="",E34=""),"",G34/E34)</f>
        <v/>
      </c>
      <c r="I34" s="6" t="n"/>
      <c r="J34" s="29">
        <f>SUMIFS('REGISTRO DE CUOTAS'!$F:$F,'REGISTRO DE CUOTAS'!$D:$D,$C34,'REGISTRO DE CUOTAS'!$E:$E,$B34)</f>
        <v/>
      </c>
      <c r="K34" s="29">
        <f>IF(E34="","",E34-J34)</f>
        <v/>
      </c>
      <c r="L34" s="27" t="n"/>
    </row>
    <row r="35">
      <c r="A35" s="6" t="n">
        <v>20</v>
      </c>
      <c r="B35" s="27" t="inlineStr">
        <is>
          <t>Sauvage Dior</t>
        </is>
      </c>
      <c r="C35" s="27" t="inlineStr">
        <is>
          <t>Apostol</t>
        </is>
      </c>
      <c r="D35" s="27" t="inlineStr">
        <is>
          <t>Gregory</t>
        </is>
      </c>
      <c r="E35" s="28" t="n">
        <v>24</v>
      </c>
      <c r="F35" s="28" t="n">
        <v>12</v>
      </c>
      <c r="G35" s="29">
        <f>IF(COUNT(E35:F35)&lt;2,"",E35-F35)</f>
        <v/>
      </c>
      <c r="H35" s="30">
        <f>IF(OR(G35="",E35=""),"",G35/E35)</f>
        <v/>
      </c>
      <c r="I35" s="6" t="n"/>
      <c r="J35" s="29">
        <f>SUMIFS('REGISTRO DE CUOTAS'!$F:$F,'REGISTRO DE CUOTAS'!$D:$D,$C35,'REGISTRO DE CUOTAS'!$E:$E,$B35)</f>
        <v/>
      </c>
      <c r="K35" s="29">
        <f>IF(E35="","",E35-J35)</f>
        <v/>
      </c>
      <c r="L35" s="27" t="n"/>
    </row>
    <row r="36">
      <c r="A36" s="27" t="n"/>
      <c r="B36" s="27" t="inlineStr">
        <is>
          <t>YARA ELIXIR</t>
        </is>
      </c>
      <c r="C36" s="27" t="inlineStr">
        <is>
          <t>Hade Mirleidy</t>
        </is>
      </c>
      <c r="D36" s="27" t="inlineStr">
        <is>
          <t>Gregor</t>
        </is>
      </c>
      <c r="E36" s="28" t="n">
        <v>24</v>
      </c>
      <c r="F36" s="28" t="n">
        <v>12</v>
      </c>
      <c r="G36" s="29">
        <f>IF(COUNT(E36:F36)&lt;2,"",E36-F36)</f>
        <v/>
      </c>
      <c r="H36" s="30">
        <f>IF(OR(G36="",E36=""),"",G36/E36)</f>
        <v/>
      </c>
      <c r="I36" s="6" t="n"/>
      <c r="J36" s="29">
        <f>SUMIFS('REGISTRO DE CUOTAS'!$F:$F,'REGISTRO DE CUOTAS'!$D:$D,$C36,'REGISTRO DE CUOTAS'!$E:$E,$B36)</f>
        <v/>
      </c>
      <c r="K36" s="29">
        <f>IF(E36="","",E36-J36)</f>
        <v/>
      </c>
      <c r="L36" s="27" t="n"/>
    </row>
    <row r="37">
      <c r="A37" s="6" t="n">
        <v>21</v>
      </c>
      <c r="B37" s="27" t="inlineStr">
        <is>
          <t>Mandarin Sky</t>
        </is>
      </c>
      <c r="C37" s="27" t="inlineStr">
        <is>
          <t>Luis Sequera</t>
        </is>
      </c>
      <c r="D37" s="27" t="inlineStr">
        <is>
          <t>Gregor</t>
        </is>
      </c>
      <c r="E37" s="28" t="n">
        <v>32</v>
      </c>
      <c r="F37" s="28" t="n">
        <v>15</v>
      </c>
      <c r="G37" s="29">
        <f>IF(COUNT(E37:F37)&lt;2,"",E37-F37)</f>
        <v/>
      </c>
      <c r="H37" s="30">
        <f>IF(OR(G37="",E37=""),"",G37/E37)</f>
        <v/>
      </c>
      <c r="I37" s="6" t="n"/>
      <c r="J37" s="29">
        <f>SUMIFS('REGISTRO DE CUOTAS'!$F:$F,'REGISTRO DE CUOTAS'!$D:$D,$C37,'REGISTRO DE CUOTAS'!$E:$E,$B37)</f>
        <v/>
      </c>
      <c r="K37" s="29">
        <f>IF(E37="","",E37-J37)</f>
        <v/>
      </c>
      <c r="L37" s="27" t="n"/>
    </row>
    <row r="38">
      <c r="A38" s="27" t="n"/>
      <c r="B38" s="27" t="inlineStr">
        <is>
          <t>CLUD DE NUIT INTENSE</t>
        </is>
      </c>
      <c r="C38" s="27" t="inlineStr">
        <is>
          <t>Ricardo Gomez</t>
        </is>
      </c>
      <c r="D38" s="27" t="inlineStr">
        <is>
          <t>Gregory</t>
        </is>
      </c>
      <c r="E38" s="28" t="n">
        <v>19</v>
      </c>
      <c r="F38" s="28" t="n">
        <v>15</v>
      </c>
      <c r="G38" s="29">
        <f>IF(COUNT(E38:F38)&lt;2,"",E38-F38)</f>
        <v/>
      </c>
      <c r="H38" s="30">
        <f>IF(OR(G38="",E38=""),"",G38/E38)</f>
        <v/>
      </c>
      <c r="I38" s="6" t="inlineStr">
        <is>
          <t>usdt P.M</t>
        </is>
      </c>
      <c r="J38" s="29">
        <f>SUMIFS('REGISTRO DE CUOTAS'!$F:$F,'REGISTRO DE CUOTAS'!$D:$D,$C38,'REGISTRO DE CUOTAS'!$E:$E,$B38)</f>
        <v/>
      </c>
      <c r="K38" s="29">
        <f>IF(E38="","",E38-J38)</f>
        <v/>
      </c>
      <c r="L38" s="21" t="inlineStr">
        <is>
          <t>Precio anotado como «19 usdt P.M»</t>
        </is>
      </c>
    </row>
    <row r="39">
      <c r="A39" s="27" t="n"/>
      <c r="B39" s="27" t="inlineStr">
        <is>
          <t>9PM REBEL ORIGINAL</t>
        </is>
      </c>
      <c r="C39" s="27" t="inlineStr">
        <is>
          <t>Cristhian Gonzales</t>
        </is>
      </c>
      <c r="D39" s="27" t="inlineStr">
        <is>
          <t>Gregory</t>
        </is>
      </c>
      <c r="E39" s="28" t="n">
        <v>70</v>
      </c>
      <c r="F39" s="28" t="n">
        <v>50</v>
      </c>
      <c r="G39" s="29">
        <f>IF(COUNT(E39:F39)&lt;2,"",E39-F39)</f>
        <v/>
      </c>
      <c r="H39" s="30">
        <f>IF(OR(G39="",E39=""),"",G39/E39)</f>
        <v/>
      </c>
      <c r="I39" s="6" t="n"/>
      <c r="J39" s="29">
        <f>SUMIFS('REGISTRO DE CUOTAS'!$F:$F,'REGISTRO DE CUOTAS'!$D:$D,$C39,'REGISTRO DE CUOTAS'!$E:$E,$B39)</f>
        <v/>
      </c>
      <c r="K39" s="29">
        <f>IF(E39="","",E39-J39)</f>
        <v/>
      </c>
      <c r="L39" s="27" t="n"/>
    </row>
    <row r="40">
      <c r="A40" s="27" t="n"/>
      <c r="B40" s="27" t="inlineStr">
        <is>
          <t>AQUA DI GIO</t>
        </is>
      </c>
      <c r="C40" s="27" t="inlineStr">
        <is>
          <t>Ricardo Gomez</t>
        </is>
      </c>
      <c r="D40" s="27" t="inlineStr">
        <is>
          <t>Gregory</t>
        </is>
      </c>
      <c r="E40" s="28" t="n">
        <v>16</v>
      </c>
      <c r="F40" s="28" t="n">
        <v>13</v>
      </c>
      <c r="G40" s="29">
        <f>IF(COUNT(E40:F40)&lt;2,"",E40-F40)</f>
        <v/>
      </c>
      <c r="H40" s="30">
        <f>IF(OR(G40="",E40=""),"",G40/E40)</f>
        <v/>
      </c>
      <c r="I40" s="6" t="inlineStr">
        <is>
          <t>P.M</t>
        </is>
      </c>
      <c r="J40" s="29">
        <f>SUMIFS('REGISTRO DE CUOTAS'!$F:$F,'REGISTRO DE CUOTAS'!$D:$D,$C40,'REGISTRO DE CUOTAS'!$E:$E,$B40)</f>
        <v/>
      </c>
      <c r="K40" s="29">
        <f>IF(E40="","",E40-J40)</f>
        <v/>
      </c>
      <c r="L40" s="21" t="inlineStr">
        <is>
          <t>Precio anotado como «16 P.M»</t>
        </is>
      </c>
    </row>
    <row r="41">
      <c r="A41" s="6" t="n">
        <v>22</v>
      </c>
      <c r="B41" s="27" t="inlineStr">
        <is>
          <t>SCANDAL</t>
        </is>
      </c>
      <c r="C41" s="27" t="inlineStr">
        <is>
          <t>Gabriel Medina</t>
        </is>
      </c>
      <c r="D41" s="27" t="inlineStr">
        <is>
          <t>Gregor</t>
        </is>
      </c>
      <c r="E41" s="28" t="n">
        <v>22</v>
      </c>
      <c r="F41" s="28" t="n">
        <v>11</v>
      </c>
      <c r="G41" s="29">
        <f>IF(COUNT(E41:F41)&lt;2,"",E41-F41)</f>
        <v/>
      </c>
      <c r="H41" s="30">
        <f>IF(OR(G41="",E41=""),"",G41/E41)</f>
        <v/>
      </c>
      <c r="I41" s="6" t="n"/>
      <c r="J41" s="29">
        <f>SUMIFS('REGISTRO DE CUOTAS'!$F:$F,'REGISTRO DE CUOTAS'!$D:$D,$C41,'REGISTRO DE CUOTAS'!$E:$E,$B41)</f>
        <v/>
      </c>
      <c r="K41" s="29">
        <f>IF(E41="","",E41-J41)</f>
        <v/>
      </c>
      <c r="L41" s="27" t="n"/>
    </row>
    <row r="42">
      <c r="A42" s="27" t="n"/>
      <c r="B42" s="27" t="inlineStr">
        <is>
          <t>Sauvage Dior</t>
        </is>
      </c>
      <c r="C42" s="27" t="inlineStr">
        <is>
          <t>Gabriel Medina</t>
        </is>
      </c>
      <c r="D42" s="27" t="inlineStr">
        <is>
          <t>Gregor</t>
        </is>
      </c>
      <c r="E42" s="28" t="n">
        <v>22</v>
      </c>
      <c r="F42" s="28" t="n">
        <v>13</v>
      </c>
      <c r="G42" s="29">
        <f>IF(COUNT(E42:F42)&lt;2,"",E42-F42)</f>
        <v/>
      </c>
      <c r="H42" s="30">
        <f>IF(OR(G42="",E42=""),"",G42/E42)</f>
        <v/>
      </c>
      <c r="I42" s="6" t="n"/>
      <c r="J42" s="29">
        <f>SUMIFS('REGISTRO DE CUOTAS'!$F:$F,'REGISTRO DE CUOTAS'!$D:$D,$C42,'REGISTRO DE CUOTAS'!$E:$E,$B42)</f>
        <v/>
      </c>
      <c r="K42" s="29">
        <f>IF(E42="","",E42-J42)</f>
        <v/>
      </c>
      <c r="L42" s="27" t="n"/>
    </row>
    <row r="43">
      <c r="A43" s="6" t="n">
        <v>23</v>
      </c>
      <c r="B43" s="27" t="inlineStr">
        <is>
          <t>POLO BLUE</t>
        </is>
      </c>
      <c r="C43" s="27" t="inlineStr">
        <is>
          <t>Leandro</t>
        </is>
      </c>
      <c r="D43" s="27" t="inlineStr">
        <is>
          <t>Gregor</t>
        </is>
      </c>
      <c r="E43" s="28" t="n">
        <v>22</v>
      </c>
      <c r="F43" s="28" t="n">
        <v>12</v>
      </c>
      <c r="G43" s="29">
        <f>IF(COUNT(E43:F43)&lt;2,"",E43-F43)</f>
        <v/>
      </c>
      <c r="H43" s="30">
        <f>IF(OR(G43="",E43=""),"",G43/E43)</f>
        <v/>
      </c>
      <c r="I43" s="6" t="n"/>
      <c r="J43" s="29">
        <f>SUMIFS('REGISTRO DE CUOTAS'!$F:$F,'REGISTRO DE CUOTAS'!$D:$D,$C43,'REGISTRO DE CUOTAS'!$E:$E,$B43)</f>
        <v/>
      </c>
      <c r="K43" s="29">
        <f>IF(E43="","",E43-J43)</f>
        <v/>
      </c>
      <c r="L43" s="27" t="n"/>
    </row>
    <row r="44">
      <c r="A44" s="6" t="n">
        <v>24</v>
      </c>
      <c r="B44" s="27" t="inlineStr">
        <is>
          <t>issey miyake</t>
        </is>
      </c>
      <c r="C44" s="27" t="inlineStr">
        <is>
          <t>Alejandro Blanco</t>
        </is>
      </c>
      <c r="D44" s="27" t="inlineStr">
        <is>
          <t>Gregor</t>
        </is>
      </c>
      <c r="E44" s="28" t="n">
        <v>22</v>
      </c>
      <c r="F44" s="28" t="n">
        <v>10</v>
      </c>
      <c r="G44" s="29">
        <f>IF(COUNT(E44:F44)&lt;2,"",E44-F44)</f>
        <v/>
      </c>
      <c r="H44" s="30">
        <f>IF(OR(G44="",E44=""),"",G44/E44)</f>
        <v/>
      </c>
      <c r="I44" s="6" t="n"/>
      <c r="J44" s="29">
        <f>SUMIFS('REGISTRO DE CUOTAS'!$F:$F,'REGISTRO DE CUOTAS'!$D:$D,$C44,'REGISTRO DE CUOTAS'!$E:$E,$B44)</f>
        <v/>
      </c>
      <c r="K44" s="29">
        <f>IF(E44="","",E44-J44)</f>
        <v/>
      </c>
      <c r="L44" s="27" t="n"/>
    </row>
    <row r="45">
      <c r="A45" s="27" t="n"/>
      <c r="B45" s="27" t="inlineStr">
        <is>
          <t>AQUA DI GIO</t>
        </is>
      </c>
      <c r="C45" s="27" t="inlineStr">
        <is>
          <t>Alejandro Blanco</t>
        </is>
      </c>
      <c r="D45" s="27" t="inlineStr">
        <is>
          <t>Gregor</t>
        </is>
      </c>
      <c r="E45" s="28" t="n">
        <v>22</v>
      </c>
      <c r="F45" s="28" t="n">
        <v>13</v>
      </c>
      <c r="G45" s="29">
        <f>IF(COUNT(E45:F45)&lt;2,"",E45-F45)</f>
        <v/>
      </c>
      <c r="H45" s="30">
        <f>IF(OR(G45="",E45=""),"",G45/E45)</f>
        <v/>
      </c>
      <c r="I45" s="6" t="n"/>
      <c r="J45" s="29">
        <f>SUMIFS('REGISTRO DE CUOTAS'!$F:$F,'REGISTRO DE CUOTAS'!$D:$D,$C45,'REGISTRO DE CUOTAS'!$E:$E,$B45)</f>
        <v/>
      </c>
      <c r="K45" s="29">
        <f>IF(E45="","",E45-J45)</f>
        <v/>
      </c>
      <c r="L45" s="27" t="n"/>
    </row>
  </sheetData>
  <mergeCells count="2">
    <mergeCell ref="N13:O15"/>
    <mergeCell ref="N3:O3"/>
  </mergeCells>
  <conditionalFormatting sqref="G4:G45">
    <cfRule type="cellIs" priority="1" operator="lessThan" dxfId="3">
      <formula>0</formula>
    </cfRule>
  </conditionalFormatting>
  <conditionalFormatting sqref="K4:K45">
    <cfRule type="cellIs" priority="2" operator="greaterThan" dxfId="2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4E8FA3"/>
    <outlinePr summaryBelow="1" summaryRight="1"/>
    <pageSetUpPr/>
  </sheetPr>
  <dimension ref="A1:I2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14" customWidth="1" min="3" max="3"/>
    <col width="22" customWidth="1" min="4" max="4"/>
    <col width="30" customWidth="1" min="5" max="5"/>
    <col width="18" customWidth="1" min="6" max="6"/>
    <col width="14" customWidth="1" min="7" max="7"/>
    <col width="14" customWidth="1" min="8" max="8"/>
    <col width="34" customWidth="1" min="9" max="9"/>
  </cols>
  <sheetData>
    <row r="1">
      <c r="A1" s="1" t="inlineStr">
        <is>
          <t>REGISTRO DE CUOTAS / ABONOS</t>
        </is>
      </c>
    </row>
    <row r="2">
      <c r="A2" s="24" t="inlineStr">
        <is>
          <t>Hoja reconstruida: las fórmulas de DEUDA en VENTAS ya la buscaban pero no existía. Cargá un abono por fila. CLIENTE (D) y PRODUCTO (E) deben coincidir exactamente con VENTAS.</t>
        </is>
      </c>
    </row>
    <row r="3" ht="30" customHeight="1">
      <c r="A3" s="3" t="inlineStr">
        <is>
          <t>N°</t>
        </is>
      </c>
      <c r="B3" s="3" t="inlineStr">
        <is>
          <t>FECHA</t>
        </is>
      </c>
      <c r="C3" s="3" t="inlineStr">
        <is>
          <t>VENDEDOR</t>
        </is>
      </c>
      <c r="D3" s="3" t="inlineStr">
        <is>
          <t>CLIENTE</t>
        </is>
      </c>
      <c r="E3" s="3" t="inlineStr">
        <is>
          <t>PRODUCTO</t>
        </is>
      </c>
      <c r="F3" s="3" t="inlineStr">
        <is>
          <t>MONTO ABONADO ($)</t>
        </is>
      </c>
      <c r="G3" s="3" t="inlineStr">
        <is>
          <t>MÉTODO</t>
        </is>
      </c>
      <c r="H3" s="3" t="inlineStr">
        <is>
          <t>REFERENCIA</t>
        </is>
      </c>
      <c r="I3" s="3" t="inlineStr">
        <is>
          <t>NOTAS</t>
        </is>
      </c>
    </row>
    <row r="4">
      <c r="A4" s="33" t="n"/>
      <c r="B4" s="34" t="n"/>
      <c r="C4" s="33" t="n"/>
      <c r="D4" s="33" t="n"/>
      <c r="E4" s="33" t="n"/>
      <c r="F4" s="35" t="n"/>
      <c r="G4" s="33" t="n"/>
      <c r="H4" s="33" t="n"/>
      <c r="I4" s="33" t="n"/>
    </row>
    <row r="5">
      <c r="A5" s="27" t="n"/>
      <c r="B5" s="36" t="n"/>
      <c r="C5" s="27" t="n"/>
      <c r="D5" s="27" t="n"/>
      <c r="E5" s="27" t="n"/>
      <c r="F5" s="28" t="n"/>
      <c r="G5" s="27" t="n"/>
      <c r="H5" s="27" t="n"/>
      <c r="I5" s="27" t="n"/>
    </row>
    <row r="6">
      <c r="A6" s="33" t="n"/>
      <c r="B6" s="34" t="n"/>
      <c r="C6" s="33" t="n"/>
      <c r="D6" s="33" t="n"/>
      <c r="E6" s="33" t="n"/>
      <c r="F6" s="35" t="n"/>
      <c r="G6" s="33" t="n"/>
      <c r="H6" s="33" t="n"/>
      <c r="I6" s="33" t="n"/>
    </row>
    <row r="7">
      <c r="A7" s="27" t="n"/>
      <c r="B7" s="36" t="n"/>
      <c r="C7" s="27" t="n"/>
      <c r="D7" s="27" t="n"/>
      <c r="E7" s="27" t="n"/>
      <c r="F7" s="28" t="n"/>
      <c r="G7" s="27" t="n"/>
      <c r="H7" s="27" t="n"/>
      <c r="I7" s="27" t="n"/>
    </row>
    <row r="8">
      <c r="A8" s="33" t="n"/>
      <c r="B8" s="34" t="n"/>
      <c r="C8" s="33" t="n"/>
      <c r="D8" s="33" t="n"/>
      <c r="E8" s="33" t="n"/>
      <c r="F8" s="35" t="n"/>
      <c r="G8" s="33" t="n"/>
      <c r="H8" s="33" t="n"/>
      <c r="I8" s="33" t="n"/>
    </row>
    <row r="9">
      <c r="A9" s="27" t="n"/>
      <c r="B9" s="36" t="n"/>
      <c r="C9" s="27" t="n"/>
      <c r="D9" s="27" t="n"/>
      <c r="E9" s="27" t="n"/>
      <c r="F9" s="28" t="n"/>
      <c r="G9" s="27" t="n"/>
      <c r="H9" s="27" t="n"/>
      <c r="I9" s="27" t="n"/>
    </row>
    <row r="10">
      <c r="A10" s="33" t="n"/>
      <c r="B10" s="34" t="n"/>
      <c r="C10" s="33" t="n"/>
      <c r="D10" s="33" t="n"/>
      <c r="E10" s="33" t="n"/>
      <c r="F10" s="35" t="n"/>
      <c r="G10" s="33" t="n"/>
      <c r="H10" s="33" t="n"/>
      <c r="I10" s="33" t="n"/>
    </row>
    <row r="11">
      <c r="A11" s="27" t="n"/>
      <c r="B11" s="36" t="n"/>
      <c r="C11" s="27" t="n"/>
      <c r="D11" s="27" t="n"/>
      <c r="E11" s="27" t="n"/>
      <c r="F11" s="28" t="n"/>
      <c r="G11" s="27" t="n"/>
      <c r="H11" s="27" t="n"/>
      <c r="I11" s="27" t="n"/>
    </row>
    <row r="12">
      <c r="A12" s="33" t="n"/>
      <c r="B12" s="34" t="n"/>
      <c r="C12" s="33" t="n"/>
      <c r="D12" s="33" t="n"/>
      <c r="E12" s="33" t="n"/>
      <c r="F12" s="35" t="n"/>
      <c r="G12" s="33" t="n"/>
      <c r="H12" s="33" t="n"/>
      <c r="I12" s="33" t="n"/>
    </row>
    <row r="13">
      <c r="A13" s="27" t="n"/>
      <c r="B13" s="36" t="n"/>
      <c r="C13" s="27" t="n"/>
      <c r="D13" s="27" t="n"/>
      <c r="E13" s="27" t="n"/>
      <c r="F13" s="28" t="n"/>
      <c r="G13" s="27" t="n"/>
      <c r="H13" s="27" t="n"/>
      <c r="I13" s="27" t="n"/>
    </row>
    <row r="14">
      <c r="A14" s="33" t="n"/>
      <c r="B14" s="34" t="n"/>
      <c r="C14" s="33" t="n"/>
      <c r="D14" s="33" t="n"/>
      <c r="E14" s="33" t="n"/>
      <c r="F14" s="35" t="n"/>
      <c r="G14" s="33" t="n"/>
      <c r="H14" s="33" t="n"/>
      <c r="I14" s="33" t="n"/>
    </row>
    <row r="15">
      <c r="A15" s="27" t="n"/>
      <c r="B15" s="36" t="n"/>
      <c r="C15" s="27" t="n"/>
      <c r="D15" s="27" t="n"/>
      <c r="E15" s="27" t="n"/>
      <c r="F15" s="28" t="n"/>
      <c r="G15" s="27" t="n"/>
      <c r="H15" s="27" t="n"/>
      <c r="I15" s="27" t="n"/>
    </row>
    <row r="16">
      <c r="A16" s="33" t="n"/>
      <c r="B16" s="34" t="n"/>
      <c r="C16" s="33" t="n"/>
      <c r="D16" s="33" t="n"/>
      <c r="E16" s="33" t="n"/>
      <c r="F16" s="35" t="n"/>
      <c r="G16" s="33" t="n"/>
      <c r="H16" s="33" t="n"/>
      <c r="I16" s="33" t="n"/>
    </row>
    <row r="17">
      <c r="A17" s="27" t="n"/>
      <c r="B17" s="36" t="n"/>
      <c r="C17" s="27" t="n"/>
      <c r="D17" s="27" t="n"/>
      <c r="E17" s="27" t="n"/>
      <c r="F17" s="28" t="n"/>
      <c r="G17" s="27" t="n"/>
      <c r="H17" s="27" t="n"/>
      <c r="I17" s="27" t="n"/>
    </row>
    <row r="18">
      <c r="A18" s="33" t="n"/>
      <c r="B18" s="34" t="n"/>
      <c r="C18" s="33" t="n"/>
      <c r="D18" s="33" t="n"/>
      <c r="E18" s="33" t="n"/>
      <c r="F18" s="35" t="n"/>
      <c r="G18" s="33" t="n"/>
      <c r="H18" s="33" t="n"/>
      <c r="I18" s="33" t="n"/>
    </row>
    <row r="19">
      <c r="A19" s="27" t="n"/>
      <c r="B19" s="36" t="n"/>
      <c r="C19" s="27" t="n"/>
      <c r="D19" s="27" t="n"/>
      <c r="E19" s="27" t="n"/>
      <c r="F19" s="28" t="n"/>
      <c r="G19" s="27" t="n"/>
      <c r="H19" s="27" t="n"/>
      <c r="I19" s="27" t="n"/>
    </row>
    <row r="20">
      <c r="A20" s="33" t="n"/>
      <c r="B20" s="34" t="n"/>
      <c r="C20" s="33" t="n"/>
      <c r="D20" s="33" t="n"/>
      <c r="E20" s="33" t="n"/>
      <c r="F20" s="35" t="n"/>
      <c r="G20" s="33" t="n"/>
      <c r="H20" s="33" t="n"/>
      <c r="I20" s="33" t="n"/>
    </row>
    <row r="21">
      <c r="A21" s="27" t="n"/>
      <c r="B21" s="36" t="n"/>
      <c r="C21" s="27" t="n"/>
      <c r="D21" s="27" t="n"/>
      <c r="E21" s="27" t="n"/>
      <c r="F21" s="28" t="n"/>
      <c r="G21" s="27" t="n"/>
      <c r="H21" s="27" t="n"/>
      <c r="I21" s="27" t="n"/>
    </row>
    <row r="22">
      <c r="A22" s="33" t="n"/>
      <c r="B22" s="34" t="n"/>
      <c r="C22" s="33" t="n"/>
      <c r="D22" s="33" t="n"/>
      <c r="E22" s="33" t="n"/>
      <c r="F22" s="35" t="n"/>
      <c r="G22" s="33" t="n"/>
      <c r="H22" s="33" t="n"/>
      <c r="I22" s="33" t="n"/>
    </row>
    <row r="23">
      <c r="A23" s="27" t="n"/>
      <c r="B23" s="36" t="n"/>
      <c r="C23" s="27" t="n"/>
      <c r="D23" s="27" t="n"/>
      <c r="E23" s="27" t="n"/>
      <c r="F23" s="28" t="n"/>
      <c r="G23" s="27" t="n"/>
      <c r="H23" s="27" t="n"/>
      <c r="I23" s="27" t="n"/>
    </row>
    <row r="24">
      <c r="A24" s="33" t="n"/>
      <c r="B24" s="34" t="n"/>
      <c r="C24" s="33" t="n"/>
      <c r="D24" s="33" t="n"/>
      <c r="E24" s="33" t="n"/>
      <c r="F24" s="35" t="n"/>
      <c r="G24" s="33" t="n"/>
      <c r="H24" s="33" t="n"/>
      <c r="I24" s="33" t="n"/>
    </row>
    <row r="25">
      <c r="A25" s="27" t="n"/>
      <c r="B25" s="36" t="n"/>
      <c r="C25" s="27" t="n"/>
      <c r="D25" s="27" t="n"/>
      <c r="E25" s="27" t="n"/>
      <c r="F25" s="28" t="n"/>
      <c r="G25" s="27" t="n"/>
      <c r="H25" s="27" t="n"/>
      <c r="I25" s="27" t="n"/>
    </row>
    <row r="26">
      <c r="A26" s="33" t="n"/>
      <c r="B26" s="34" t="n"/>
      <c r="C26" s="33" t="n"/>
      <c r="D26" s="33" t="n"/>
      <c r="E26" s="33" t="n"/>
      <c r="F26" s="35" t="n"/>
      <c r="G26" s="33" t="n"/>
      <c r="H26" s="33" t="n"/>
      <c r="I26" s="33" t="n"/>
    </row>
    <row r="27">
      <c r="A27" s="27" t="n"/>
      <c r="B27" s="36" t="n"/>
      <c r="C27" s="27" t="n"/>
      <c r="D27" s="27" t="n"/>
      <c r="E27" s="27" t="n"/>
      <c r="F27" s="28" t="n"/>
      <c r="G27" s="27" t="n"/>
      <c r="H27" s="27" t="n"/>
      <c r="I27" s="27" t="n"/>
    </row>
    <row r="28">
      <c r="A28" s="33" t="n"/>
      <c r="B28" s="34" t="n"/>
      <c r="C28" s="33" t="n"/>
      <c r="D28" s="33" t="n"/>
      <c r="E28" s="33" t="n"/>
      <c r="F28" s="35" t="n"/>
      <c r="G28" s="33" t="n"/>
      <c r="H28" s="33" t="n"/>
      <c r="I28" s="33" t="n"/>
    </row>
    <row r="29">
      <c r="A29" s="27" t="n"/>
      <c r="B29" s="36" t="n"/>
      <c r="C29" s="27" t="n"/>
      <c r="D29" s="27" t="n"/>
      <c r="E29" s="27" t="n"/>
      <c r="F29" s="28" t="n"/>
      <c r="G29" s="27" t="n"/>
      <c r="H29" s="27" t="n"/>
      <c r="I29" s="27" t="n"/>
    </row>
    <row r="30">
      <c r="A30" s="33" t="n"/>
      <c r="B30" s="34" t="n"/>
      <c r="C30" s="33" t="n"/>
      <c r="D30" s="33" t="n"/>
      <c r="E30" s="33" t="n"/>
      <c r="F30" s="35" t="n"/>
      <c r="G30" s="33" t="n"/>
      <c r="H30" s="33" t="n"/>
      <c r="I30" s="33" t="n"/>
    </row>
    <row r="31">
      <c r="A31" s="27" t="n"/>
      <c r="B31" s="36" t="n"/>
      <c r="C31" s="27" t="n"/>
      <c r="D31" s="27" t="n"/>
      <c r="E31" s="27" t="n"/>
      <c r="F31" s="28" t="n"/>
      <c r="G31" s="27" t="n"/>
      <c r="H31" s="27" t="n"/>
      <c r="I31" s="27" t="n"/>
    </row>
    <row r="32">
      <c r="A32" s="33" t="n"/>
      <c r="B32" s="34" t="n"/>
      <c r="C32" s="33" t="n"/>
      <c r="D32" s="33" t="n"/>
      <c r="E32" s="33" t="n"/>
      <c r="F32" s="35" t="n"/>
      <c r="G32" s="33" t="n"/>
      <c r="H32" s="33" t="n"/>
      <c r="I32" s="33" t="n"/>
    </row>
    <row r="33">
      <c r="A33" s="27" t="n"/>
      <c r="B33" s="36" t="n"/>
      <c r="C33" s="27" t="n"/>
      <c r="D33" s="27" t="n"/>
      <c r="E33" s="27" t="n"/>
      <c r="F33" s="28" t="n"/>
      <c r="G33" s="27" t="n"/>
      <c r="H33" s="27" t="n"/>
      <c r="I33" s="27" t="n"/>
    </row>
    <row r="34">
      <c r="A34" s="33" t="n"/>
      <c r="B34" s="34" t="n"/>
      <c r="C34" s="33" t="n"/>
      <c r="D34" s="33" t="n"/>
      <c r="E34" s="33" t="n"/>
      <c r="F34" s="35" t="n"/>
      <c r="G34" s="33" t="n"/>
      <c r="H34" s="33" t="n"/>
      <c r="I34" s="33" t="n"/>
    </row>
    <row r="35">
      <c r="A35" s="27" t="n"/>
      <c r="B35" s="36" t="n"/>
      <c r="C35" s="27" t="n"/>
      <c r="D35" s="27" t="n"/>
      <c r="E35" s="27" t="n"/>
      <c r="F35" s="28" t="n"/>
      <c r="G35" s="27" t="n"/>
      <c r="H35" s="27" t="n"/>
      <c r="I35" s="27" t="n"/>
    </row>
    <row r="36">
      <c r="A36" s="33" t="n"/>
      <c r="B36" s="34" t="n"/>
      <c r="C36" s="33" t="n"/>
      <c r="D36" s="33" t="n"/>
      <c r="E36" s="33" t="n"/>
      <c r="F36" s="35" t="n"/>
      <c r="G36" s="33" t="n"/>
      <c r="H36" s="33" t="n"/>
      <c r="I36" s="33" t="n"/>
    </row>
    <row r="37">
      <c r="A37" s="27" t="n"/>
      <c r="B37" s="36" t="n"/>
      <c r="C37" s="27" t="n"/>
      <c r="D37" s="27" t="n"/>
      <c r="E37" s="27" t="n"/>
      <c r="F37" s="28" t="n"/>
      <c r="G37" s="27" t="n"/>
      <c r="H37" s="27" t="n"/>
      <c r="I37" s="27" t="n"/>
    </row>
    <row r="38">
      <c r="A38" s="33" t="n"/>
      <c r="B38" s="34" t="n"/>
      <c r="C38" s="33" t="n"/>
      <c r="D38" s="33" t="n"/>
      <c r="E38" s="33" t="n"/>
      <c r="F38" s="35" t="n"/>
      <c r="G38" s="33" t="n"/>
      <c r="H38" s="33" t="n"/>
      <c r="I38" s="33" t="n"/>
    </row>
    <row r="39">
      <c r="A39" s="27" t="n"/>
      <c r="B39" s="36" t="n"/>
      <c r="C39" s="27" t="n"/>
      <c r="D39" s="27" t="n"/>
      <c r="E39" s="27" t="n"/>
      <c r="F39" s="28" t="n"/>
      <c r="G39" s="27" t="n"/>
      <c r="H39" s="27" t="n"/>
      <c r="I39" s="27" t="n"/>
    </row>
    <row r="40">
      <c r="A40" s="33" t="n"/>
      <c r="B40" s="34" t="n"/>
      <c r="C40" s="33" t="n"/>
      <c r="D40" s="33" t="n"/>
      <c r="E40" s="33" t="n"/>
      <c r="F40" s="35" t="n"/>
      <c r="G40" s="33" t="n"/>
      <c r="H40" s="33" t="n"/>
      <c r="I40" s="33" t="n"/>
    </row>
    <row r="41">
      <c r="A41" s="27" t="n"/>
      <c r="B41" s="36" t="n"/>
      <c r="C41" s="27" t="n"/>
      <c r="D41" s="27" t="n"/>
      <c r="E41" s="27" t="n"/>
      <c r="F41" s="28" t="n"/>
      <c r="G41" s="27" t="n"/>
      <c r="H41" s="27" t="n"/>
      <c r="I41" s="27" t="n"/>
    </row>
    <row r="42">
      <c r="A42" s="33" t="n"/>
      <c r="B42" s="34" t="n"/>
      <c r="C42" s="33" t="n"/>
      <c r="D42" s="33" t="n"/>
      <c r="E42" s="33" t="n"/>
      <c r="F42" s="35" t="n"/>
      <c r="G42" s="33" t="n"/>
      <c r="H42" s="33" t="n"/>
      <c r="I42" s="33" t="n"/>
    </row>
    <row r="43">
      <c r="A43" s="27" t="n"/>
      <c r="B43" s="36" t="n"/>
      <c r="C43" s="27" t="n"/>
      <c r="D43" s="27" t="n"/>
      <c r="E43" s="27" t="n"/>
      <c r="F43" s="28" t="n"/>
      <c r="G43" s="27" t="n"/>
      <c r="H43" s="27" t="n"/>
      <c r="I43" s="27" t="n"/>
    </row>
    <row r="44">
      <c r="A44" s="33" t="n"/>
      <c r="B44" s="34" t="n"/>
      <c r="C44" s="33" t="n"/>
      <c r="D44" s="33" t="n"/>
      <c r="E44" s="33" t="n"/>
      <c r="F44" s="35" t="n"/>
      <c r="G44" s="33" t="n"/>
      <c r="H44" s="33" t="n"/>
      <c r="I44" s="33" t="n"/>
    </row>
    <row r="45">
      <c r="A45" s="27" t="n"/>
      <c r="B45" s="36" t="n"/>
      <c r="C45" s="27" t="n"/>
      <c r="D45" s="27" t="n"/>
      <c r="E45" s="27" t="n"/>
      <c r="F45" s="28" t="n"/>
      <c r="G45" s="27" t="n"/>
      <c r="H45" s="27" t="n"/>
      <c r="I45" s="27" t="n"/>
    </row>
    <row r="46">
      <c r="A46" s="33" t="n"/>
      <c r="B46" s="34" t="n"/>
      <c r="C46" s="33" t="n"/>
      <c r="D46" s="33" t="n"/>
      <c r="E46" s="33" t="n"/>
      <c r="F46" s="35" t="n"/>
      <c r="G46" s="33" t="n"/>
      <c r="H46" s="33" t="n"/>
      <c r="I46" s="33" t="n"/>
    </row>
    <row r="47">
      <c r="A47" s="27" t="n"/>
      <c r="B47" s="36" t="n"/>
      <c r="C47" s="27" t="n"/>
      <c r="D47" s="27" t="n"/>
      <c r="E47" s="27" t="n"/>
      <c r="F47" s="28" t="n"/>
      <c r="G47" s="27" t="n"/>
      <c r="H47" s="27" t="n"/>
      <c r="I47" s="27" t="n"/>
    </row>
    <row r="48">
      <c r="A48" s="33" t="n"/>
      <c r="B48" s="34" t="n"/>
      <c r="C48" s="33" t="n"/>
      <c r="D48" s="33" t="n"/>
      <c r="E48" s="33" t="n"/>
      <c r="F48" s="35" t="n"/>
      <c r="G48" s="33" t="n"/>
      <c r="H48" s="33" t="n"/>
      <c r="I48" s="33" t="n"/>
    </row>
    <row r="49">
      <c r="A49" s="27" t="n"/>
      <c r="B49" s="36" t="n"/>
      <c r="C49" s="27" t="n"/>
      <c r="D49" s="27" t="n"/>
      <c r="E49" s="27" t="n"/>
      <c r="F49" s="28" t="n"/>
      <c r="G49" s="27" t="n"/>
      <c r="H49" s="27" t="n"/>
      <c r="I49" s="27" t="n"/>
    </row>
    <row r="50">
      <c r="A50" s="33" t="n"/>
      <c r="B50" s="34" t="n"/>
      <c r="C50" s="33" t="n"/>
      <c r="D50" s="33" t="n"/>
      <c r="E50" s="33" t="n"/>
      <c r="F50" s="35" t="n"/>
      <c r="G50" s="33" t="n"/>
      <c r="H50" s="33" t="n"/>
      <c r="I50" s="33" t="n"/>
    </row>
    <row r="51">
      <c r="A51" s="27" t="n"/>
      <c r="B51" s="36" t="n"/>
      <c r="C51" s="27" t="n"/>
      <c r="D51" s="27" t="n"/>
      <c r="E51" s="27" t="n"/>
      <c r="F51" s="28" t="n"/>
      <c r="G51" s="27" t="n"/>
      <c r="H51" s="27" t="n"/>
      <c r="I51" s="27" t="n"/>
    </row>
    <row r="52">
      <c r="A52" s="33" t="n"/>
      <c r="B52" s="34" t="n"/>
      <c r="C52" s="33" t="n"/>
      <c r="D52" s="33" t="n"/>
      <c r="E52" s="33" t="n"/>
      <c r="F52" s="35" t="n"/>
      <c r="G52" s="33" t="n"/>
      <c r="H52" s="33" t="n"/>
      <c r="I52" s="33" t="n"/>
    </row>
    <row r="53">
      <c r="A53" s="27" t="n"/>
      <c r="B53" s="36" t="n"/>
      <c r="C53" s="27" t="n"/>
      <c r="D53" s="27" t="n"/>
      <c r="E53" s="27" t="n"/>
      <c r="F53" s="28" t="n"/>
      <c r="G53" s="27" t="n"/>
      <c r="H53" s="27" t="n"/>
      <c r="I53" s="27" t="n"/>
    </row>
    <row r="54">
      <c r="A54" s="33" t="n"/>
      <c r="B54" s="34" t="n"/>
      <c r="C54" s="33" t="n"/>
      <c r="D54" s="33" t="n"/>
      <c r="E54" s="33" t="n"/>
      <c r="F54" s="35" t="n"/>
      <c r="G54" s="33" t="n"/>
      <c r="H54" s="33" t="n"/>
      <c r="I54" s="33" t="n"/>
    </row>
    <row r="55">
      <c r="A55" s="27" t="n"/>
      <c r="B55" s="36" t="n"/>
      <c r="C55" s="27" t="n"/>
      <c r="D55" s="27" t="n"/>
      <c r="E55" s="27" t="n"/>
      <c r="F55" s="28" t="n"/>
      <c r="G55" s="27" t="n"/>
      <c r="H55" s="27" t="n"/>
      <c r="I55" s="27" t="n"/>
    </row>
    <row r="56">
      <c r="A56" s="33" t="n"/>
      <c r="B56" s="34" t="n"/>
      <c r="C56" s="33" t="n"/>
      <c r="D56" s="33" t="n"/>
      <c r="E56" s="33" t="n"/>
      <c r="F56" s="35" t="n"/>
      <c r="G56" s="33" t="n"/>
      <c r="H56" s="33" t="n"/>
      <c r="I56" s="33" t="n"/>
    </row>
    <row r="57">
      <c r="A57" s="27" t="n"/>
      <c r="B57" s="36" t="n"/>
      <c r="C57" s="27" t="n"/>
      <c r="D57" s="27" t="n"/>
      <c r="E57" s="27" t="n"/>
      <c r="F57" s="28" t="n"/>
      <c r="G57" s="27" t="n"/>
      <c r="H57" s="27" t="n"/>
      <c r="I57" s="27" t="n"/>
    </row>
    <row r="58">
      <c r="A58" s="33" t="n"/>
      <c r="B58" s="34" t="n"/>
      <c r="C58" s="33" t="n"/>
      <c r="D58" s="33" t="n"/>
      <c r="E58" s="33" t="n"/>
      <c r="F58" s="35" t="n"/>
      <c r="G58" s="33" t="n"/>
      <c r="H58" s="33" t="n"/>
      <c r="I58" s="33" t="n"/>
    </row>
    <row r="59">
      <c r="A59" s="27" t="n"/>
      <c r="B59" s="36" t="n"/>
      <c r="C59" s="27" t="n"/>
      <c r="D59" s="27" t="n"/>
      <c r="E59" s="27" t="n"/>
      <c r="F59" s="28" t="n"/>
      <c r="G59" s="27" t="n"/>
      <c r="H59" s="27" t="n"/>
      <c r="I59" s="27" t="n"/>
    </row>
    <row r="60">
      <c r="A60" s="33" t="n"/>
      <c r="B60" s="34" t="n"/>
      <c r="C60" s="33" t="n"/>
      <c r="D60" s="33" t="n"/>
      <c r="E60" s="33" t="n"/>
      <c r="F60" s="35" t="n"/>
      <c r="G60" s="33" t="n"/>
      <c r="H60" s="33" t="n"/>
      <c r="I60" s="33" t="n"/>
    </row>
    <row r="61">
      <c r="A61" s="27" t="n"/>
      <c r="B61" s="36" t="n"/>
      <c r="C61" s="27" t="n"/>
      <c r="D61" s="27" t="n"/>
      <c r="E61" s="27" t="n"/>
      <c r="F61" s="28" t="n"/>
      <c r="G61" s="27" t="n"/>
      <c r="H61" s="27" t="n"/>
      <c r="I61" s="27" t="n"/>
    </row>
    <row r="62">
      <c r="A62" s="33" t="n"/>
      <c r="B62" s="34" t="n"/>
      <c r="C62" s="33" t="n"/>
      <c r="D62" s="33" t="n"/>
      <c r="E62" s="33" t="n"/>
      <c r="F62" s="35" t="n"/>
      <c r="G62" s="33" t="n"/>
      <c r="H62" s="33" t="n"/>
      <c r="I62" s="33" t="n"/>
    </row>
    <row r="63">
      <c r="A63" s="27" t="n"/>
      <c r="B63" s="36" t="n"/>
      <c r="C63" s="27" t="n"/>
      <c r="D63" s="27" t="n"/>
      <c r="E63" s="27" t="n"/>
      <c r="F63" s="28" t="n"/>
      <c r="G63" s="27" t="n"/>
      <c r="H63" s="27" t="n"/>
      <c r="I63" s="27" t="n"/>
    </row>
    <row r="64">
      <c r="A64" s="33" t="n"/>
      <c r="B64" s="34" t="n"/>
      <c r="C64" s="33" t="n"/>
      <c r="D64" s="33" t="n"/>
      <c r="E64" s="33" t="n"/>
      <c r="F64" s="35" t="n"/>
      <c r="G64" s="33" t="n"/>
      <c r="H64" s="33" t="n"/>
      <c r="I64" s="33" t="n"/>
    </row>
    <row r="65">
      <c r="A65" s="27" t="n"/>
      <c r="B65" s="36" t="n"/>
      <c r="C65" s="27" t="n"/>
      <c r="D65" s="27" t="n"/>
      <c r="E65" s="27" t="n"/>
      <c r="F65" s="28" t="n"/>
      <c r="G65" s="27" t="n"/>
      <c r="H65" s="27" t="n"/>
      <c r="I65" s="27" t="n"/>
    </row>
    <row r="66">
      <c r="A66" s="33" t="n"/>
      <c r="B66" s="34" t="n"/>
      <c r="C66" s="33" t="n"/>
      <c r="D66" s="33" t="n"/>
      <c r="E66" s="33" t="n"/>
      <c r="F66" s="35" t="n"/>
      <c r="G66" s="33" t="n"/>
      <c r="H66" s="33" t="n"/>
      <c r="I66" s="33" t="n"/>
    </row>
    <row r="67">
      <c r="A67" s="27" t="n"/>
      <c r="B67" s="36" t="n"/>
      <c r="C67" s="27" t="n"/>
      <c r="D67" s="27" t="n"/>
      <c r="E67" s="27" t="n"/>
      <c r="F67" s="28" t="n"/>
      <c r="G67" s="27" t="n"/>
      <c r="H67" s="27" t="n"/>
      <c r="I67" s="27" t="n"/>
    </row>
    <row r="68">
      <c r="A68" s="33" t="n"/>
      <c r="B68" s="34" t="n"/>
      <c r="C68" s="33" t="n"/>
      <c r="D68" s="33" t="n"/>
      <c r="E68" s="33" t="n"/>
      <c r="F68" s="35" t="n"/>
      <c r="G68" s="33" t="n"/>
      <c r="H68" s="33" t="n"/>
      <c r="I68" s="33" t="n"/>
    </row>
    <row r="69">
      <c r="A69" s="27" t="n"/>
      <c r="B69" s="36" t="n"/>
      <c r="C69" s="27" t="n"/>
      <c r="D69" s="27" t="n"/>
      <c r="E69" s="27" t="n"/>
      <c r="F69" s="28" t="n"/>
      <c r="G69" s="27" t="n"/>
      <c r="H69" s="27" t="n"/>
      <c r="I69" s="27" t="n"/>
    </row>
    <row r="70">
      <c r="A70" s="33" t="n"/>
      <c r="B70" s="34" t="n"/>
      <c r="C70" s="33" t="n"/>
      <c r="D70" s="33" t="n"/>
      <c r="E70" s="33" t="n"/>
      <c r="F70" s="35" t="n"/>
      <c r="G70" s="33" t="n"/>
      <c r="H70" s="33" t="n"/>
      <c r="I70" s="33" t="n"/>
    </row>
    <row r="71">
      <c r="A71" s="27" t="n"/>
      <c r="B71" s="36" t="n"/>
      <c r="C71" s="27" t="n"/>
      <c r="D71" s="27" t="n"/>
      <c r="E71" s="27" t="n"/>
      <c r="F71" s="28" t="n"/>
      <c r="G71" s="27" t="n"/>
      <c r="H71" s="27" t="n"/>
      <c r="I71" s="27" t="n"/>
    </row>
    <row r="72">
      <c r="A72" s="33" t="n"/>
      <c r="B72" s="34" t="n"/>
      <c r="C72" s="33" t="n"/>
      <c r="D72" s="33" t="n"/>
      <c r="E72" s="33" t="n"/>
      <c r="F72" s="35" t="n"/>
      <c r="G72" s="33" t="n"/>
      <c r="H72" s="33" t="n"/>
      <c r="I72" s="33" t="n"/>
    </row>
    <row r="73">
      <c r="A73" s="27" t="n"/>
      <c r="B73" s="36" t="n"/>
      <c r="C73" s="27" t="n"/>
      <c r="D73" s="27" t="n"/>
      <c r="E73" s="27" t="n"/>
      <c r="F73" s="28" t="n"/>
      <c r="G73" s="27" t="n"/>
      <c r="H73" s="27" t="n"/>
      <c r="I73" s="27" t="n"/>
    </row>
    <row r="74">
      <c r="A74" s="33" t="n"/>
      <c r="B74" s="34" t="n"/>
      <c r="C74" s="33" t="n"/>
      <c r="D74" s="33" t="n"/>
      <c r="E74" s="33" t="n"/>
      <c r="F74" s="35" t="n"/>
      <c r="G74" s="33" t="n"/>
      <c r="H74" s="33" t="n"/>
      <c r="I74" s="33" t="n"/>
    </row>
    <row r="75">
      <c r="A75" s="27" t="n"/>
      <c r="B75" s="36" t="n"/>
      <c r="C75" s="27" t="n"/>
      <c r="D75" s="27" t="n"/>
      <c r="E75" s="27" t="n"/>
      <c r="F75" s="28" t="n"/>
      <c r="G75" s="27" t="n"/>
      <c r="H75" s="27" t="n"/>
      <c r="I75" s="27" t="n"/>
    </row>
    <row r="76">
      <c r="A76" s="33" t="n"/>
      <c r="B76" s="34" t="n"/>
      <c r="C76" s="33" t="n"/>
      <c r="D76" s="33" t="n"/>
      <c r="E76" s="33" t="n"/>
      <c r="F76" s="35" t="n"/>
      <c r="G76" s="33" t="n"/>
      <c r="H76" s="33" t="n"/>
      <c r="I76" s="33" t="n"/>
    </row>
    <row r="77">
      <c r="A77" s="27" t="n"/>
      <c r="B77" s="36" t="n"/>
      <c r="C77" s="27" t="n"/>
      <c r="D77" s="27" t="n"/>
      <c r="E77" s="27" t="n"/>
      <c r="F77" s="28" t="n"/>
      <c r="G77" s="27" t="n"/>
      <c r="H77" s="27" t="n"/>
      <c r="I77" s="27" t="n"/>
    </row>
    <row r="78">
      <c r="A78" s="33" t="n"/>
      <c r="B78" s="34" t="n"/>
      <c r="C78" s="33" t="n"/>
      <c r="D78" s="33" t="n"/>
      <c r="E78" s="33" t="n"/>
      <c r="F78" s="35" t="n"/>
      <c r="G78" s="33" t="n"/>
      <c r="H78" s="33" t="n"/>
      <c r="I78" s="33" t="n"/>
    </row>
    <row r="79">
      <c r="A79" s="27" t="n"/>
      <c r="B79" s="36" t="n"/>
      <c r="C79" s="27" t="n"/>
      <c r="D79" s="27" t="n"/>
      <c r="E79" s="27" t="n"/>
      <c r="F79" s="28" t="n"/>
      <c r="G79" s="27" t="n"/>
      <c r="H79" s="27" t="n"/>
      <c r="I79" s="27" t="n"/>
    </row>
    <row r="80">
      <c r="A80" s="33" t="n"/>
      <c r="B80" s="34" t="n"/>
      <c r="C80" s="33" t="n"/>
      <c r="D80" s="33" t="n"/>
      <c r="E80" s="33" t="n"/>
      <c r="F80" s="35" t="n"/>
      <c r="G80" s="33" t="n"/>
      <c r="H80" s="33" t="n"/>
      <c r="I80" s="33" t="n"/>
    </row>
    <row r="81">
      <c r="A81" s="27" t="n"/>
      <c r="B81" s="36" t="n"/>
      <c r="C81" s="27" t="n"/>
      <c r="D81" s="27" t="n"/>
      <c r="E81" s="27" t="n"/>
      <c r="F81" s="28" t="n"/>
      <c r="G81" s="27" t="n"/>
      <c r="H81" s="27" t="n"/>
      <c r="I81" s="27" t="n"/>
    </row>
    <row r="82">
      <c r="A82" s="33" t="n"/>
      <c r="B82" s="34" t="n"/>
      <c r="C82" s="33" t="n"/>
      <c r="D82" s="33" t="n"/>
      <c r="E82" s="33" t="n"/>
      <c r="F82" s="35" t="n"/>
      <c r="G82" s="33" t="n"/>
      <c r="H82" s="33" t="n"/>
      <c r="I82" s="33" t="n"/>
    </row>
    <row r="83">
      <c r="A83" s="27" t="n"/>
      <c r="B83" s="36" t="n"/>
      <c r="C83" s="27" t="n"/>
      <c r="D83" s="27" t="n"/>
      <c r="E83" s="27" t="n"/>
      <c r="F83" s="28" t="n"/>
      <c r="G83" s="27" t="n"/>
      <c r="H83" s="27" t="n"/>
      <c r="I83" s="27" t="n"/>
    </row>
    <row r="84">
      <c r="A84" s="33" t="n"/>
      <c r="B84" s="34" t="n"/>
      <c r="C84" s="33" t="n"/>
      <c r="D84" s="33" t="n"/>
      <c r="E84" s="33" t="n"/>
      <c r="F84" s="35" t="n"/>
      <c r="G84" s="33" t="n"/>
      <c r="H84" s="33" t="n"/>
      <c r="I84" s="33" t="n"/>
    </row>
    <row r="85">
      <c r="A85" s="27" t="n"/>
      <c r="B85" s="36" t="n"/>
      <c r="C85" s="27" t="n"/>
      <c r="D85" s="27" t="n"/>
      <c r="E85" s="27" t="n"/>
      <c r="F85" s="28" t="n"/>
      <c r="G85" s="27" t="n"/>
      <c r="H85" s="27" t="n"/>
      <c r="I85" s="27" t="n"/>
    </row>
    <row r="86">
      <c r="A86" s="33" t="n"/>
      <c r="B86" s="34" t="n"/>
      <c r="C86" s="33" t="n"/>
      <c r="D86" s="33" t="n"/>
      <c r="E86" s="33" t="n"/>
      <c r="F86" s="35" t="n"/>
      <c r="G86" s="33" t="n"/>
      <c r="H86" s="33" t="n"/>
      <c r="I86" s="33" t="n"/>
    </row>
    <row r="87">
      <c r="A87" s="27" t="n"/>
      <c r="B87" s="36" t="n"/>
      <c r="C87" s="27" t="n"/>
      <c r="D87" s="27" t="n"/>
      <c r="E87" s="27" t="n"/>
      <c r="F87" s="28" t="n"/>
      <c r="G87" s="27" t="n"/>
      <c r="H87" s="27" t="n"/>
      <c r="I87" s="27" t="n"/>
    </row>
    <row r="88">
      <c r="A88" s="33" t="n"/>
      <c r="B88" s="34" t="n"/>
      <c r="C88" s="33" t="n"/>
      <c r="D88" s="33" t="n"/>
      <c r="E88" s="33" t="n"/>
      <c r="F88" s="35" t="n"/>
      <c r="G88" s="33" t="n"/>
      <c r="H88" s="33" t="n"/>
      <c r="I88" s="33" t="n"/>
    </row>
    <row r="89">
      <c r="A89" s="27" t="n"/>
      <c r="B89" s="36" t="n"/>
      <c r="C89" s="27" t="n"/>
      <c r="D89" s="27" t="n"/>
      <c r="E89" s="27" t="n"/>
      <c r="F89" s="28" t="n"/>
      <c r="G89" s="27" t="n"/>
      <c r="H89" s="27" t="n"/>
      <c r="I89" s="27" t="n"/>
    </row>
    <row r="90">
      <c r="A90" s="33" t="n"/>
      <c r="B90" s="34" t="n"/>
      <c r="C90" s="33" t="n"/>
      <c r="D90" s="33" t="n"/>
      <c r="E90" s="33" t="n"/>
      <c r="F90" s="35" t="n"/>
      <c r="G90" s="33" t="n"/>
      <c r="H90" s="33" t="n"/>
      <c r="I90" s="33" t="n"/>
    </row>
    <row r="91">
      <c r="A91" s="27" t="n"/>
      <c r="B91" s="36" t="n"/>
      <c r="C91" s="27" t="n"/>
      <c r="D91" s="27" t="n"/>
      <c r="E91" s="27" t="n"/>
      <c r="F91" s="28" t="n"/>
      <c r="G91" s="27" t="n"/>
      <c r="H91" s="27" t="n"/>
      <c r="I91" s="27" t="n"/>
    </row>
    <row r="92">
      <c r="A92" s="33" t="n"/>
      <c r="B92" s="34" t="n"/>
      <c r="C92" s="33" t="n"/>
      <c r="D92" s="33" t="n"/>
      <c r="E92" s="33" t="n"/>
      <c r="F92" s="35" t="n"/>
      <c r="G92" s="33" t="n"/>
      <c r="H92" s="33" t="n"/>
      <c r="I92" s="33" t="n"/>
    </row>
    <row r="93">
      <c r="A93" s="27" t="n"/>
      <c r="B93" s="36" t="n"/>
      <c r="C93" s="27" t="n"/>
      <c r="D93" s="27" t="n"/>
      <c r="E93" s="27" t="n"/>
      <c r="F93" s="28" t="n"/>
      <c r="G93" s="27" t="n"/>
      <c r="H93" s="27" t="n"/>
      <c r="I93" s="27" t="n"/>
    </row>
    <row r="94">
      <c r="A94" s="33" t="n"/>
      <c r="B94" s="34" t="n"/>
      <c r="C94" s="33" t="n"/>
      <c r="D94" s="33" t="n"/>
      <c r="E94" s="33" t="n"/>
      <c r="F94" s="35" t="n"/>
      <c r="G94" s="33" t="n"/>
      <c r="H94" s="33" t="n"/>
      <c r="I94" s="33" t="n"/>
    </row>
    <row r="95">
      <c r="A95" s="27" t="n"/>
      <c r="B95" s="36" t="n"/>
      <c r="C95" s="27" t="n"/>
      <c r="D95" s="27" t="n"/>
      <c r="E95" s="27" t="n"/>
      <c r="F95" s="28" t="n"/>
      <c r="G95" s="27" t="n"/>
      <c r="H95" s="27" t="n"/>
      <c r="I95" s="27" t="n"/>
    </row>
    <row r="96">
      <c r="A96" s="33" t="n"/>
      <c r="B96" s="34" t="n"/>
      <c r="C96" s="33" t="n"/>
      <c r="D96" s="33" t="n"/>
      <c r="E96" s="33" t="n"/>
      <c r="F96" s="35" t="n"/>
      <c r="G96" s="33" t="n"/>
      <c r="H96" s="33" t="n"/>
      <c r="I96" s="33" t="n"/>
    </row>
    <row r="97">
      <c r="A97" s="27" t="n"/>
      <c r="B97" s="36" t="n"/>
      <c r="C97" s="27" t="n"/>
      <c r="D97" s="27" t="n"/>
      <c r="E97" s="27" t="n"/>
      <c r="F97" s="28" t="n"/>
      <c r="G97" s="27" t="n"/>
      <c r="H97" s="27" t="n"/>
      <c r="I97" s="27" t="n"/>
    </row>
    <row r="98">
      <c r="A98" s="33" t="n"/>
      <c r="B98" s="34" t="n"/>
      <c r="C98" s="33" t="n"/>
      <c r="D98" s="33" t="n"/>
      <c r="E98" s="33" t="n"/>
      <c r="F98" s="35" t="n"/>
      <c r="G98" s="33" t="n"/>
      <c r="H98" s="33" t="n"/>
      <c r="I98" s="33" t="n"/>
    </row>
    <row r="99">
      <c r="A99" s="27" t="n"/>
      <c r="B99" s="36" t="n"/>
      <c r="C99" s="27" t="n"/>
      <c r="D99" s="27" t="n"/>
      <c r="E99" s="27" t="n"/>
      <c r="F99" s="28" t="n"/>
      <c r="G99" s="27" t="n"/>
      <c r="H99" s="27" t="n"/>
      <c r="I99" s="27" t="n"/>
    </row>
    <row r="100">
      <c r="A100" s="33" t="n"/>
      <c r="B100" s="34" t="n"/>
      <c r="C100" s="33" t="n"/>
      <c r="D100" s="33" t="n"/>
      <c r="E100" s="33" t="n"/>
      <c r="F100" s="35" t="n"/>
      <c r="G100" s="33" t="n"/>
      <c r="H100" s="33" t="n"/>
      <c r="I100" s="33" t="n"/>
    </row>
    <row r="101">
      <c r="A101" s="27" t="n"/>
      <c r="B101" s="36" t="n"/>
      <c r="C101" s="27" t="n"/>
      <c r="D101" s="27" t="n"/>
      <c r="E101" s="27" t="n"/>
      <c r="F101" s="28" t="n"/>
      <c r="G101" s="27" t="n"/>
      <c r="H101" s="27" t="n"/>
      <c r="I101" s="27" t="n"/>
    </row>
    <row r="102">
      <c r="A102" s="33" t="n"/>
      <c r="B102" s="34" t="n"/>
      <c r="C102" s="33" t="n"/>
      <c r="D102" s="33" t="n"/>
      <c r="E102" s="33" t="n"/>
      <c r="F102" s="35" t="n"/>
      <c r="G102" s="33" t="n"/>
      <c r="H102" s="33" t="n"/>
      <c r="I102" s="33" t="n"/>
    </row>
    <row r="103">
      <c r="A103" s="27" t="n"/>
      <c r="B103" s="36" t="n"/>
      <c r="C103" s="27" t="n"/>
      <c r="D103" s="27" t="n"/>
      <c r="E103" s="27" t="n"/>
      <c r="F103" s="28" t="n"/>
      <c r="G103" s="27" t="n"/>
      <c r="H103" s="27" t="n"/>
      <c r="I103" s="27" t="n"/>
    </row>
    <row r="104">
      <c r="A104" s="33" t="n"/>
      <c r="B104" s="34" t="n"/>
      <c r="C104" s="33" t="n"/>
      <c r="D104" s="33" t="n"/>
      <c r="E104" s="33" t="n"/>
      <c r="F104" s="35" t="n"/>
      <c r="G104" s="33" t="n"/>
      <c r="H104" s="33" t="n"/>
      <c r="I104" s="33" t="n"/>
    </row>
    <row r="105">
      <c r="A105" s="27" t="n"/>
      <c r="B105" s="36" t="n"/>
      <c r="C105" s="27" t="n"/>
      <c r="D105" s="27" t="n"/>
      <c r="E105" s="27" t="n"/>
      <c r="F105" s="28" t="n"/>
      <c r="G105" s="27" t="n"/>
      <c r="H105" s="27" t="n"/>
      <c r="I105" s="27" t="n"/>
    </row>
    <row r="106">
      <c r="A106" s="33" t="n"/>
      <c r="B106" s="34" t="n"/>
      <c r="C106" s="33" t="n"/>
      <c r="D106" s="33" t="n"/>
      <c r="E106" s="33" t="n"/>
      <c r="F106" s="35" t="n"/>
      <c r="G106" s="33" t="n"/>
      <c r="H106" s="33" t="n"/>
      <c r="I106" s="33" t="n"/>
    </row>
    <row r="107">
      <c r="A107" s="27" t="n"/>
      <c r="B107" s="36" t="n"/>
      <c r="C107" s="27" t="n"/>
      <c r="D107" s="27" t="n"/>
      <c r="E107" s="27" t="n"/>
      <c r="F107" s="28" t="n"/>
      <c r="G107" s="27" t="n"/>
      <c r="H107" s="27" t="n"/>
      <c r="I107" s="27" t="n"/>
    </row>
    <row r="108">
      <c r="A108" s="33" t="n"/>
      <c r="B108" s="34" t="n"/>
      <c r="C108" s="33" t="n"/>
      <c r="D108" s="33" t="n"/>
      <c r="E108" s="33" t="n"/>
      <c r="F108" s="35" t="n"/>
      <c r="G108" s="33" t="n"/>
      <c r="H108" s="33" t="n"/>
      <c r="I108" s="33" t="n"/>
    </row>
    <row r="109">
      <c r="A109" s="27" t="n"/>
      <c r="B109" s="36" t="n"/>
      <c r="C109" s="27" t="n"/>
      <c r="D109" s="27" t="n"/>
      <c r="E109" s="27" t="n"/>
      <c r="F109" s="28" t="n"/>
      <c r="G109" s="27" t="n"/>
      <c r="H109" s="27" t="n"/>
      <c r="I109" s="27" t="n"/>
    </row>
    <row r="110">
      <c r="A110" s="33" t="n"/>
      <c r="B110" s="34" t="n"/>
      <c r="C110" s="33" t="n"/>
      <c r="D110" s="33" t="n"/>
      <c r="E110" s="33" t="n"/>
      <c r="F110" s="35" t="n"/>
      <c r="G110" s="33" t="n"/>
      <c r="H110" s="33" t="n"/>
      <c r="I110" s="33" t="n"/>
    </row>
    <row r="111">
      <c r="A111" s="27" t="n"/>
      <c r="B111" s="36" t="n"/>
      <c r="C111" s="27" t="n"/>
      <c r="D111" s="27" t="n"/>
      <c r="E111" s="27" t="n"/>
      <c r="F111" s="28" t="n"/>
      <c r="G111" s="27" t="n"/>
      <c r="H111" s="27" t="n"/>
      <c r="I111" s="27" t="n"/>
    </row>
    <row r="112">
      <c r="A112" s="33" t="n"/>
      <c r="B112" s="34" t="n"/>
      <c r="C112" s="33" t="n"/>
      <c r="D112" s="33" t="n"/>
      <c r="E112" s="33" t="n"/>
      <c r="F112" s="35" t="n"/>
      <c r="G112" s="33" t="n"/>
      <c r="H112" s="33" t="n"/>
      <c r="I112" s="33" t="n"/>
    </row>
    <row r="113">
      <c r="A113" s="27" t="n"/>
      <c r="B113" s="36" t="n"/>
      <c r="C113" s="27" t="n"/>
      <c r="D113" s="27" t="n"/>
      <c r="E113" s="27" t="n"/>
      <c r="F113" s="28" t="n"/>
      <c r="G113" s="27" t="n"/>
      <c r="H113" s="27" t="n"/>
      <c r="I113" s="27" t="n"/>
    </row>
    <row r="114">
      <c r="A114" s="33" t="n"/>
      <c r="B114" s="34" t="n"/>
      <c r="C114" s="33" t="n"/>
      <c r="D114" s="33" t="n"/>
      <c r="E114" s="33" t="n"/>
      <c r="F114" s="35" t="n"/>
      <c r="G114" s="33" t="n"/>
      <c r="H114" s="33" t="n"/>
      <c r="I114" s="33" t="n"/>
    </row>
    <row r="115">
      <c r="A115" s="27" t="n"/>
      <c r="B115" s="36" t="n"/>
      <c r="C115" s="27" t="n"/>
      <c r="D115" s="27" t="n"/>
      <c r="E115" s="27" t="n"/>
      <c r="F115" s="28" t="n"/>
      <c r="G115" s="27" t="n"/>
      <c r="H115" s="27" t="n"/>
      <c r="I115" s="27" t="n"/>
    </row>
    <row r="116">
      <c r="A116" s="33" t="n"/>
      <c r="B116" s="34" t="n"/>
      <c r="C116" s="33" t="n"/>
      <c r="D116" s="33" t="n"/>
      <c r="E116" s="33" t="n"/>
      <c r="F116" s="35" t="n"/>
      <c r="G116" s="33" t="n"/>
      <c r="H116" s="33" t="n"/>
      <c r="I116" s="33" t="n"/>
    </row>
    <row r="117">
      <c r="A117" s="27" t="n"/>
      <c r="B117" s="36" t="n"/>
      <c r="C117" s="27" t="n"/>
      <c r="D117" s="27" t="n"/>
      <c r="E117" s="27" t="n"/>
      <c r="F117" s="28" t="n"/>
      <c r="G117" s="27" t="n"/>
      <c r="H117" s="27" t="n"/>
      <c r="I117" s="27" t="n"/>
    </row>
    <row r="118">
      <c r="A118" s="33" t="n"/>
      <c r="B118" s="34" t="n"/>
      <c r="C118" s="33" t="n"/>
      <c r="D118" s="33" t="n"/>
      <c r="E118" s="33" t="n"/>
      <c r="F118" s="35" t="n"/>
      <c r="G118" s="33" t="n"/>
      <c r="H118" s="33" t="n"/>
      <c r="I118" s="33" t="n"/>
    </row>
    <row r="119">
      <c r="A119" s="27" t="n"/>
      <c r="B119" s="36" t="n"/>
      <c r="C119" s="27" t="n"/>
      <c r="D119" s="27" t="n"/>
      <c r="E119" s="27" t="n"/>
      <c r="F119" s="28" t="n"/>
      <c r="G119" s="27" t="n"/>
      <c r="H119" s="27" t="n"/>
      <c r="I119" s="27" t="n"/>
    </row>
    <row r="120">
      <c r="A120" s="33" t="n"/>
      <c r="B120" s="34" t="n"/>
      <c r="C120" s="33" t="n"/>
      <c r="D120" s="33" t="n"/>
      <c r="E120" s="33" t="n"/>
      <c r="F120" s="35" t="n"/>
      <c r="G120" s="33" t="n"/>
      <c r="H120" s="33" t="n"/>
      <c r="I120" s="33" t="n"/>
    </row>
    <row r="121">
      <c r="A121" s="27" t="n"/>
      <c r="B121" s="36" t="n"/>
      <c r="C121" s="27" t="n"/>
      <c r="D121" s="27" t="n"/>
      <c r="E121" s="27" t="n"/>
      <c r="F121" s="28" t="n"/>
      <c r="G121" s="27" t="n"/>
      <c r="H121" s="27" t="n"/>
      <c r="I121" s="27" t="n"/>
    </row>
    <row r="122">
      <c r="A122" s="33" t="n"/>
      <c r="B122" s="34" t="n"/>
      <c r="C122" s="33" t="n"/>
      <c r="D122" s="33" t="n"/>
      <c r="E122" s="33" t="n"/>
      <c r="F122" s="35" t="n"/>
      <c r="G122" s="33" t="n"/>
      <c r="H122" s="33" t="n"/>
      <c r="I122" s="33" t="n"/>
    </row>
    <row r="123">
      <c r="A123" s="27" t="n"/>
      <c r="B123" s="36" t="n"/>
      <c r="C123" s="27" t="n"/>
      <c r="D123" s="27" t="n"/>
      <c r="E123" s="27" t="n"/>
      <c r="F123" s="28" t="n"/>
      <c r="G123" s="27" t="n"/>
      <c r="H123" s="27" t="n"/>
      <c r="I123" s="27" t="n"/>
    </row>
    <row r="124">
      <c r="A124" s="33" t="n"/>
      <c r="B124" s="34" t="n"/>
      <c r="C124" s="33" t="n"/>
      <c r="D124" s="33" t="n"/>
      <c r="E124" s="33" t="n"/>
      <c r="F124" s="35" t="n"/>
      <c r="G124" s="33" t="n"/>
      <c r="H124" s="33" t="n"/>
      <c r="I124" s="33" t="n"/>
    </row>
    <row r="125">
      <c r="A125" s="27" t="n"/>
      <c r="B125" s="36" t="n"/>
      <c r="C125" s="27" t="n"/>
      <c r="D125" s="27" t="n"/>
      <c r="E125" s="27" t="n"/>
      <c r="F125" s="28" t="n"/>
      <c r="G125" s="27" t="n"/>
      <c r="H125" s="27" t="n"/>
      <c r="I125" s="27" t="n"/>
    </row>
    <row r="126">
      <c r="A126" s="33" t="n"/>
      <c r="B126" s="34" t="n"/>
      <c r="C126" s="33" t="n"/>
      <c r="D126" s="33" t="n"/>
      <c r="E126" s="33" t="n"/>
      <c r="F126" s="35" t="n"/>
      <c r="G126" s="33" t="n"/>
      <c r="H126" s="33" t="n"/>
      <c r="I126" s="33" t="n"/>
    </row>
    <row r="127">
      <c r="A127" s="27" t="n"/>
      <c r="B127" s="36" t="n"/>
      <c r="C127" s="27" t="n"/>
      <c r="D127" s="27" t="n"/>
      <c r="E127" s="27" t="n"/>
      <c r="F127" s="28" t="n"/>
      <c r="G127" s="27" t="n"/>
      <c r="H127" s="27" t="n"/>
      <c r="I127" s="27" t="n"/>
    </row>
    <row r="128">
      <c r="A128" s="33" t="n"/>
      <c r="B128" s="34" t="n"/>
      <c r="C128" s="33" t="n"/>
      <c r="D128" s="33" t="n"/>
      <c r="E128" s="33" t="n"/>
      <c r="F128" s="35" t="n"/>
      <c r="G128" s="33" t="n"/>
      <c r="H128" s="33" t="n"/>
      <c r="I128" s="33" t="n"/>
    </row>
    <row r="129">
      <c r="A129" s="27" t="n"/>
      <c r="B129" s="36" t="n"/>
      <c r="C129" s="27" t="n"/>
      <c r="D129" s="27" t="n"/>
      <c r="E129" s="27" t="n"/>
      <c r="F129" s="28" t="n"/>
      <c r="G129" s="27" t="n"/>
      <c r="H129" s="27" t="n"/>
      <c r="I129" s="27" t="n"/>
    </row>
    <row r="130">
      <c r="A130" s="33" t="n"/>
      <c r="B130" s="34" t="n"/>
      <c r="C130" s="33" t="n"/>
      <c r="D130" s="33" t="n"/>
      <c r="E130" s="33" t="n"/>
      <c r="F130" s="35" t="n"/>
      <c r="G130" s="33" t="n"/>
      <c r="H130" s="33" t="n"/>
      <c r="I130" s="33" t="n"/>
    </row>
    <row r="131">
      <c r="A131" s="27" t="n"/>
      <c r="B131" s="36" t="n"/>
      <c r="C131" s="27" t="n"/>
      <c r="D131" s="27" t="n"/>
      <c r="E131" s="27" t="n"/>
      <c r="F131" s="28" t="n"/>
      <c r="G131" s="27" t="n"/>
      <c r="H131" s="27" t="n"/>
      <c r="I131" s="27" t="n"/>
    </row>
    <row r="132">
      <c r="A132" s="33" t="n"/>
      <c r="B132" s="34" t="n"/>
      <c r="C132" s="33" t="n"/>
      <c r="D132" s="33" t="n"/>
      <c r="E132" s="33" t="n"/>
      <c r="F132" s="35" t="n"/>
      <c r="G132" s="33" t="n"/>
      <c r="H132" s="33" t="n"/>
      <c r="I132" s="33" t="n"/>
    </row>
    <row r="133">
      <c r="A133" s="27" t="n"/>
      <c r="B133" s="36" t="n"/>
      <c r="C133" s="27" t="n"/>
      <c r="D133" s="27" t="n"/>
      <c r="E133" s="27" t="n"/>
      <c r="F133" s="28" t="n"/>
      <c r="G133" s="27" t="n"/>
      <c r="H133" s="27" t="n"/>
      <c r="I133" s="27" t="n"/>
    </row>
    <row r="134">
      <c r="A134" s="33" t="n"/>
      <c r="B134" s="34" t="n"/>
      <c r="C134" s="33" t="n"/>
      <c r="D134" s="33" t="n"/>
      <c r="E134" s="33" t="n"/>
      <c r="F134" s="35" t="n"/>
      <c r="G134" s="33" t="n"/>
      <c r="H134" s="33" t="n"/>
      <c r="I134" s="33" t="n"/>
    </row>
    <row r="135">
      <c r="A135" s="27" t="n"/>
      <c r="B135" s="36" t="n"/>
      <c r="C135" s="27" t="n"/>
      <c r="D135" s="27" t="n"/>
      <c r="E135" s="27" t="n"/>
      <c r="F135" s="28" t="n"/>
      <c r="G135" s="27" t="n"/>
      <c r="H135" s="27" t="n"/>
      <c r="I135" s="27" t="n"/>
    </row>
    <row r="136">
      <c r="A136" s="33" t="n"/>
      <c r="B136" s="34" t="n"/>
      <c r="C136" s="33" t="n"/>
      <c r="D136" s="33" t="n"/>
      <c r="E136" s="33" t="n"/>
      <c r="F136" s="35" t="n"/>
      <c r="G136" s="33" t="n"/>
      <c r="H136" s="33" t="n"/>
      <c r="I136" s="33" t="n"/>
    </row>
    <row r="137">
      <c r="A137" s="27" t="n"/>
      <c r="B137" s="36" t="n"/>
      <c r="C137" s="27" t="n"/>
      <c r="D137" s="27" t="n"/>
      <c r="E137" s="27" t="n"/>
      <c r="F137" s="28" t="n"/>
      <c r="G137" s="27" t="n"/>
      <c r="H137" s="27" t="n"/>
      <c r="I137" s="27" t="n"/>
    </row>
    <row r="138">
      <c r="A138" s="33" t="n"/>
      <c r="B138" s="34" t="n"/>
      <c r="C138" s="33" t="n"/>
      <c r="D138" s="33" t="n"/>
      <c r="E138" s="33" t="n"/>
      <c r="F138" s="35" t="n"/>
      <c r="G138" s="33" t="n"/>
      <c r="H138" s="33" t="n"/>
      <c r="I138" s="33" t="n"/>
    </row>
    <row r="139">
      <c r="A139" s="27" t="n"/>
      <c r="B139" s="36" t="n"/>
      <c r="C139" s="27" t="n"/>
      <c r="D139" s="27" t="n"/>
      <c r="E139" s="27" t="n"/>
      <c r="F139" s="28" t="n"/>
      <c r="G139" s="27" t="n"/>
      <c r="H139" s="27" t="n"/>
      <c r="I139" s="27" t="n"/>
    </row>
    <row r="140">
      <c r="A140" s="33" t="n"/>
      <c r="B140" s="34" t="n"/>
      <c r="C140" s="33" t="n"/>
      <c r="D140" s="33" t="n"/>
      <c r="E140" s="33" t="n"/>
      <c r="F140" s="35" t="n"/>
      <c r="G140" s="33" t="n"/>
      <c r="H140" s="33" t="n"/>
      <c r="I140" s="33" t="n"/>
    </row>
    <row r="141">
      <c r="A141" s="27" t="n"/>
      <c r="B141" s="36" t="n"/>
      <c r="C141" s="27" t="n"/>
      <c r="D141" s="27" t="n"/>
      <c r="E141" s="27" t="n"/>
      <c r="F141" s="28" t="n"/>
      <c r="G141" s="27" t="n"/>
      <c r="H141" s="27" t="n"/>
      <c r="I141" s="27" t="n"/>
    </row>
    <row r="142">
      <c r="A142" s="33" t="n"/>
      <c r="B142" s="34" t="n"/>
      <c r="C142" s="33" t="n"/>
      <c r="D142" s="33" t="n"/>
      <c r="E142" s="33" t="n"/>
      <c r="F142" s="35" t="n"/>
      <c r="G142" s="33" t="n"/>
      <c r="H142" s="33" t="n"/>
      <c r="I142" s="33" t="n"/>
    </row>
    <row r="143">
      <c r="A143" s="27" t="n"/>
      <c r="B143" s="36" t="n"/>
      <c r="C143" s="27" t="n"/>
      <c r="D143" s="27" t="n"/>
      <c r="E143" s="27" t="n"/>
      <c r="F143" s="28" t="n"/>
      <c r="G143" s="27" t="n"/>
      <c r="H143" s="27" t="n"/>
      <c r="I143" s="27" t="n"/>
    </row>
    <row r="144">
      <c r="A144" s="33" t="n"/>
      <c r="B144" s="34" t="n"/>
      <c r="C144" s="33" t="n"/>
      <c r="D144" s="33" t="n"/>
      <c r="E144" s="33" t="n"/>
      <c r="F144" s="35" t="n"/>
      <c r="G144" s="33" t="n"/>
      <c r="H144" s="33" t="n"/>
      <c r="I144" s="33" t="n"/>
    </row>
    <row r="145">
      <c r="A145" s="27" t="n"/>
      <c r="B145" s="36" t="n"/>
      <c r="C145" s="27" t="n"/>
      <c r="D145" s="27" t="n"/>
      <c r="E145" s="27" t="n"/>
      <c r="F145" s="28" t="n"/>
      <c r="G145" s="27" t="n"/>
      <c r="H145" s="27" t="n"/>
      <c r="I145" s="27" t="n"/>
    </row>
    <row r="146">
      <c r="A146" s="33" t="n"/>
      <c r="B146" s="34" t="n"/>
      <c r="C146" s="33" t="n"/>
      <c r="D146" s="33" t="n"/>
      <c r="E146" s="33" t="n"/>
      <c r="F146" s="35" t="n"/>
      <c r="G146" s="33" t="n"/>
      <c r="H146" s="33" t="n"/>
      <c r="I146" s="33" t="n"/>
    </row>
    <row r="147">
      <c r="A147" s="27" t="n"/>
      <c r="B147" s="36" t="n"/>
      <c r="C147" s="27" t="n"/>
      <c r="D147" s="27" t="n"/>
      <c r="E147" s="27" t="n"/>
      <c r="F147" s="28" t="n"/>
      <c r="G147" s="27" t="n"/>
      <c r="H147" s="27" t="n"/>
      <c r="I147" s="27" t="n"/>
    </row>
    <row r="148">
      <c r="A148" s="33" t="n"/>
      <c r="B148" s="34" t="n"/>
      <c r="C148" s="33" t="n"/>
      <c r="D148" s="33" t="n"/>
      <c r="E148" s="33" t="n"/>
      <c r="F148" s="35" t="n"/>
      <c r="G148" s="33" t="n"/>
      <c r="H148" s="33" t="n"/>
      <c r="I148" s="33" t="n"/>
    </row>
    <row r="149">
      <c r="A149" s="27" t="n"/>
      <c r="B149" s="36" t="n"/>
      <c r="C149" s="27" t="n"/>
      <c r="D149" s="27" t="n"/>
      <c r="E149" s="27" t="n"/>
      <c r="F149" s="28" t="n"/>
      <c r="G149" s="27" t="n"/>
      <c r="H149" s="27" t="n"/>
      <c r="I149" s="27" t="n"/>
    </row>
    <row r="150">
      <c r="A150" s="33" t="n"/>
      <c r="B150" s="34" t="n"/>
      <c r="C150" s="33" t="n"/>
      <c r="D150" s="33" t="n"/>
      <c r="E150" s="33" t="n"/>
      <c r="F150" s="35" t="n"/>
      <c r="G150" s="33" t="n"/>
      <c r="H150" s="33" t="n"/>
      <c r="I150" s="33" t="n"/>
    </row>
    <row r="151">
      <c r="A151" s="27" t="n"/>
      <c r="B151" s="36" t="n"/>
      <c r="C151" s="27" t="n"/>
      <c r="D151" s="27" t="n"/>
      <c r="E151" s="27" t="n"/>
      <c r="F151" s="28" t="n"/>
      <c r="G151" s="27" t="n"/>
      <c r="H151" s="27" t="n"/>
      <c r="I151" s="27" t="n"/>
    </row>
    <row r="152">
      <c r="A152" s="33" t="n"/>
      <c r="B152" s="34" t="n"/>
      <c r="C152" s="33" t="n"/>
      <c r="D152" s="33" t="n"/>
      <c r="E152" s="33" t="n"/>
      <c r="F152" s="35" t="n"/>
      <c r="G152" s="33" t="n"/>
      <c r="H152" s="33" t="n"/>
      <c r="I152" s="33" t="n"/>
    </row>
    <row r="153">
      <c r="A153" s="27" t="n"/>
      <c r="B153" s="36" t="n"/>
      <c r="C153" s="27" t="n"/>
      <c r="D153" s="27" t="n"/>
      <c r="E153" s="27" t="n"/>
      <c r="F153" s="28" t="n"/>
      <c r="G153" s="27" t="n"/>
      <c r="H153" s="27" t="n"/>
      <c r="I153" s="27" t="n"/>
    </row>
    <row r="154">
      <c r="A154" s="33" t="n"/>
      <c r="B154" s="34" t="n"/>
      <c r="C154" s="33" t="n"/>
      <c r="D154" s="33" t="n"/>
      <c r="E154" s="33" t="n"/>
      <c r="F154" s="35" t="n"/>
      <c r="G154" s="33" t="n"/>
      <c r="H154" s="33" t="n"/>
      <c r="I154" s="33" t="n"/>
    </row>
    <row r="155">
      <c r="A155" s="27" t="n"/>
      <c r="B155" s="36" t="n"/>
      <c r="C155" s="27" t="n"/>
      <c r="D155" s="27" t="n"/>
      <c r="E155" s="27" t="n"/>
      <c r="F155" s="28" t="n"/>
      <c r="G155" s="27" t="n"/>
      <c r="H155" s="27" t="n"/>
      <c r="I155" s="27" t="n"/>
    </row>
    <row r="156">
      <c r="A156" s="33" t="n"/>
      <c r="B156" s="34" t="n"/>
      <c r="C156" s="33" t="n"/>
      <c r="D156" s="33" t="n"/>
      <c r="E156" s="33" t="n"/>
      <c r="F156" s="35" t="n"/>
      <c r="G156" s="33" t="n"/>
      <c r="H156" s="33" t="n"/>
      <c r="I156" s="33" t="n"/>
    </row>
    <row r="157">
      <c r="A157" s="27" t="n"/>
      <c r="B157" s="36" t="n"/>
      <c r="C157" s="27" t="n"/>
      <c r="D157" s="27" t="n"/>
      <c r="E157" s="27" t="n"/>
      <c r="F157" s="28" t="n"/>
      <c r="G157" s="27" t="n"/>
      <c r="H157" s="27" t="n"/>
      <c r="I157" s="27" t="n"/>
    </row>
    <row r="158">
      <c r="A158" s="33" t="n"/>
      <c r="B158" s="34" t="n"/>
      <c r="C158" s="33" t="n"/>
      <c r="D158" s="33" t="n"/>
      <c r="E158" s="33" t="n"/>
      <c r="F158" s="35" t="n"/>
      <c r="G158" s="33" t="n"/>
      <c r="H158" s="33" t="n"/>
      <c r="I158" s="33" t="n"/>
    </row>
    <row r="159">
      <c r="A159" s="27" t="n"/>
      <c r="B159" s="36" t="n"/>
      <c r="C159" s="27" t="n"/>
      <c r="D159" s="27" t="n"/>
      <c r="E159" s="27" t="n"/>
      <c r="F159" s="28" t="n"/>
      <c r="G159" s="27" t="n"/>
      <c r="H159" s="27" t="n"/>
      <c r="I159" s="27" t="n"/>
    </row>
    <row r="160">
      <c r="A160" s="33" t="n"/>
      <c r="B160" s="34" t="n"/>
      <c r="C160" s="33" t="n"/>
      <c r="D160" s="33" t="n"/>
      <c r="E160" s="33" t="n"/>
      <c r="F160" s="35" t="n"/>
      <c r="G160" s="33" t="n"/>
      <c r="H160" s="33" t="n"/>
      <c r="I160" s="33" t="n"/>
    </row>
    <row r="161">
      <c r="A161" s="27" t="n"/>
      <c r="B161" s="36" t="n"/>
      <c r="C161" s="27" t="n"/>
      <c r="D161" s="27" t="n"/>
      <c r="E161" s="27" t="n"/>
      <c r="F161" s="28" t="n"/>
      <c r="G161" s="27" t="n"/>
      <c r="H161" s="27" t="n"/>
      <c r="I161" s="27" t="n"/>
    </row>
    <row r="162">
      <c r="A162" s="33" t="n"/>
      <c r="B162" s="34" t="n"/>
      <c r="C162" s="33" t="n"/>
      <c r="D162" s="33" t="n"/>
      <c r="E162" s="33" t="n"/>
      <c r="F162" s="35" t="n"/>
      <c r="G162" s="33" t="n"/>
      <c r="H162" s="33" t="n"/>
      <c r="I162" s="33" t="n"/>
    </row>
    <row r="163">
      <c r="A163" s="27" t="n"/>
      <c r="B163" s="36" t="n"/>
      <c r="C163" s="27" t="n"/>
      <c r="D163" s="27" t="n"/>
      <c r="E163" s="27" t="n"/>
      <c r="F163" s="28" t="n"/>
      <c r="G163" s="27" t="n"/>
      <c r="H163" s="27" t="n"/>
      <c r="I163" s="27" t="n"/>
    </row>
    <row r="164">
      <c r="A164" s="33" t="n"/>
      <c r="B164" s="34" t="n"/>
      <c r="C164" s="33" t="n"/>
      <c r="D164" s="33" t="n"/>
      <c r="E164" s="33" t="n"/>
      <c r="F164" s="35" t="n"/>
      <c r="G164" s="33" t="n"/>
      <c r="H164" s="33" t="n"/>
      <c r="I164" s="33" t="n"/>
    </row>
    <row r="165">
      <c r="A165" s="27" t="n"/>
      <c r="B165" s="36" t="n"/>
      <c r="C165" s="27" t="n"/>
      <c r="D165" s="27" t="n"/>
      <c r="E165" s="27" t="n"/>
      <c r="F165" s="28" t="n"/>
      <c r="G165" s="27" t="n"/>
      <c r="H165" s="27" t="n"/>
      <c r="I165" s="27" t="n"/>
    </row>
    <row r="166">
      <c r="A166" s="33" t="n"/>
      <c r="B166" s="34" t="n"/>
      <c r="C166" s="33" t="n"/>
      <c r="D166" s="33" t="n"/>
      <c r="E166" s="33" t="n"/>
      <c r="F166" s="35" t="n"/>
      <c r="G166" s="33" t="n"/>
      <c r="H166" s="33" t="n"/>
      <c r="I166" s="33" t="n"/>
    </row>
    <row r="167">
      <c r="A167" s="27" t="n"/>
      <c r="B167" s="36" t="n"/>
      <c r="C167" s="27" t="n"/>
      <c r="D167" s="27" t="n"/>
      <c r="E167" s="27" t="n"/>
      <c r="F167" s="28" t="n"/>
      <c r="G167" s="27" t="n"/>
      <c r="H167" s="27" t="n"/>
      <c r="I167" s="27" t="n"/>
    </row>
    <row r="168">
      <c r="A168" s="33" t="n"/>
      <c r="B168" s="34" t="n"/>
      <c r="C168" s="33" t="n"/>
      <c r="D168" s="33" t="n"/>
      <c r="E168" s="33" t="n"/>
      <c r="F168" s="35" t="n"/>
      <c r="G168" s="33" t="n"/>
      <c r="H168" s="33" t="n"/>
      <c r="I168" s="33" t="n"/>
    </row>
    <row r="169">
      <c r="A169" s="27" t="n"/>
      <c r="B169" s="36" t="n"/>
      <c r="C169" s="27" t="n"/>
      <c r="D169" s="27" t="n"/>
      <c r="E169" s="27" t="n"/>
      <c r="F169" s="28" t="n"/>
      <c r="G169" s="27" t="n"/>
      <c r="H169" s="27" t="n"/>
      <c r="I169" s="27" t="n"/>
    </row>
    <row r="170">
      <c r="A170" s="33" t="n"/>
      <c r="B170" s="34" t="n"/>
      <c r="C170" s="33" t="n"/>
      <c r="D170" s="33" t="n"/>
      <c r="E170" s="33" t="n"/>
      <c r="F170" s="35" t="n"/>
      <c r="G170" s="33" t="n"/>
      <c r="H170" s="33" t="n"/>
      <c r="I170" s="33" t="n"/>
    </row>
    <row r="171">
      <c r="A171" s="27" t="n"/>
      <c r="B171" s="36" t="n"/>
      <c r="C171" s="27" t="n"/>
      <c r="D171" s="27" t="n"/>
      <c r="E171" s="27" t="n"/>
      <c r="F171" s="28" t="n"/>
      <c r="G171" s="27" t="n"/>
      <c r="H171" s="27" t="n"/>
      <c r="I171" s="27" t="n"/>
    </row>
    <row r="172">
      <c r="A172" s="33" t="n"/>
      <c r="B172" s="34" t="n"/>
      <c r="C172" s="33" t="n"/>
      <c r="D172" s="33" t="n"/>
      <c r="E172" s="33" t="n"/>
      <c r="F172" s="35" t="n"/>
      <c r="G172" s="33" t="n"/>
      <c r="H172" s="33" t="n"/>
      <c r="I172" s="33" t="n"/>
    </row>
    <row r="173">
      <c r="A173" s="27" t="n"/>
      <c r="B173" s="36" t="n"/>
      <c r="C173" s="27" t="n"/>
      <c r="D173" s="27" t="n"/>
      <c r="E173" s="27" t="n"/>
      <c r="F173" s="28" t="n"/>
      <c r="G173" s="27" t="n"/>
      <c r="H173" s="27" t="n"/>
      <c r="I173" s="27" t="n"/>
    </row>
    <row r="174">
      <c r="A174" s="33" t="n"/>
      <c r="B174" s="34" t="n"/>
      <c r="C174" s="33" t="n"/>
      <c r="D174" s="33" t="n"/>
      <c r="E174" s="33" t="n"/>
      <c r="F174" s="35" t="n"/>
      <c r="G174" s="33" t="n"/>
      <c r="H174" s="33" t="n"/>
      <c r="I174" s="33" t="n"/>
    </row>
    <row r="175">
      <c r="A175" s="27" t="n"/>
      <c r="B175" s="36" t="n"/>
      <c r="C175" s="27" t="n"/>
      <c r="D175" s="27" t="n"/>
      <c r="E175" s="27" t="n"/>
      <c r="F175" s="28" t="n"/>
      <c r="G175" s="27" t="n"/>
      <c r="H175" s="27" t="n"/>
      <c r="I175" s="27" t="n"/>
    </row>
    <row r="176">
      <c r="A176" s="33" t="n"/>
      <c r="B176" s="34" t="n"/>
      <c r="C176" s="33" t="n"/>
      <c r="D176" s="33" t="n"/>
      <c r="E176" s="33" t="n"/>
      <c r="F176" s="35" t="n"/>
      <c r="G176" s="33" t="n"/>
      <c r="H176" s="33" t="n"/>
      <c r="I176" s="33" t="n"/>
    </row>
    <row r="177">
      <c r="A177" s="27" t="n"/>
      <c r="B177" s="36" t="n"/>
      <c r="C177" s="27" t="n"/>
      <c r="D177" s="27" t="n"/>
      <c r="E177" s="27" t="n"/>
      <c r="F177" s="28" t="n"/>
      <c r="G177" s="27" t="n"/>
      <c r="H177" s="27" t="n"/>
      <c r="I177" s="27" t="n"/>
    </row>
    <row r="178">
      <c r="A178" s="33" t="n"/>
      <c r="B178" s="34" t="n"/>
      <c r="C178" s="33" t="n"/>
      <c r="D178" s="33" t="n"/>
      <c r="E178" s="33" t="n"/>
      <c r="F178" s="35" t="n"/>
      <c r="G178" s="33" t="n"/>
      <c r="H178" s="33" t="n"/>
      <c r="I178" s="33" t="n"/>
    </row>
    <row r="179">
      <c r="A179" s="27" t="n"/>
      <c r="B179" s="36" t="n"/>
      <c r="C179" s="27" t="n"/>
      <c r="D179" s="27" t="n"/>
      <c r="E179" s="27" t="n"/>
      <c r="F179" s="28" t="n"/>
      <c r="G179" s="27" t="n"/>
      <c r="H179" s="27" t="n"/>
      <c r="I179" s="27" t="n"/>
    </row>
    <row r="180">
      <c r="A180" s="33" t="n"/>
      <c r="B180" s="34" t="n"/>
      <c r="C180" s="33" t="n"/>
      <c r="D180" s="33" t="n"/>
      <c r="E180" s="33" t="n"/>
      <c r="F180" s="35" t="n"/>
      <c r="G180" s="33" t="n"/>
      <c r="H180" s="33" t="n"/>
      <c r="I180" s="33" t="n"/>
    </row>
    <row r="181">
      <c r="A181" s="27" t="n"/>
      <c r="B181" s="36" t="n"/>
      <c r="C181" s="27" t="n"/>
      <c r="D181" s="27" t="n"/>
      <c r="E181" s="27" t="n"/>
      <c r="F181" s="28" t="n"/>
      <c r="G181" s="27" t="n"/>
      <c r="H181" s="27" t="n"/>
      <c r="I181" s="27" t="n"/>
    </row>
    <row r="182">
      <c r="A182" s="33" t="n"/>
      <c r="B182" s="34" t="n"/>
      <c r="C182" s="33" t="n"/>
      <c r="D182" s="33" t="n"/>
      <c r="E182" s="33" t="n"/>
      <c r="F182" s="35" t="n"/>
      <c r="G182" s="33" t="n"/>
      <c r="H182" s="33" t="n"/>
      <c r="I182" s="33" t="n"/>
    </row>
    <row r="183">
      <c r="A183" s="27" t="n"/>
      <c r="B183" s="36" t="n"/>
      <c r="C183" s="27" t="n"/>
      <c r="D183" s="27" t="n"/>
      <c r="E183" s="27" t="n"/>
      <c r="F183" s="28" t="n"/>
      <c r="G183" s="27" t="n"/>
      <c r="H183" s="27" t="n"/>
      <c r="I183" s="27" t="n"/>
    </row>
    <row r="184">
      <c r="A184" s="33" t="n"/>
      <c r="B184" s="34" t="n"/>
      <c r="C184" s="33" t="n"/>
      <c r="D184" s="33" t="n"/>
      <c r="E184" s="33" t="n"/>
      <c r="F184" s="35" t="n"/>
      <c r="G184" s="33" t="n"/>
      <c r="H184" s="33" t="n"/>
      <c r="I184" s="33" t="n"/>
    </row>
    <row r="185">
      <c r="A185" s="27" t="n"/>
      <c r="B185" s="36" t="n"/>
      <c r="C185" s="27" t="n"/>
      <c r="D185" s="27" t="n"/>
      <c r="E185" s="27" t="n"/>
      <c r="F185" s="28" t="n"/>
      <c r="G185" s="27" t="n"/>
      <c r="H185" s="27" t="n"/>
      <c r="I185" s="27" t="n"/>
    </row>
    <row r="186">
      <c r="A186" s="33" t="n"/>
      <c r="B186" s="34" t="n"/>
      <c r="C186" s="33" t="n"/>
      <c r="D186" s="33" t="n"/>
      <c r="E186" s="33" t="n"/>
      <c r="F186" s="35" t="n"/>
      <c r="G186" s="33" t="n"/>
      <c r="H186" s="33" t="n"/>
      <c r="I186" s="33" t="n"/>
    </row>
    <row r="187">
      <c r="A187" s="27" t="n"/>
      <c r="B187" s="36" t="n"/>
      <c r="C187" s="27" t="n"/>
      <c r="D187" s="27" t="n"/>
      <c r="E187" s="27" t="n"/>
      <c r="F187" s="28" t="n"/>
      <c r="G187" s="27" t="n"/>
      <c r="H187" s="27" t="n"/>
      <c r="I187" s="27" t="n"/>
    </row>
    <row r="188">
      <c r="A188" s="33" t="n"/>
      <c r="B188" s="34" t="n"/>
      <c r="C188" s="33" t="n"/>
      <c r="D188" s="33" t="n"/>
      <c r="E188" s="33" t="n"/>
      <c r="F188" s="35" t="n"/>
      <c r="G188" s="33" t="n"/>
      <c r="H188" s="33" t="n"/>
      <c r="I188" s="33" t="n"/>
    </row>
    <row r="189">
      <c r="A189" s="27" t="n"/>
      <c r="B189" s="36" t="n"/>
      <c r="C189" s="27" t="n"/>
      <c r="D189" s="27" t="n"/>
      <c r="E189" s="27" t="n"/>
      <c r="F189" s="28" t="n"/>
      <c r="G189" s="27" t="n"/>
      <c r="H189" s="27" t="n"/>
      <c r="I189" s="27" t="n"/>
    </row>
    <row r="190">
      <c r="A190" s="33" t="n"/>
      <c r="B190" s="34" t="n"/>
      <c r="C190" s="33" t="n"/>
      <c r="D190" s="33" t="n"/>
      <c r="E190" s="33" t="n"/>
      <c r="F190" s="35" t="n"/>
      <c r="G190" s="33" t="n"/>
      <c r="H190" s="33" t="n"/>
      <c r="I190" s="33" t="n"/>
    </row>
    <row r="191">
      <c r="A191" s="27" t="n"/>
      <c r="B191" s="36" t="n"/>
      <c r="C191" s="27" t="n"/>
      <c r="D191" s="27" t="n"/>
      <c r="E191" s="27" t="n"/>
      <c r="F191" s="28" t="n"/>
      <c r="G191" s="27" t="n"/>
      <c r="H191" s="27" t="n"/>
      <c r="I191" s="27" t="n"/>
    </row>
    <row r="192">
      <c r="A192" s="33" t="n"/>
      <c r="B192" s="34" t="n"/>
      <c r="C192" s="33" t="n"/>
      <c r="D192" s="33" t="n"/>
      <c r="E192" s="33" t="n"/>
      <c r="F192" s="35" t="n"/>
      <c r="G192" s="33" t="n"/>
      <c r="H192" s="33" t="n"/>
      <c r="I192" s="33" t="n"/>
    </row>
    <row r="193">
      <c r="A193" s="27" t="n"/>
      <c r="B193" s="36" t="n"/>
      <c r="C193" s="27" t="n"/>
      <c r="D193" s="27" t="n"/>
      <c r="E193" s="27" t="n"/>
      <c r="F193" s="28" t="n"/>
      <c r="G193" s="27" t="n"/>
      <c r="H193" s="27" t="n"/>
      <c r="I193" s="27" t="n"/>
    </row>
    <row r="194">
      <c r="A194" s="33" t="n"/>
      <c r="B194" s="34" t="n"/>
      <c r="C194" s="33" t="n"/>
      <c r="D194" s="33" t="n"/>
      <c r="E194" s="33" t="n"/>
      <c r="F194" s="35" t="n"/>
      <c r="G194" s="33" t="n"/>
      <c r="H194" s="33" t="n"/>
      <c r="I194" s="33" t="n"/>
    </row>
    <row r="195">
      <c r="A195" s="27" t="n"/>
      <c r="B195" s="36" t="n"/>
      <c r="C195" s="27" t="n"/>
      <c r="D195" s="27" t="n"/>
      <c r="E195" s="27" t="n"/>
      <c r="F195" s="28" t="n"/>
      <c r="G195" s="27" t="n"/>
      <c r="H195" s="27" t="n"/>
      <c r="I195" s="27" t="n"/>
    </row>
    <row r="196">
      <c r="A196" s="33" t="n"/>
      <c r="B196" s="34" t="n"/>
      <c r="C196" s="33" t="n"/>
      <c r="D196" s="33" t="n"/>
      <c r="E196" s="33" t="n"/>
      <c r="F196" s="35" t="n"/>
      <c r="G196" s="33" t="n"/>
      <c r="H196" s="33" t="n"/>
      <c r="I196" s="33" t="n"/>
    </row>
    <row r="197">
      <c r="A197" s="27" t="n"/>
      <c r="B197" s="36" t="n"/>
      <c r="C197" s="27" t="n"/>
      <c r="D197" s="27" t="n"/>
      <c r="E197" s="27" t="n"/>
      <c r="F197" s="28" t="n"/>
      <c r="G197" s="27" t="n"/>
      <c r="H197" s="27" t="n"/>
      <c r="I197" s="27" t="n"/>
    </row>
    <row r="198">
      <c r="A198" s="33" t="n"/>
      <c r="B198" s="34" t="n"/>
      <c r="C198" s="33" t="n"/>
      <c r="D198" s="33" t="n"/>
      <c r="E198" s="33" t="n"/>
      <c r="F198" s="35" t="n"/>
      <c r="G198" s="33" t="n"/>
      <c r="H198" s="33" t="n"/>
      <c r="I198" s="33" t="n"/>
    </row>
    <row r="199">
      <c r="A199" s="27" t="n"/>
      <c r="B199" s="36" t="n"/>
      <c r="C199" s="27" t="n"/>
      <c r="D199" s="27" t="n"/>
      <c r="E199" s="27" t="n"/>
      <c r="F199" s="28" t="n"/>
      <c r="G199" s="27" t="n"/>
      <c r="H199" s="27" t="n"/>
      <c r="I199" s="27" t="n"/>
    </row>
    <row r="200">
      <c r="A200" s="33" t="n"/>
      <c r="B200" s="34" t="n"/>
      <c r="C200" s="33" t="n"/>
      <c r="D200" s="33" t="n"/>
      <c r="E200" s="33" t="n"/>
      <c r="F200" s="35" t="n"/>
      <c r="G200" s="33" t="n"/>
      <c r="H200" s="33" t="n"/>
      <c r="I200" s="33" t="n"/>
    </row>
    <row r="201">
      <c r="A201" s="27" t="n"/>
      <c r="B201" s="36" t="n"/>
      <c r="C201" s="27" t="n"/>
      <c r="D201" s="27" t="n"/>
      <c r="E201" s="27" t="n"/>
      <c r="F201" s="28" t="n"/>
      <c r="G201" s="27" t="n"/>
      <c r="H201" s="27" t="n"/>
      <c r="I201" s="27" t="n"/>
    </row>
    <row r="202">
      <c r="A202" s="33" t="n"/>
      <c r="B202" s="34" t="n"/>
      <c r="C202" s="33" t="n"/>
      <c r="D202" s="33" t="n"/>
      <c r="E202" s="33" t="n"/>
      <c r="F202" s="35" t="n"/>
      <c r="G202" s="33" t="n"/>
      <c r="H202" s="33" t="n"/>
      <c r="I202" s="33" t="n"/>
    </row>
    <row r="203">
      <c r="A203" s="27" t="n"/>
      <c r="B203" s="36" t="n"/>
      <c r="C203" s="27" t="n"/>
      <c r="D203" s="27" t="n"/>
      <c r="E203" s="27" t="n"/>
      <c r="F203" s="28" t="n"/>
      <c r="G203" s="27" t="n"/>
      <c r="H203" s="27" t="n"/>
      <c r="I203" s="27" t="n"/>
    </row>
  </sheetData>
  <autoFilter ref="A3:I203"/>
  <mergeCells count="1">
    <mergeCell ref="A2:I2"/>
  </mergeCells>
  <dataValidations count="1">
    <dataValidation sqref="G4:G203" showDropDown="0" showInputMessage="0" showErrorMessage="0" allowBlank="1" type="list">
      <formula1>"EFECTIVO,PAGO MÓVIL,BINANCE/USDT,TRANSFERENCIA,ZELLE,OTRO"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C6A3F"/>
    <outlinePr summaryBelow="1" summaryRight="1"/>
    <pageSetUpPr/>
  </sheetPr>
  <dimension ref="A1:M80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.5" customWidth="1" min="2" max="2"/>
    <col width="12.5" customWidth="1" min="3" max="3"/>
    <col width="42" customWidth="1" min="4" max="4"/>
    <col width="11.5" customWidth="1" min="5" max="5"/>
    <col width="14.5" customWidth="1" min="6" max="6"/>
    <col width="9.5" customWidth="1" min="7" max="7"/>
    <col width="52" customWidth="1" min="8" max="8"/>
    <col width="3" customWidth="1" min="9" max="9"/>
    <col width="28" customWidth="1" min="10" max="10"/>
    <col width="20" customWidth="1" min="11" max="11"/>
    <col width="20" customWidth="1" min="12" max="12"/>
    <col width="20" customWidth="1" min="13" max="13"/>
  </cols>
  <sheetData>
    <row r="1">
      <c r="A1" s="1" t="inlineStr">
        <is>
          <t>GASTOS Y COMPRAS — ENTRADAS DE COMPRA</t>
        </is>
      </c>
    </row>
    <row r="2">
      <c r="A2" s="2" t="inlineStr">
        <is>
          <t>El original era texto libre en una sola columna. Aquí cada línea queda tipificada; la columna TEXTO ORIGINAL conserva lo escrito, palabra por palabra.</t>
        </is>
      </c>
    </row>
    <row r="3" ht="30" customHeight="1">
      <c r="A3" s="3" t="inlineStr">
        <is>
          <t>LOTE</t>
        </is>
      </c>
      <c r="B3" s="3" t="inlineStr">
        <is>
          <t>FECHA LOTE</t>
        </is>
      </c>
      <c r="C3" s="3" t="inlineStr">
        <is>
          <t>TIPO</t>
        </is>
      </c>
      <c r="D3" s="3" t="inlineStr">
        <is>
          <t>DESCRIPCIÓN</t>
        </is>
      </c>
      <c r="E3" s="3" t="inlineStr">
        <is>
          <t>MONTO ($)</t>
        </is>
      </c>
      <c r="F3" s="3" t="inlineStr">
        <is>
          <t>MONTO Bs</t>
        </is>
      </c>
      <c r="G3" s="3" t="inlineStr">
        <is>
          <t>CANAL</t>
        </is>
      </c>
      <c r="H3" s="3" t="inlineStr">
        <is>
          <t>TEXTO ORIGINAL</t>
        </is>
      </c>
      <c r="J3" s="10" t="inlineStr">
        <is>
          <t>CONTROL POR LOTE — declarado vs. suma de ítems</t>
        </is>
      </c>
    </row>
    <row r="4" ht="30" customHeight="1">
      <c r="A4" s="37" t="inlineStr">
        <is>
          <t>Lote 19/06/2026</t>
        </is>
      </c>
      <c r="B4" s="38" t="n">
        <v>46192</v>
      </c>
      <c r="C4" s="39" t="inlineStr">
        <is>
          <t>ENCABEZADO</t>
        </is>
      </c>
      <c r="D4" s="37" t="inlineStr">
        <is>
          <t>Lote 19/06/2026</t>
        </is>
      </c>
      <c r="E4" s="37" t="n"/>
      <c r="F4" s="37" t="n"/>
      <c r="G4" s="39" t="inlineStr">
        <is>
          <t>BINANCE</t>
        </is>
      </c>
      <c r="H4" s="40" t="inlineStr">
        <is>
          <t xml:space="preserve">19.6.2026 TASA BINANCE </t>
        </is>
      </c>
      <c r="J4" s="41" t="inlineStr">
        <is>
          <t>LOTE</t>
        </is>
      </c>
      <c r="K4" s="41" t="inlineStr">
        <is>
          <t>SUMA ÍTEMS ($)</t>
        </is>
      </c>
      <c r="L4" s="41" t="inlineStr">
        <is>
          <t>SUBTOTAL DECLARADO ($)</t>
        </is>
      </c>
      <c r="M4" s="41" t="inlineStr">
        <is>
          <t>DIFERENCIA</t>
        </is>
      </c>
    </row>
    <row r="5">
      <c r="A5" s="27" t="inlineStr">
        <is>
          <t>Lote 19/06/2026</t>
        </is>
      </c>
      <c r="B5" s="42" t="n">
        <v>46192</v>
      </c>
      <c r="C5" s="6" t="inlineStr">
        <is>
          <t>ÍTEM</t>
        </is>
      </c>
      <c r="D5" s="27" t="inlineStr">
        <is>
          <t>ARTISTO</t>
        </is>
      </c>
      <c r="E5" s="28" t="n">
        <v>20</v>
      </c>
      <c r="F5" s="27" t="n"/>
      <c r="G5" s="6" t="n"/>
      <c r="H5" s="43" t="inlineStr">
        <is>
          <t>ARTISTO   20$</t>
        </is>
      </c>
      <c r="J5" s="12" t="inlineStr">
        <is>
          <t>Lote 19/06/2026</t>
        </is>
      </c>
      <c r="K5" s="29">
        <f>SUMIFS($E:$E,$A:$A,$J5,$C:$C,"ÍTEM")</f>
        <v/>
      </c>
      <c r="L5" s="29">
        <f>SUMIFS($E:$E,$A:$A,$J5,$C:$C,"SUBTOTAL")</f>
        <v/>
      </c>
      <c r="M5" s="29">
        <f>IF(L5=0,"",L5-K5)</f>
        <v/>
      </c>
    </row>
    <row r="6">
      <c r="A6" s="27" t="inlineStr">
        <is>
          <t>Lote 19/06/2026</t>
        </is>
      </c>
      <c r="B6" s="42" t="n">
        <v>46192</v>
      </c>
      <c r="C6" s="6" t="inlineStr">
        <is>
          <t>ÍTEM</t>
        </is>
      </c>
      <c r="D6" s="27" t="inlineStr">
        <is>
          <t>CLUB DE NUIT URBAN</t>
        </is>
      </c>
      <c r="E6" s="28" t="n">
        <v>13</v>
      </c>
      <c r="F6" s="27" t="n"/>
      <c r="G6" s="6" t="n"/>
      <c r="H6" s="43" t="inlineStr">
        <is>
          <t>CLUB DE NUIT URBAN  13$</t>
        </is>
      </c>
      <c r="J6" s="12" t="inlineStr">
        <is>
          <t>Lote 26/06/2026</t>
        </is>
      </c>
      <c r="K6" s="29">
        <f>SUMIFS($E:$E,$A:$A,$J6,$C:$C,"ÍTEM")</f>
        <v/>
      </c>
      <c r="L6" s="29">
        <f>SUMIFS($E:$E,$A:$A,$J6,$C:$C,"SUBTOTAL")</f>
        <v/>
      </c>
      <c r="M6" s="29">
        <f>IF(L6=0,"",L6-K6)</f>
        <v/>
      </c>
    </row>
    <row r="7">
      <c r="A7" s="27" t="inlineStr">
        <is>
          <t>Lote 19/06/2026</t>
        </is>
      </c>
      <c r="B7" s="42" t="n">
        <v>46192</v>
      </c>
      <c r="C7" s="6" t="inlineStr">
        <is>
          <t>ÍTEM</t>
        </is>
      </c>
      <c r="D7" s="27" t="inlineStr">
        <is>
          <t>BAHARARA KING</t>
        </is>
      </c>
      <c r="E7" s="28" t="n">
        <v>20</v>
      </c>
      <c r="F7" s="27" t="n"/>
      <c r="G7" s="6" t="n"/>
      <c r="H7" s="43" t="inlineStr">
        <is>
          <t>BAHARARA KING 20$</t>
        </is>
      </c>
      <c r="J7" s="12" t="inlineStr">
        <is>
          <t>Lote 01/07/2026</t>
        </is>
      </c>
      <c r="K7" s="29">
        <f>SUMIFS($E:$E,$A:$A,$J7,$C:$C,"ÍTEM")</f>
        <v/>
      </c>
      <c r="L7" s="29">
        <f>SUMIFS($E:$E,$A:$A,$J7,$C:$C,"SUBTOTAL")</f>
        <v/>
      </c>
      <c r="M7" s="29">
        <f>IF(L7=0,"",L7-K7)</f>
        <v/>
      </c>
    </row>
    <row r="8">
      <c r="A8" s="27" t="inlineStr">
        <is>
          <t>Lote 19/06/2026</t>
        </is>
      </c>
      <c r="B8" s="42" t="n">
        <v>46192</v>
      </c>
      <c r="C8" s="6" t="inlineStr">
        <is>
          <t>ÍTEM</t>
        </is>
      </c>
      <c r="D8" s="27" t="inlineStr">
        <is>
          <t>YARA FEM</t>
        </is>
      </c>
      <c r="E8" s="28" t="n">
        <v>13</v>
      </c>
      <c r="F8" s="27" t="n"/>
      <c r="G8" s="6" t="n"/>
      <c r="H8" s="43" t="inlineStr">
        <is>
          <t>YARA FEM 13$</t>
        </is>
      </c>
      <c r="J8" s="12" t="inlineStr">
        <is>
          <t>Lote 08/08/2026</t>
        </is>
      </c>
      <c r="K8" s="29">
        <f>SUMIFS($E:$E,$A:$A,$J8,$C:$C,"ÍTEM")</f>
        <v/>
      </c>
      <c r="L8" s="29">
        <f>SUMIFS($E:$E,$A:$A,$J8,$C:$C,"SUBTOTAL")</f>
        <v/>
      </c>
      <c r="M8" s="29">
        <f>IF(L8=0,"",L8-K8)</f>
        <v/>
      </c>
    </row>
    <row r="9">
      <c r="A9" s="27" t="inlineStr">
        <is>
          <t>Lote 19/06/2026</t>
        </is>
      </c>
      <c r="B9" s="42" t="n">
        <v>46192</v>
      </c>
      <c r="C9" s="6" t="inlineStr">
        <is>
          <t>ÍTEM</t>
        </is>
      </c>
      <c r="D9" s="27" t="inlineStr">
        <is>
          <t>YARA MOI</t>
        </is>
      </c>
      <c r="E9" s="28" t="n">
        <v>13</v>
      </c>
      <c r="F9" s="27" t="n"/>
      <c r="G9" s="6" t="n"/>
      <c r="H9" s="43" t="inlineStr">
        <is>
          <t>YARA MOI 13$</t>
        </is>
      </c>
      <c r="J9" s="12" t="inlineStr">
        <is>
          <t>Lote 10/08/2026</t>
        </is>
      </c>
      <c r="K9" s="29">
        <f>SUMIFS($E:$E,$A:$A,$J9,$C:$C,"ÍTEM")</f>
        <v/>
      </c>
      <c r="L9" s="29">
        <f>SUMIFS($E:$E,$A:$A,$J9,$C:$C,"SUBTOTAL")</f>
        <v/>
      </c>
      <c r="M9" s="29">
        <f>IF(L9=0,"",L9-K9)</f>
        <v/>
      </c>
    </row>
    <row r="10">
      <c r="A10" s="27" t="inlineStr">
        <is>
          <t>Lote 19/06/2026</t>
        </is>
      </c>
      <c r="B10" s="42" t="n">
        <v>46192</v>
      </c>
      <c r="C10" s="6" t="inlineStr">
        <is>
          <t>ÍTEM</t>
        </is>
      </c>
      <c r="D10" s="27" t="inlineStr">
        <is>
          <t>KHAMRA QAWA</t>
        </is>
      </c>
      <c r="E10" s="28" t="n">
        <v>20</v>
      </c>
      <c r="F10" s="27" t="n"/>
      <c r="G10" s="6" t="n"/>
      <c r="H10" s="43" t="inlineStr">
        <is>
          <t>KHAMRA QAWA 20 $</t>
        </is>
      </c>
      <c r="J10" s="12" t="inlineStr">
        <is>
          <t>Lote 12/06/2026</t>
        </is>
      </c>
      <c r="K10" s="29">
        <f>SUMIFS($E:$E,$A:$A,$J10,$C:$C,"ÍTEM")</f>
        <v/>
      </c>
      <c r="L10" s="29">
        <f>SUMIFS($E:$E,$A:$A,$J10,$C:$C,"SUBTOTAL")</f>
        <v/>
      </c>
      <c r="M10" s="29">
        <f>IF(L10=0,"",L10-K10)</f>
        <v/>
      </c>
    </row>
    <row r="11">
      <c r="A11" s="44" t="inlineStr">
        <is>
          <t>Lote 19/06/2026</t>
        </is>
      </c>
      <c r="B11" s="45" t="n">
        <v>46192</v>
      </c>
      <c r="C11" s="46" t="inlineStr">
        <is>
          <t>SUBTOTAL</t>
        </is>
      </c>
      <c r="D11" s="44" t="inlineStr">
        <is>
          <t>Subtotal declarado del lote</t>
        </is>
      </c>
      <c r="E11" s="47" t="n">
        <v>99</v>
      </c>
      <c r="F11" s="44" t="n"/>
      <c r="G11" s="46" t="inlineStr">
        <is>
          <t>BINANCE</t>
        </is>
      </c>
      <c r="H11" s="48" t="inlineStr">
        <is>
          <t>TOTAL 99$ BINANCE</t>
        </is>
      </c>
      <c r="J11" s="12" t="inlineStr">
        <is>
          <t>PEDIDO CARACAS LUKA STORE</t>
        </is>
      </c>
      <c r="K11" s="29">
        <f>SUMIFS($E:$E,$A:$A,$J11,$C:$C,"ÍTEM")</f>
        <v/>
      </c>
      <c r="L11" s="29">
        <f>SUMIFS($E:$E,$A:$A,$J11,$C:$C,"SUBTOTAL")</f>
        <v/>
      </c>
      <c r="M11" s="29">
        <f>IF(L11=0,"",L11-K11)</f>
        <v/>
      </c>
    </row>
    <row r="12">
      <c r="A12" s="37" t="inlineStr">
        <is>
          <t>Lote 26/06/2026</t>
        </is>
      </c>
      <c r="B12" s="38" t="n">
        <v>46199</v>
      </c>
      <c r="C12" s="39" t="inlineStr">
        <is>
          <t>ENCABEZADO</t>
        </is>
      </c>
      <c r="D12" s="37" t="inlineStr">
        <is>
          <t>Lote 26/06/2026</t>
        </is>
      </c>
      <c r="E12" s="37" t="n"/>
      <c r="F12" s="37" t="n"/>
      <c r="G12" s="39" t="inlineStr">
        <is>
          <t>BINANCE</t>
        </is>
      </c>
      <c r="H12" s="40" t="inlineStr">
        <is>
          <t xml:space="preserve">26.06.2026 TASA BINANCE </t>
        </is>
      </c>
      <c r="J12" s="12" t="inlineStr">
        <is>
          <t>Lote 12/08/2026</t>
        </is>
      </c>
      <c r="K12" s="29">
        <f>SUMIFS($E:$E,$A:$A,$J12,$C:$C,"ÍTEM")</f>
        <v/>
      </c>
      <c r="L12" s="29">
        <f>SUMIFS($E:$E,$A:$A,$J12,$C:$C,"SUBTOTAL")</f>
        <v/>
      </c>
      <c r="M12" s="29">
        <f>IF(L12=0,"",L12-K12)</f>
        <v/>
      </c>
    </row>
    <row r="13">
      <c r="A13" s="27" t="inlineStr">
        <is>
          <t>Lote 26/06/2026</t>
        </is>
      </c>
      <c r="B13" s="42" t="n">
        <v>46199</v>
      </c>
      <c r="C13" s="6" t="inlineStr">
        <is>
          <t>ÍTEM</t>
        </is>
      </c>
      <c r="D13" s="27" t="inlineStr">
        <is>
          <t>CLOUD</t>
        </is>
      </c>
      <c r="E13" s="28" t="n">
        <v>12</v>
      </c>
      <c r="F13" s="27" t="n"/>
      <c r="G13" s="6" t="n"/>
      <c r="H13" s="43" t="inlineStr">
        <is>
          <t>CLOUD  12 $</t>
        </is>
      </c>
      <c r="J13" s="49" t="inlineStr">
        <is>
          <t>TOTAL GENERAL (ítems)</t>
        </is>
      </c>
      <c r="K13" s="50">
        <f>SUMIF($C:$C,"ÍTEM",$E:$E)</f>
        <v/>
      </c>
      <c r="L13" s="50">
        <f>SUMIF($C:$C,"SUBTOTAL",$E:$E)</f>
        <v/>
      </c>
      <c r="M13" s="50">
        <f>SUM(M5:M12)</f>
        <v/>
      </c>
    </row>
    <row r="14">
      <c r="A14" s="27" t="inlineStr">
        <is>
          <t>Lote 26/06/2026</t>
        </is>
      </c>
      <c r="B14" s="42" t="n">
        <v>46199</v>
      </c>
      <c r="C14" s="6" t="inlineStr">
        <is>
          <t>ÍTEM</t>
        </is>
      </c>
      <c r="D14" s="27" t="inlineStr">
        <is>
          <t>GOOD GIRL VERY</t>
        </is>
      </c>
      <c r="E14" s="28" t="n">
        <v>9.5</v>
      </c>
      <c r="F14" s="27" t="n"/>
      <c r="G14" s="6" t="n"/>
      <c r="H14" s="43" t="inlineStr">
        <is>
          <t>GOOD GIRL VERY 9.50$</t>
        </is>
      </c>
      <c r="J14" s="51" t="inlineStr">
        <is>
          <t>Otros gastos ($) — líneas «GASTO»</t>
        </is>
      </c>
      <c r="K14" s="52">
        <f>SUMIF($C:$C,"GASTO",$E:$E)</f>
        <v/>
      </c>
    </row>
    <row r="15">
      <c r="A15" s="27" t="inlineStr">
        <is>
          <t>Lote 26/06/2026</t>
        </is>
      </c>
      <c r="B15" s="42" t="n">
        <v>46199</v>
      </c>
      <c r="C15" s="6" t="inlineStr">
        <is>
          <t>ÍTEM</t>
        </is>
      </c>
      <c r="D15" s="27" t="inlineStr">
        <is>
          <t>ULTRA MALE</t>
        </is>
      </c>
      <c r="E15" s="28" t="n">
        <v>9.5</v>
      </c>
      <c r="F15" s="27" t="n"/>
      <c r="G15" s="6" t="n"/>
      <c r="H15" s="43" t="inlineStr">
        <is>
          <t>ULTRA MALE 9.50$</t>
        </is>
      </c>
      <c r="J15" s="51" t="inlineStr">
        <is>
          <t>Gasto total en Bs registrado</t>
        </is>
      </c>
      <c r="K15" s="53">
        <f>SUM($F:$F)</f>
        <v/>
      </c>
    </row>
    <row r="16">
      <c r="A16" s="27" t="inlineStr">
        <is>
          <t>Lote 26/06/2026</t>
        </is>
      </c>
      <c r="B16" s="42" t="n">
        <v>46199</v>
      </c>
      <c r="C16" s="6" t="inlineStr">
        <is>
          <t>ÍTEM</t>
        </is>
      </c>
      <c r="D16" s="27" t="inlineStr">
        <is>
          <t>SWISS ARMY</t>
        </is>
      </c>
      <c r="E16" s="28" t="n">
        <v>9.5</v>
      </c>
      <c r="F16" s="27" t="n"/>
      <c r="G16" s="6" t="n"/>
      <c r="H16" s="43" t="inlineStr">
        <is>
          <t>SWISS ARMY 9.50$</t>
        </is>
      </c>
      <c r="J16" s="51" t="inlineStr">
        <is>
          <t>TOTAL COMPRAS + GASTOS ($)</t>
        </is>
      </c>
      <c r="K16" s="52">
        <f>K13+K14</f>
        <v/>
      </c>
    </row>
    <row r="17">
      <c r="A17" s="27" t="inlineStr">
        <is>
          <t>Lote 26/06/2026</t>
        </is>
      </c>
      <c r="B17" s="42" t="n">
        <v>46199</v>
      </c>
      <c r="C17" s="6" t="inlineStr">
        <is>
          <t>ÍTEM</t>
        </is>
      </c>
      <c r="D17" s="27" t="inlineStr">
        <is>
          <t>360</t>
        </is>
      </c>
      <c r="E17" s="28" t="n">
        <v>9.5</v>
      </c>
      <c r="F17" s="27" t="n"/>
      <c r="G17" s="6" t="n"/>
      <c r="H17" s="43" t="inlineStr">
        <is>
          <t>360 9.50$</t>
        </is>
      </c>
    </row>
    <row r="18">
      <c r="A18" s="27" t="inlineStr">
        <is>
          <t>Lote 26/06/2026</t>
        </is>
      </c>
      <c r="B18" s="42" t="n">
        <v>46199</v>
      </c>
      <c r="C18" s="6" t="inlineStr">
        <is>
          <t>ÍTEM</t>
        </is>
      </c>
      <c r="D18" s="27" t="inlineStr">
        <is>
          <t>SCANDAL</t>
        </is>
      </c>
      <c r="E18" s="28" t="n">
        <v>9.5</v>
      </c>
      <c r="F18" s="27" t="n"/>
      <c r="G18" s="6" t="n"/>
      <c r="H18" s="43" t="inlineStr">
        <is>
          <t>SCANDAL 9.50$</t>
        </is>
      </c>
    </row>
    <row r="19">
      <c r="A19" s="27" t="inlineStr">
        <is>
          <t>Lote 26/06/2026</t>
        </is>
      </c>
      <c r="B19" s="42" t="n">
        <v>46199</v>
      </c>
      <c r="C19" s="6" t="inlineStr">
        <is>
          <t>ÍTEM</t>
        </is>
      </c>
      <c r="D19" s="27" t="inlineStr">
        <is>
          <t>BAD BOY</t>
        </is>
      </c>
      <c r="E19" s="28" t="n">
        <v>9.5</v>
      </c>
      <c r="F19" s="27" t="n"/>
      <c r="G19" s="6" t="n"/>
      <c r="H19" s="43" t="inlineStr">
        <is>
          <t>BAD BOY 9.50$</t>
        </is>
      </c>
    </row>
    <row r="20">
      <c r="A20" s="27" t="inlineStr">
        <is>
          <t>Lote 26/06/2026</t>
        </is>
      </c>
      <c r="B20" s="42" t="n">
        <v>46199</v>
      </c>
      <c r="C20" s="6" t="inlineStr">
        <is>
          <t>ÍTEM</t>
        </is>
      </c>
      <c r="D20" s="27" t="inlineStr">
        <is>
          <t>TOMMY</t>
        </is>
      </c>
      <c r="E20" s="28" t="n">
        <v>9.5</v>
      </c>
      <c r="F20" s="27" t="n"/>
      <c r="G20" s="6" t="n"/>
      <c r="H20" s="43" t="inlineStr">
        <is>
          <t>TOMMY 9.50$</t>
        </is>
      </c>
    </row>
    <row r="21">
      <c r="A21" s="27" t="inlineStr">
        <is>
          <t>Lote 26/06/2026</t>
        </is>
      </c>
      <c r="B21" s="42" t="n">
        <v>46199</v>
      </c>
      <c r="C21" s="6" t="inlineStr">
        <is>
          <t>ÍTEM</t>
        </is>
      </c>
      <c r="D21" s="27" t="inlineStr">
        <is>
          <t>INVICTUS</t>
        </is>
      </c>
      <c r="E21" s="28" t="n">
        <v>9.5</v>
      </c>
      <c r="F21" s="27" t="n"/>
      <c r="G21" s="6" t="n"/>
      <c r="H21" s="43" t="inlineStr">
        <is>
          <t>INVICTUS 9.50$</t>
        </is>
      </c>
    </row>
    <row r="22">
      <c r="A22" s="27" t="inlineStr">
        <is>
          <t>Lote 26/06/2026</t>
        </is>
      </c>
      <c r="B22" s="42" t="n">
        <v>46199</v>
      </c>
      <c r="C22" s="6" t="inlineStr">
        <is>
          <t>ÍTEM</t>
        </is>
      </c>
      <c r="D22" s="27" t="inlineStr">
        <is>
          <t>212 VIP</t>
        </is>
      </c>
      <c r="E22" s="28" t="n">
        <v>9.5</v>
      </c>
      <c r="F22" s="27" t="n"/>
      <c r="G22" s="6" t="n"/>
      <c r="H22" s="43" t="inlineStr">
        <is>
          <t>212 VIP 9.50$</t>
        </is>
      </c>
    </row>
    <row r="23">
      <c r="A23" s="27" t="inlineStr">
        <is>
          <t>Lote 26/06/2026</t>
        </is>
      </c>
      <c r="B23" s="42" t="n">
        <v>46199</v>
      </c>
      <c r="C23" s="6" t="inlineStr">
        <is>
          <t>ÍTEM</t>
        </is>
      </c>
      <c r="D23" s="27" t="inlineStr">
        <is>
          <t>EROS MEN</t>
        </is>
      </c>
      <c r="E23" s="28" t="n">
        <v>9.5</v>
      </c>
      <c r="F23" s="27" t="n"/>
      <c r="G23" s="6" t="n"/>
      <c r="H23" s="43" t="inlineStr">
        <is>
          <t>EROS MEN 9.50$</t>
        </is>
      </c>
    </row>
    <row r="24">
      <c r="A24" s="27" t="inlineStr">
        <is>
          <t>Lote 26/06/2026</t>
        </is>
      </c>
      <c r="B24" s="42" t="n">
        <v>46199</v>
      </c>
      <c r="C24" s="6" t="inlineStr">
        <is>
          <t>ÍTEM</t>
        </is>
      </c>
      <c r="D24" s="27" t="inlineStr">
        <is>
          <t>AGUA DI DIO</t>
        </is>
      </c>
      <c r="E24" s="28" t="n">
        <v>9.5</v>
      </c>
      <c r="F24" s="27" t="n"/>
      <c r="G24" s="6" t="n"/>
      <c r="H24" s="43" t="inlineStr">
        <is>
          <t xml:space="preserve">AGUA DI DIO 9.50$ </t>
        </is>
      </c>
    </row>
    <row r="25">
      <c r="A25" s="27" t="inlineStr">
        <is>
          <t>Lote 26/06/2026</t>
        </is>
      </c>
      <c r="B25" s="42" t="n">
        <v>46199</v>
      </c>
      <c r="C25" s="6" t="inlineStr">
        <is>
          <t>ÍTEM</t>
        </is>
      </c>
      <c r="D25" s="27" t="inlineStr">
        <is>
          <t>HONOR Y GLORY</t>
        </is>
      </c>
      <c r="E25" s="28" t="n">
        <v>17</v>
      </c>
      <c r="F25" s="27" t="n"/>
      <c r="G25" s="6" t="n"/>
      <c r="H25" s="43" t="inlineStr">
        <is>
          <t>HONOR Y GLORY 17$</t>
        </is>
      </c>
    </row>
    <row r="26">
      <c r="A26" s="27" t="inlineStr">
        <is>
          <t>Lote 26/06/2026</t>
        </is>
      </c>
      <c r="B26" s="42" t="n">
        <v>46199</v>
      </c>
      <c r="C26" s="6" t="inlineStr">
        <is>
          <t>ÍTEM</t>
        </is>
      </c>
      <c r="D26" s="27" t="inlineStr">
        <is>
          <t>BAHARARA KING</t>
        </is>
      </c>
      <c r="E26" s="28" t="n">
        <v>20</v>
      </c>
      <c r="F26" s="27" t="n"/>
      <c r="G26" s="6" t="n"/>
      <c r="H26" s="43" t="inlineStr">
        <is>
          <t>BAHARARA KING 20$</t>
        </is>
      </c>
    </row>
    <row r="27">
      <c r="A27" s="27" t="inlineStr">
        <is>
          <t>Lote 26/06/2026</t>
        </is>
      </c>
      <c r="B27" s="42" t="n">
        <v>46199</v>
      </c>
      <c r="C27" s="6" t="inlineStr">
        <is>
          <t>ÍTEM</t>
        </is>
      </c>
      <c r="D27" s="27" t="inlineStr">
        <is>
          <t>UNIVERSE</t>
        </is>
      </c>
      <c r="E27" s="28" t="n">
        <v>20</v>
      </c>
      <c r="F27" s="27" t="n"/>
      <c r="G27" s="6" t="n"/>
      <c r="H27" s="43" t="inlineStr">
        <is>
          <t>UNIVERSE 20$</t>
        </is>
      </c>
    </row>
    <row r="28">
      <c r="A28" s="27" t="inlineStr">
        <is>
          <t>Lote 26/06/2026</t>
        </is>
      </c>
      <c r="B28" s="42" t="n">
        <v>46199</v>
      </c>
      <c r="C28" s="6" t="inlineStr">
        <is>
          <t>ÍTEM</t>
        </is>
      </c>
      <c r="D28" s="27" t="inlineStr">
        <is>
          <t>KHANRAH</t>
        </is>
      </c>
      <c r="E28" s="28" t="n">
        <v>20</v>
      </c>
      <c r="F28" s="27" t="n"/>
      <c r="G28" s="6" t="n"/>
      <c r="H28" s="43" t="inlineStr">
        <is>
          <t>KHANRAH 20$</t>
        </is>
      </c>
    </row>
    <row r="29">
      <c r="A29" s="27" t="inlineStr">
        <is>
          <t>Lote 26/06/2026</t>
        </is>
      </c>
      <c r="B29" s="42" t="n">
        <v>46199</v>
      </c>
      <c r="C29" s="6" t="inlineStr">
        <is>
          <t>ÍTEM</t>
        </is>
      </c>
      <c r="D29" s="27" t="inlineStr">
        <is>
          <t>CLUB DE NUIT</t>
        </is>
      </c>
      <c r="E29" s="28" t="n">
        <v>12</v>
      </c>
      <c r="F29" s="27" t="n"/>
      <c r="G29" s="6" t="n"/>
      <c r="H29" s="43" t="inlineStr">
        <is>
          <t>CLUB DE NUIT 12$</t>
        </is>
      </c>
    </row>
    <row r="30">
      <c r="A30" s="27" t="inlineStr">
        <is>
          <t>Lote 26/06/2026</t>
        </is>
      </c>
      <c r="B30" s="42" t="n">
        <v>46199</v>
      </c>
      <c r="C30" s="6" t="inlineStr">
        <is>
          <t>ÍTEM</t>
        </is>
      </c>
      <c r="D30" s="27" t="inlineStr">
        <is>
          <t>ASAD BOURBOM</t>
        </is>
      </c>
      <c r="E30" s="28" t="n">
        <v>13</v>
      </c>
      <c r="F30" s="27" t="n"/>
      <c r="G30" s="6" t="n"/>
      <c r="H30" s="43" t="inlineStr">
        <is>
          <t>ASAD BOURBOM 13$</t>
        </is>
      </c>
    </row>
    <row r="31">
      <c r="A31" s="27" t="inlineStr">
        <is>
          <t>Lote 26/06/2026</t>
        </is>
      </c>
      <c r="B31" s="42" t="n">
        <v>46199</v>
      </c>
      <c r="C31" s="6" t="inlineStr">
        <is>
          <t>ÍTEM</t>
        </is>
      </c>
      <c r="D31" s="27" t="inlineStr">
        <is>
          <t>LA BOMBA</t>
        </is>
      </c>
      <c r="E31" s="28" t="n">
        <v>17</v>
      </c>
      <c r="F31" s="27" t="n"/>
      <c r="G31" s="6" t="n"/>
      <c r="H31" s="43" t="inlineStr">
        <is>
          <t>LA BOMBA 17$</t>
        </is>
      </c>
    </row>
    <row r="32">
      <c r="A32" s="44" t="inlineStr">
        <is>
          <t>Lote 26/06/2026</t>
        </is>
      </c>
      <c r="B32" s="45" t="n">
        <v>46199</v>
      </c>
      <c r="C32" s="46" t="inlineStr">
        <is>
          <t>SUBTOTAL</t>
        </is>
      </c>
      <c r="D32" s="44" t="inlineStr">
        <is>
          <t>Subtotal declarado del lote</t>
        </is>
      </c>
      <c r="E32" s="47" t="n">
        <v>236</v>
      </c>
      <c r="F32" s="44" t="n"/>
      <c r="G32" s="46" t="inlineStr">
        <is>
          <t>BINANCE</t>
        </is>
      </c>
      <c r="H32" s="48" t="inlineStr">
        <is>
          <t xml:space="preserve">TOTAL  236$ BINANCE </t>
        </is>
      </c>
    </row>
    <row r="33">
      <c r="A33" s="37" t="inlineStr">
        <is>
          <t>Lote 01/07/2026</t>
        </is>
      </c>
      <c r="B33" s="38" t="n">
        <v>46204</v>
      </c>
      <c r="C33" s="39" t="inlineStr">
        <is>
          <t>ENCABEZADO</t>
        </is>
      </c>
      <c r="D33" s="37" t="inlineStr">
        <is>
          <t>Lote 01/07/2026</t>
        </is>
      </c>
      <c r="E33" s="37" t="n"/>
      <c r="F33" s="37" t="n"/>
      <c r="G33" s="39" t="n"/>
      <c r="H33" s="40" t="inlineStr">
        <is>
          <t xml:space="preserve">1.07.2026 </t>
        </is>
      </c>
    </row>
    <row r="34">
      <c r="A34" s="27" t="inlineStr">
        <is>
          <t>Lote 01/07/2026</t>
        </is>
      </c>
      <c r="B34" s="42" t="n">
        <v>46204</v>
      </c>
      <c r="C34" s="6" t="inlineStr">
        <is>
          <t>ÍTEM</t>
        </is>
      </c>
      <c r="D34" s="27" t="inlineStr">
        <is>
          <t>212 MEN</t>
        </is>
      </c>
      <c r="E34" s="28" t="n">
        <v>12</v>
      </c>
      <c r="F34" s="27" t="n"/>
      <c r="G34" s="6" t="n"/>
      <c r="H34" s="43" t="inlineStr">
        <is>
          <t>212 MEN 12$</t>
        </is>
      </c>
    </row>
    <row r="35">
      <c r="A35" s="27" t="inlineStr">
        <is>
          <t>Lote 01/07/2026</t>
        </is>
      </c>
      <c r="B35" s="42" t="n">
        <v>46204</v>
      </c>
      <c r="C35" s="6" t="inlineStr">
        <is>
          <t>ÍTEM</t>
        </is>
      </c>
      <c r="D35" s="27" t="inlineStr">
        <is>
          <t>HARAMAIN AQUA DUBAI</t>
        </is>
      </c>
      <c r="E35" s="28" t="n">
        <v>18</v>
      </c>
      <c r="F35" s="27" t="n"/>
      <c r="G35" s="6" t="n"/>
      <c r="H35" s="43" t="inlineStr">
        <is>
          <t>HARAMAIN AQUA DUBAI 18$</t>
        </is>
      </c>
    </row>
    <row r="36">
      <c r="A36" s="44" t="inlineStr">
        <is>
          <t>Lote 01/07/2026</t>
        </is>
      </c>
      <c r="B36" s="45" t="n">
        <v>46204</v>
      </c>
      <c r="C36" s="46" t="inlineStr">
        <is>
          <t>SUBTOTAL</t>
        </is>
      </c>
      <c r="D36" s="44" t="inlineStr">
        <is>
          <t>Subtotal declarado del lote</t>
        </is>
      </c>
      <c r="E36" s="47" t="n">
        <v>30</v>
      </c>
      <c r="F36" s="44" t="n"/>
      <c r="G36" s="46" t="inlineStr">
        <is>
          <t>BINANCE</t>
        </is>
      </c>
      <c r="H36" s="48" t="inlineStr">
        <is>
          <t>TOTAL  30$ TASA BINANCE</t>
        </is>
      </c>
    </row>
    <row r="37">
      <c r="A37" s="37" t="inlineStr">
        <is>
          <t>Lote 08/08/2026</t>
        </is>
      </c>
      <c r="B37" s="38" t="n">
        <v>46242</v>
      </c>
      <c r="C37" s="39" t="inlineStr">
        <is>
          <t>ENCABEZADO</t>
        </is>
      </c>
      <c r="D37" s="37" t="inlineStr">
        <is>
          <t>Lote 08/08/2026</t>
        </is>
      </c>
      <c r="E37" s="37" t="n"/>
      <c r="F37" s="37" t="n"/>
      <c r="G37" s="39" t="n"/>
      <c r="H37" s="40" t="inlineStr">
        <is>
          <t>08/08/2026</t>
        </is>
      </c>
    </row>
    <row r="38">
      <c r="A38" s="27" t="inlineStr">
        <is>
          <t>Lote 08/08/2026</t>
        </is>
      </c>
      <c r="B38" s="42" t="n">
        <v>46242</v>
      </c>
      <c r="C38" s="6" t="inlineStr">
        <is>
          <t>ÍTEM</t>
        </is>
      </c>
      <c r="D38" s="27" t="inlineStr">
        <is>
          <t>FANTASY</t>
        </is>
      </c>
      <c r="E38" s="28" t="n">
        <v>12</v>
      </c>
      <c r="F38" s="27" t="n"/>
      <c r="G38" s="6" t="n"/>
      <c r="H38" s="43" t="inlineStr">
        <is>
          <t>FANTASY  12$</t>
        </is>
      </c>
    </row>
    <row r="39">
      <c r="A39" s="27" t="inlineStr">
        <is>
          <t>Lote 08/08/2026</t>
        </is>
      </c>
      <c r="B39" s="42" t="n">
        <v>46242</v>
      </c>
      <c r="C39" s="6" t="inlineStr">
        <is>
          <t>ÍTEM</t>
        </is>
      </c>
      <c r="D39" s="27" t="inlineStr">
        <is>
          <t>AQUA DI GIO</t>
        </is>
      </c>
      <c r="E39" s="28" t="n">
        <v>12</v>
      </c>
      <c r="F39" s="27" t="n"/>
      <c r="G39" s="6" t="n"/>
      <c r="H39" s="43" t="inlineStr">
        <is>
          <t>AQUA DI GIO 12$</t>
        </is>
      </c>
    </row>
    <row r="40">
      <c r="A40" s="27" t="inlineStr">
        <is>
          <t>Lote 08/08/2026</t>
        </is>
      </c>
      <c r="B40" s="42" t="n">
        <v>46242</v>
      </c>
      <c r="C40" s="6" t="inlineStr">
        <is>
          <t>ÍTEM</t>
        </is>
      </c>
      <c r="D40" s="27" t="inlineStr">
        <is>
          <t>ARIANA GRANDE CLOUD</t>
        </is>
      </c>
      <c r="E40" s="28" t="n">
        <v>12</v>
      </c>
      <c r="F40" s="27" t="n"/>
      <c r="G40" s="6" t="n"/>
      <c r="H40" s="43" t="inlineStr">
        <is>
          <t>ARIANA GRANDE CLOUD 12$</t>
        </is>
      </c>
    </row>
    <row r="41">
      <c r="A41" s="27" t="inlineStr">
        <is>
          <t>Lote 08/08/2026</t>
        </is>
      </c>
      <c r="B41" s="42" t="n">
        <v>46242</v>
      </c>
      <c r="C41" s="6" t="inlineStr">
        <is>
          <t>ÍTEM</t>
        </is>
      </c>
      <c r="D41" s="27" t="inlineStr">
        <is>
          <t>ASAD</t>
        </is>
      </c>
      <c r="E41" s="28" t="n">
        <v>12</v>
      </c>
      <c r="F41" s="27" t="n"/>
      <c r="G41" s="6" t="n"/>
      <c r="H41" s="43" t="inlineStr">
        <is>
          <t>ASAD 12$</t>
        </is>
      </c>
    </row>
    <row r="42">
      <c r="A42" s="27" t="inlineStr">
        <is>
          <t>Lote 08/08/2026</t>
        </is>
      </c>
      <c r="B42" s="42" t="n">
        <v>46242</v>
      </c>
      <c r="C42" s="6" t="inlineStr">
        <is>
          <t>ÍTEM</t>
        </is>
      </c>
      <c r="D42" s="27" t="inlineStr">
        <is>
          <t>YARA ELIXIR</t>
        </is>
      </c>
      <c r="E42" s="28" t="n">
        <v>12</v>
      </c>
      <c r="F42" s="27" t="n"/>
      <c r="G42" s="6" t="n"/>
      <c r="H42" s="43" t="inlineStr">
        <is>
          <t>YARA ELIXIR 12$</t>
        </is>
      </c>
    </row>
    <row r="43">
      <c r="A43" s="27" t="inlineStr">
        <is>
          <t>Lote 08/08/2026</t>
        </is>
      </c>
      <c r="B43" s="42" t="n">
        <v>46242</v>
      </c>
      <c r="C43" s="6" t="inlineStr">
        <is>
          <t>ÍTEM</t>
        </is>
      </c>
      <c r="D43" s="27" t="inlineStr">
        <is>
          <t>212 VIP MEN</t>
        </is>
      </c>
      <c r="E43" s="28" t="n">
        <v>12</v>
      </c>
      <c r="F43" s="27" t="n"/>
      <c r="G43" s="6" t="n"/>
      <c r="H43" s="43" t="inlineStr">
        <is>
          <t>212 VIP MEN 12$</t>
        </is>
      </c>
    </row>
    <row r="44">
      <c r="A44" s="27" t="inlineStr">
        <is>
          <t>Lote 08/08/2026</t>
        </is>
      </c>
      <c r="B44" s="42" t="n">
        <v>46242</v>
      </c>
      <c r="C44" s="6" t="inlineStr">
        <is>
          <t>ÍTEM</t>
        </is>
      </c>
      <c r="D44" s="27" t="inlineStr">
        <is>
          <t>EROS FLAME</t>
        </is>
      </c>
      <c r="E44" s="28" t="n">
        <v>12</v>
      </c>
      <c r="F44" s="27" t="n"/>
      <c r="G44" s="6" t="n"/>
      <c r="H44" s="43" t="inlineStr">
        <is>
          <t>EROS FLAME 12$</t>
        </is>
      </c>
    </row>
    <row r="45">
      <c r="A45" s="27" t="inlineStr">
        <is>
          <t>Lote 08/08/2026</t>
        </is>
      </c>
      <c r="B45" s="42" t="n">
        <v>46242</v>
      </c>
      <c r="C45" s="6" t="inlineStr">
        <is>
          <t>ÍTEM</t>
        </is>
      </c>
      <c r="D45" s="27" t="inlineStr">
        <is>
          <t>LE LABO SANTAL 33</t>
        </is>
      </c>
      <c r="E45" s="28" t="n">
        <v>12</v>
      </c>
      <c r="F45" s="27" t="n"/>
      <c r="G45" s="6" t="n"/>
      <c r="H45" s="43" t="inlineStr">
        <is>
          <t>LE LABO SANTAL 33 12$</t>
        </is>
      </c>
    </row>
    <row r="46">
      <c r="A46" s="27" t="inlineStr">
        <is>
          <t>Lote 08/08/2026</t>
        </is>
      </c>
      <c r="B46" s="42" t="n">
        <v>46242</v>
      </c>
      <c r="C46" s="6" t="inlineStr">
        <is>
          <t>ÍTEM</t>
        </is>
      </c>
      <c r="D46" s="27" t="inlineStr">
        <is>
          <t>SAUVAGE DIOR</t>
        </is>
      </c>
      <c r="E46" s="28" t="n">
        <v>12</v>
      </c>
      <c r="F46" s="27" t="n"/>
      <c r="G46" s="6" t="n"/>
      <c r="H46" s="43" t="inlineStr">
        <is>
          <t>SAUVAGE DIOR 12$</t>
        </is>
      </c>
    </row>
    <row r="47">
      <c r="A47" s="27" t="inlineStr">
        <is>
          <t>Lote 08/08/2026</t>
        </is>
      </c>
      <c r="B47" s="42" t="n">
        <v>46242</v>
      </c>
      <c r="C47" s="6" t="inlineStr">
        <is>
          <t>ÍTEM</t>
        </is>
      </c>
      <c r="D47" s="27" t="inlineStr">
        <is>
          <t>TOMY MEN</t>
        </is>
      </c>
      <c r="E47" s="28" t="n">
        <v>12</v>
      </c>
      <c r="F47" s="27" t="n"/>
      <c r="G47" s="6" t="n"/>
      <c r="H47" s="43" t="inlineStr">
        <is>
          <t>TOMY MEN 12$</t>
        </is>
      </c>
    </row>
    <row r="48">
      <c r="A48" s="27" t="inlineStr">
        <is>
          <t>Lote 08/08/2026</t>
        </is>
      </c>
      <c r="B48" s="42" t="n">
        <v>46242</v>
      </c>
      <c r="C48" s="6" t="inlineStr">
        <is>
          <t>ÍTEM</t>
        </is>
      </c>
      <c r="D48" s="27" t="inlineStr">
        <is>
          <t>ASAD BOURBOND</t>
        </is>
      </c>
      <c r="E48" s="28" t="n">
        <v>12</v>
      </c>
      <c r="F48" s="27" t="n"/>
      <c r="G48" s="6" t="n"/>
      <c r="H48" s="43" t="inlineStr">
        <is>
          <t>ASAD BOURBOND 12$</t>
        </is>
      </c>
    </row>
    <row r="49">
      <c r="A49" s="27" t="inlineStr">
        <is>
          <t>Lote 08/08/2026</t>
        </is>
      </c>
      <c r="B49" s="42" t="n">
        <v>46242</v>
      </c>
      <c r="C49" s="6" t="inlineStr">
        <is>
          <t>ÍTEM</t>
        </is>
      </c>
      <c r="D49" s="27" t="inlineStr">
        <is>
          <t>BHARARA BLUE</t>
        </is>
      </c>
      <c r="E49" s="28" t="n">
        <v>18</v>
      </c>
      <c r="F49" s="27" t="n"/>
      <c r="G49" s="6" t="n"/>
      <c r="H49" s="43" t="inlineStr">
        <is>
          <t>BHARARA BLUE 18$</t>
        </is>
      </c>
    </row>
    <row r="50">
      <c r="A50" s="27" t="inlineStr">
        <is>
          <t>Lote 08/08/2026</t>
        </is>
      </c>
      <c r="B50" s="42" t="n">
        <v>46242</v>
      </c>
      <c r="C50" s="6" t="inlineStr">
        <is>
          <t>ÍTEM</t>
        </is>
      </c>
      <c r="D50" s="27" t="inlineStr">
        <is>
          <t>POLO BLUE</t>
        </is>
      </c>
      <c r="E50" s="28" t="n">
        <v>12</v>
      </c>
      <c r="F50" s="27" t="n"/>
      <c r="G50" s="6" t="n"/>
      <c r="H50" s="43" t="inlineStr">
        <is>
          <t>POLO BLUE 12$</t>
        </is>
      </c>
    </row>
    <row r="51">
      <c r="A51" s="27" t="inlineStr">
        <is>
          <t>Lote 08/08/2026</t>
        </is>
      </c>
      <c r="B51" s="42" t="n">
        <v>46242</v>
      </c>
      <c r="C51" s="6" t="inlineStr">
        <is>
          <t>ÍTEM</t>
        </is>
      </c>
      <c r="D51" s="27" t="inlineStr">
        <is>
          <t>MANDARIN SKY</t>
        </is>
      </c>
      <c r="E51" s="28" t="n">
        <v>14</v>
      </c>
      <c r="F51" s="27" t="n"/>
      <c r="G51" s="6" t="n"/>
      <c r="H51" s="43" t="inlineStr">
        <is>
          <t>MANDARIN SKY 14$</t>
        </is>
      </c>
    </row>
    <row r="52">
      <c r="A52" s="44" t="inlineStr">
        <is>
          <t>Lote 08/08/2026</t>
        </is>
      </c>
      <c r="B52" s="45" t="n">
        <v>46242</v>
      </c>
      <c r="C52" s="46" t="inlineStr">
        <is>
          <t>SUBTOTAL</t>
        </is>
      </c>
      <c r="D52" s="44" t="inlineStr">
        <is>
          <t>Subtotal declarado del lote</t>
        </is>
      </c>
      <c r="E52" s="47" t="n">
        <v>176</v>
      </c>
      <c r="F52" s="44" t="n"/>
      <c r="G52" s="46" t="inlineStr">
        <is>
          <t>BINANCE</t>
        </is>
      </c>
      <c r="H52" s="48" t="inlineStr">
        <is>
          <t>TASA BINANCE 176$</t>
        </is>
      </c>
    </row>
    <row r="53">
      <c r="A53" s="37" t="inlineStr">
        <is>
          <t>Lote 10/08/2026</t>
        </is>
      </c>
      <c r="B53" s="38" t="n">
        <v>46244</v>
      </c>
      <c r="C53" s="39" t="inlineStr">
        <is>
          <t>ENCABEZADO</t>
        </is>
      </c>
      <c r="D53" s="37" t="inlineStr">
        <is>
          <t>Lote 10/08/2026</t>
        </is>
      </c>
      <c r="E53" s="37" t="n"/>
      <c r="F53" s="37" t="n"/>
      <c r="G53" s="39" t="n"/>
      <c r="H53" s="40" t="inlineStr">
        <is>
          <t>10/08/2026</t>
        </is>
      </c>
    </row>
    <row r="54">
      <c r="A54" s="27" t="inlineStr">
        <is>
          <t>Lote 10/08/2026</t>
        </is>
      </c>
      <c r="B54" s="42" t="n">
        <v>46244</v>
      </c>
      <c r="C54" s="6" t="inlineStr">
        <is>
          <t>ÍTEM</t>
        </is>
      </c>
      <c r="D54" s="27" t="inlineStr">
        <is>
          <t>DECANST</t>
        </is>
      </c>
      <c r="E54" s="28" t="n">
        <v>1</v>
      </c>
      <c r="F54" s="27" t="n"/>
      <c r="G54" s="6" t="n"/>
      <c r="H54" s="43" t="inlineStr">
        <is>
          <t>DECANST 1$</t>
        </is>
      </c>
    </row>
    <row r="55">
      <c r="A55" s="27" t="inlineStr">
        <is>
          <t>Lote 10/08/2026</t>
        </is>
      </c>
      <c r="B55" s="42" t="n">
        <v>46244</v>
      </c>
      <c r="C55" s="6" t="inlineStr">
        <is>
          <t>ÍTEM</t>
        </is>
      </c>
      <c r="D55" s="27" t="inlineStr">
        <is>
          <t>MANDARIN SKY</t>
        </is>
      </c>
      <c r="E55" s="28" t="n">
        <v>15</v>
      </c>
      <c r="F55" s="27" t="n"/>
      <c r="G55" s="6" t="n"/>
      <c r="H55" s="43" t="inlineStr">
        <is>
          <t>MANDARIN SKY 15$</t>
        </is>
      </c>
    </row>
    <row r="56">
      <c r="A56" s="27" t="inlineStr">
        <is>
          <t>Lote 10/08/2026</t>
        </is>
      </c>
      <c r="B56" s="42" t="n">
        <v>46244</v>
      </c>
      <c r="C56" s="6" t="inlineStr">
        <is>
          <t>ÍTEM</t>
        </is>
      </c>
      <c r="D56" s="27" t="inlineStr">
        <is>
          <t>MANDARIN SKY</t>
        </is>
      </c>
      <c r="E56" s="28" t="n">
        <v>15</v>
      </c>
      <c r="F56" s="27" t="n"/>
      <c r="G56" s="6" t="n"/>
      <c r="H56" s="43" t="inlineStr">
        <is>
          <t>MANDARIN SKY 15$</t>
        </is>
      </c>
    </row>
    <row r="57">
      <c r="A57" s="27" t="inlineStr">
        <is>
          <t>Lote 10/08/2026</t>
        </is>
      </c>
      <c r="B57" s="42" t="n">
        <v>46244</v>
      </c>
      <c r="C57" s="6" t="inlineStr">
        <is>
          <t>ÍTEM</t>
        </is>
      </c>
      <c r="D57" s="27" t="inlineStr">
        <is>
          <t>SAUVAGE DIOR</t>
        </is>
      </c>
      <c r="E57" s="28" t="n">
        <v>13</v>
      </c>
      <c r="F57" s="27" t="n"/>
      <c r="G57" s="6" t="n"/>
      <c r="H57" s="43" t="inlineStr">
        <is>
          <t>SAUVAGE DIOR 13$</t>
        </is>
      </c>
    </row>
    <row r="58">
      <c r="A58" s="27" t="inlineStr">
        <is>
          <t>Lote 10/08/2026</t>
        </is>
      </c>
      <c r="B58" s="42" t="n">
        <v>46244</v>
      </c>
      <c r="C58" s="6" t="inlineStr">
        <is>
          <t>ÍTEM</t>
        </is>
      </c>
      <c r="D58" s="27" t="inlineStr">
        <is>
          <t>SAUVAGE DIOR</t>
        </is>
      </c>
      <c r="E58" s="28" t="n">
        <v>13</v>
      </c>
      <c r="F58" s="27" t="n"/>
      <c r="G58" s="6" t="n"/>
      <c r="H58" s="43" t="inlineStr">
        <is>
          <t>SAUVAGE DIOR 13$</t>
        </is>
      </c>
    </row>
    <row r="59">
      <c r="A59" s="27" t="inlineStr">
        <is>
          <t>Lote 10/08/2026</t>
        </is>
      </c>
      <c r="B59" s="42" t="n">
        <v>46244</v>
      </c>
      <c r="C59" s="6" t="inlineStr">
        <is>
          <t>ÍTEM</t>
        </is>
      </c>
      <c r="D59" s="27" t="inlineStr">
        <is>
          <t>SAUVAGE DIOR</t>
        </is>
      </c>
      <c r="E59" s="28" t="n">
        <v>13</v>
      </c>
      <c r="F59" s="27" t="n"/>
      <c r="G59" s="6" t="n"/>
      <c r="H59" s="43" t="inlineStr">
        <is>
          <t>SAUVAGE DIOR 13$</t>
        </is>
      </c>
    </row>
    <row r="60">
      <c r="A60" s="27" t="inlineStr">
        <is>
          <t>Lote 10/08/2026</t>
        </is>
      </c>
      <c r="B60" s="42" t="n">
        <v>46244</v>
      </c>
      <c r="C60" s="6" t="inlineStr">
        <is>
          <t>ÍTEM</t>
        </is>
      </c>
      <c r="D60" s="27" t="inlineStr">
        <is>
          <t>SAUVAGE DIOR</t>
        </is>
      </c>
      <c r="E60" s="28" t="n">
        <v>13</v>
      </c>
      <c r="F60" s="27" t="n"/>
      <c r="G60" s="6" t="n"/>
      <c r="H60" s="43" t="inlineStr">
        <is>
          <t>SAUVAGE DIOR 13$</t>
        </is>
      </c>
    </row>
    <row r="61">
      <c r="A61" s="27" t="inlineStr">
        <is>
          <t>Lote 10/08/2026</t>
        </is>
      </c>
      <c r="B61" s="42" t="n">
        <v>46244</v>
      </c>
      <c r="C61" s="6" t="inlineStr">
        <is>
          <t>ÍTEM</t>
        </is>
      </c>
      <c r="D61" s="27" t="inlineStr">
        <is>
          <t>ACQUA DI GIO</t>
        </is>
      </c>
      <c r="E61" s="28" t="n">
        <v>13</v>
      </c>
      <c r="F61" s="27" t="n"/>
      <c r="G61" s="6" t="n"/>
      <c r="H61" s="43" t="inlineStr">
        <is>
          <t>ACQUA DI GIO 13$</t>
        </is>
      </c>
    </row>
    <row r="62">
      <c r="A62" s="27" t="inlineStr">
        <is>
          <t>Lote 10/08/2026</t>
        </is>
      </c>
      <c r="B62" s="42" t="n">
        <v>46244</v>
      </c>
      <c r="C62" s="6" t="inlineStr">
        <is>
          <t>ÍTEM</t>
        </is>
      </c>
      <c r="D62" s="27" t="inlineStr">
        <is>
          <t>ACQUA DI GIO</t>
        </is>
      </c>
      <c r="E62" s="28" t="n">
        <v>13</v>
      </c>
      <c r="F62" s="27" t="n"/>
      <c r="G62" s="6" t="n"/>
      <c r="H62" s="43" t="inlineStr">
        <is>
          <t>ACQUA DI GIO 13$</t>
        </is>
      </c>
    </row>
    <row r="63">
      <c r="A63" s="44" t="inlineStr">
        <is>
          <t>Lote 10/08/2026</t>
        </is>
      </c>
      <c r="B63" s="45" t="n">
        <v>46244</v>
      </c>
      <c r="C63" s="46" t="inlineStr">
        <is>
          <t>SUBTOTAL</t>
        </is>
      </c>
      <c r="D63" s="44" t="inlineStr">
        <is>
          <t>Subtotal declarado del lote</t>
        </is>
      </c>
      <c r="E63" s="47" t="n">
        <v>109</v>
      </c>
      <c r="F63" s="44" t="n"/>
      <c r="G63" s="46" t="inlineStr">
        <is>
          <t>BINANCE</t>
        </is>
      </c>
      <c r="H63" s="48" t="inlineStr">
        <is>
          <t xml:space="preserve"> TASA BINANCE 109$</t>
        </is>
      </c>
    </row>
    <row r="64">
      <c r="A64" s="37" t="inlineStr">
        <is>
          <t>Lote 12/06/2026</t>
        </is>
      </c>
      <c r="B64" s="38" t="n">
        <v>46185</v>
      </c>
      <c r="C64" s="39" t="inlineStr">
        <is>
          <t>ENCABEZADO</t>
        </is>
      </c>
      <c r="D64" s="37" t="inlineStr">
        <is>
          <t>Lote 12/06/2026</t>
        </is>
      </c>
      <c r="E64" s="37" t="n"/>
      <c r="F64" s="37" t="n"/>
      <c r="G64" s="39" t="n"/>
      <c r="H64" s="40" t="inlineStr">
        <is>
          <t>12/06/2026</t>
        </is>
      </c>
    </row>
    <row r="65">
      <c r="A65" s="27" t="inlineStr">
        <is>
          <t>Lote 12/06/2026</t>
        </is>
      </c>
      <c r="B65" s="42" t="n">
        <v>46185</v>
      </c>
      <c r="C65" s="6" t="inlineStr">
        <is>
          <t>ÍTEM</t>
        </is>
      </c>
      <c r="D65" s="27" t="inlineStr">
        <is>
          <t>CLUD DE NUIT INTENSE</t>
        </is>
      </c>
      <c r="E65" s="28" t="n">
        <v>15</v>
      </c>
      <c r="F65" s="27" t="n"/>
      <c r="G65" s="6" t="n"/>
      <c r="H65" s="43" t="inlineStr">
        <is>
          <t>CLUD DE NUIT INTENSE 15$</t>
        </is>
      </c>
    </row>
    <row r="66">
      <c r="A66" s="44" t="inlineStr">
        <is>
          <t>Lote 12/06/2026</t>
        </is>
      </c>
      <c r="B66" s="45" t="n">
        <v>46185</v>
      </c>
      <c r="C66" s="46" t="inlineStr">
        <is>
          <t>SUBTOTAL</t>
        </is>
      </c>
      <c r="D66" s="44" t="inlineStr">
        <is>
          <t>Subtotal declarado del lote</t>
        </is>
      </c>
      <c r="E66" s="47" t="n">
        <v>15</v>
      </c>
      <c r="F66" s="44" t="n"/>
      <c r="G66" s="46" t="inlineStr">
        <is>
          <t>BINANCE</t>
        </is>
      </c>
      <c r="H66" s="48" t="inlineStr">
        <is>
          <t>TASA BINANCE 15$</t>
        </is>
      </c>
    </row>
    <row r="67">
      <c r="A67" s="37" t="inlineStr">
        <is>
          <t>PEDIDO CARACAS LUKA STORE</t>
        </is>
      </c>
      <c r="B67" s="39" t="n"/>
      <c r="C67" s="39" t="inlineStr">
        <is>
          <t>ENCABEZADO</t>
        </is>
      </c>
      <c r="D67" s="37" t="inlineStr">
        <is>
          <t>PEDIDO CARACAS LUKA STORE</t>
        </is>
      </c>
      <c r="E67" s="37" t="n"/>
      <c r="F67" s="37" t="n"/>
      <c r="G67" s="39" t="n"/>
      <c r="H67" s="40" t="inlineStr">
        <is>
          <t xml:space="preserve">PEDIDO CARACAS LUKA STORE </t>
        </is>
      </c>
    </row>
    <row r="68">
      <c r="A68" s="27" t="inlineStr">
        <is>
          <t>PEDIDO CARACAS LUKA STORE</t>
        </is>
      </c>
      <c r="B68" s="6" t="n"/>
      <c r="C68" s="6" t="inlineStr">
        <is>
          <t>ÍTEM</t>
        </is>
      </c>
      <c r="D68" s="27" t="inlineStr">
        <is>
          <t>SCANDAL</t>
        </is>
      </c>
      <c r="E68" s="28" t="n">
        <v>9.1</v>
      </c>
      <c r="F68" s="27" t="n"/>
      <c r="G68" s="6" t="n"/>
      <c r="H68" s="43" t="inlineStr">
        <is>
          <t>SCANDAL  9.10$</t>
        </is>
      </c>
    </row>
    <row r="69">
      <c r="A69" s="27" t="inlineStr">
        <is>
          <t>PEDIDO CARACAS LUKA STORE</t>
        </is>
      </c>
      <c r="B69" s="6" t="n"/>
      <c r="C69" s="6" t="inlineStr">
        <is>
          <t>ÍTEM</t>
        </is>
      </c>
      <c r="D69" s="27" t="inlineStr">
        <is>
          <t>SCANDAL</t>
        </is>
      </c>
      <c r="E69" s="28" t="n">
        <v>9.1</v>
      </c>
      <c r="F69" s="27" t="n"/>
      <c r="G69" s="6" t="n"/>
      <c r="H69" s="43" t="inlineStr">
        <is>
          <t>SCANDAL  9.10$</t>
        </is>
      </c>
    </row>
    <row r="70">
      <c r="A70" s="27" t="inlineStr">
        <is>
          <t>PEDIDO CARACAS LUKA STORE</t>
        </is>
      </c>
      <c r="B70" s="6" t="n"/>
      <c r="C70" s="6" t="inlineStr">
        <is>
          <t>ÍTEM</t>
        </is>
      </c>
      <c r="D70" s="27" t="inlineStr">
        <is>
          <t>ISSEY MIYAKE</t>
        </is>
      </c>
      <c r="E70" s="28" t="n">
        <v>7.5</v>
      </c>
      <c r="F70" s="27" t="n"/>
      <c r="G70" s="6" t="n"/>
      <c r="H70" s="43" t="inlineStr">
        <is>
          <t>ISSEY MIYAKE 7.50$</t>
        </is>
      </c>
    </row>
    <row r="71">
      <c r="A71" s="27" t="inlineStr">
        <is>
          <t>PEDIDO CARACAS LUKA STORE</t>
        </is>
      </c>
      <c r="B71" s="6" t="n"/>
      <c r="C71" s="6" t="inlineStr">
        <is>
          <t>ÍTEM</t>
        </is>
      </c>
      <c r="D71" s="27" t="inlineStr">
        <is>
          <t>ISSEY MIYAKE</t>
        </is>
      </c>
      <c r="E71" s="28" t="n">
        <v>7.5</v>
      </c>
      <c r="F71" s="27" t="n"/>
      <c r="G71" s="6" t="n"/>
      <c r="H71" s="43" t="inlineStr">
        <is>
          <t>ISSEY MIYAKE 7.50$</t>
        </is>
      </c>
    </row>
    <row r="72">
      <c r="A72" s="27" t="inlineStr">
        <is>
          <t>PEDIDO CARACAS LUKA STORE</t>
        </is>
      </c>
      <c r="B72" s="6" t="n"/>
      <c r="C72" s="6" t="inlineStr">
        <is>
          <t>ÍTEM</t>
        </is>
      </c>
      <c r="D72" s="27" t="inlineStr">
        <is>
          <t>ISSEY MIYAKE</t>
        </is>
      </c>
      <c r="E72" s="28" t="n">
        <v>7.5</v>
      </c>
      <c r="F72" s="27" t="n"/>
      <c r="G72" s="6" t="n"/>
      <c r="H72" s="43" t="inlineStr">
        <is>
          <t>ISSEY MIYAKE 7.50$</t>
        </is>
      </c>
    </row>
    <row r="73">
      <c r="A73" s="27" t="inlineStr">
        <is>
          <t>PEDIDO CARACAS LUKA STORE</t>
        </is>
      </c>
      <c r="B73" s="6" t="n"/>
      <c r="C73" s="6" t="inlineStr">
        <is>
          <t>ÍTEM</t>
        </is>
      </c>
      <c r="D73" s="27" t="inlineStr">
        <is>
          <t>CLUD DE NUIT MALEKA</t>
        </is>
      </c>
      <c r="E73" s="28" t="n">
        <v>9.1</v>
      </c>
      <c r="F73" s="27" t="n"/>
      <c r="G73" s="6" t="n"/>
      <c r="H73" s="43" t="inlineStr">
        <is>
          <t>CLUD DE NUIT MALEKA 9.10$</t>
        </is>
      </c>
    </row>
    <row r="74">
      <c r="A74" s="27" t="inlineStr">
        <is>
          <t>PEDIDO CARACAS LUKA STORE</t>
        </is>
      </c>
      <c r="B74" s="6" t="n"/>
      <c r="C74" s="6" t="inlineStr">
        <is>
          <t>ÍTEM</t>
        </is>
      </c>
      <c r="D74" s="27" t="inlineStr">
        <is>
          <t>INVICTUS</t>
        </is>
      </c>
      <c r="E74" s="28" t="n">
        <v>7.35</v>
      </c>
      <c r="F74" s="27" t="n"/>
      <c r="G74" s="6" t="n"/>
      <c r="H74" s="43" t="inlineStr">
        <is>
          <t>INVICTUS 7.35$</t>
        </is>
      </c>
    </row>
    <row r="75">
      <c r="A75" s="44" t="inlineStr">
        <is>
          <t>PEDIDO CARACAS LUKA STORE</t>
        </is>
      </c>
      <c r="B75" s="46" t="n"/>
      <c r="C75" s="46" t="inlineStr">
        <is>
          <t>SUBTOTAL</t>
        </is>
      </c>
      <c r="D75" s="44" t="inlineStr">
        <is>
          <t>Subtotal declarado del lote</t>
        </is>
      </c>
      <c r="E75" s="47" t="n">
        <v>59</v>
      </c>
      <c r="F75" s="44" t="n"/>
      <c r="G75" s="46" t="inlineStr">
        <is>
          <t>BINANCE</t>
        </is>
      </c>
      <c r="H75" s="48" t="inlineStr">
        <is>
          <t>TASA BINANCE 59 $</t>
        </is>
      </c>
    </row>
    <row r="76">
      <c r="A76" s="54" t="inlineStr">
        <is>
          <t>PEDIDO CARACAS LUKA STORE</t>
        </is>
      </c>
      <c r="B76" s="55" t="n"/>
      <c r="C76" s="55" t="inlineStr">
        <is>
          <t>GASTO</t>
        </is>
      </c>
      <c r="D76" s="54" t="inlineStr">
        <is>
          <t>GASTO ENVÍO PEDIDO DE CARACAS</t>
        </is>
      </c>
      <c r="E76" s="56" t="n">
        <v>14.92</v>
      </c>
      <c r="F76" s="57" t="n">
        <v>13000</v>
      </c>
      <c r="G76" s="55" t="inlineStr">
        <is>
          <t>BINANCE</t>
        </is>
      </c>
      <c r="H76" s="58" t="inlineStr">
        <is>
          <t>GASTO ENVIO PEDIDO DE CARACAS 13.000 14.92 BINANCE</t>
        </is>
      </c>
    </row>
    <row r="77">
      <c r="A77" s="37" t="inlineStr">
        <is>
          <t>Lote 12/08/2026</t>
        </is>
      </c>
      <c r="B77" s="38" t="n">
        <v>46246</v>
      </c>
      <c r="C77" s="39" t="inlineStr">
        <is>
          <t>ENCABEZADO</t>
        </is>
      </c>
      <c r="D77" s="37" t="inlineStr">
        <is>
          <t>Lote 12/08/2026</t>
        </is>
      </c>
      <c r="E77" s="37" t="n"/>
      <c r="F77" s="37" t="n"/>
      <c r="G77" s="39" t="n"/>
      <c r="H77" s="40" t="inlineStr">
        <is>
          <t>12/08/2026</t>
        </is>
      </c>
    </row>
    <row r="78">
      <c r="A78" s="27" t="inlineStr">
        <is>
          <t>Lote 12/08/2026</t>
        </is>
      </c>
      <c r="B78" s="42" t="n">
        <v>46246</v>
      </c>
      <c r="C78" s="6" t="inlineStr">
        <is>
          <t>ÍTEM</t>
        </is>
      </c>
      <c r="D78" s="27" t="inlineStr">
        <is>
          <t>9PM REBEL ORIGINAL</t>
        </is>
      </c>
      <c r="E78" s="28" t="n">
        <v>50</v>
      </c>
      <c r="F78" s="27" t="n"/>
      <c r="G78" s="6" t="inlineStr">
        <is>
          <t>BINANCE</t>
        </is>
      </c>
      <c r="H78" s="43" t="inlineStr">
        <is>
          <t xml:space="preserve">9PM REBEL ORIGINAL 50$ BINANCE </t>
        </is>
      </c>
    </row>
    <row r="79">
      <c r="A79" s="54" t="inlineStr">
        <is>
          <t>Lote 12/08/2026</t>
        </is>
      </c>
      <c r="B79" s="59" t="n">
        <v>46246</v>
      </c>
      <c r="C79" s="55" t="inlineStr">
        <is>
          <t>GASTO</t>
        </is>
      </c>
      <c r="D79" s="54" t="inlineStr">
        <is>
          <t>GASTO MUESTRA DE CLIENTE — DECANT (comprado el 10/08/2026)</t>
        </is>
      </c>
      <c r="E79" s="56" t="n">
        <v>1</v>
      </c>
      <c r="F79" s="54" t="n"/>
      <c r="G79" s="55" t="n"/>
      <c r="H79" s="58" t="inlineStr">
        <is>
          <t>GASTO MUESTRA DE CLIENTE DECANST 1 $ COMPRADO EL 10/08/2026</t>
        </is>
      </c>
    </row>
    <row r="80">
      <c r="A80" s="54" t="inlineStr">
        <is>
          <t>Lote 12/08/2026</t>
        </is>
      </c>
      <c r="B80" s="59" t="n">
        <v>46246</v>
      </c>
      <c r="C80" s="55" t="inlineStr">
        <is>
          <t>GASTO</t>
        </is>
      </c>
      <c r="D80" s="54" t="inlineStr">
        <is>
          <t>GASTO YUMMY (referencia 0612)</t>
        </is>
      </c>
      <c r="E80" s="56" t="n">
        <v>3.34</v>
      </c>
      <c r="F80" s="57" t="n">
        <v>2932</v>
      </c>
      <c r="G80" s="55" t="inlineStr">
        <is>
          <t>BINANCE</t>
        </is>
      </c>
      <c r="H80" s="58" t="inlineStr">
        <is>
          <t>GASTO YUMMY 2.932,00 REFERENCIA 0612  3.34 BINANCE</t>
        </is>
      </c>
    </row>
  </sheetData>
  <mergeCells count="2">
    <mergeCell ref="A2:G2"/>
    <mergeCell ref="J3:M3"/>
  </mergeCells>
  <conditionalFormatting sqref="M5:M13">
    <cfRule type="cellIs" priority="1" operator="notEqual" dxfId="3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2E6F82"/>
    <outlinePr summaryBelow="1" summaryRight="1"/>
    <pageSetUpPr/>
  </sheetPr>
  <dimension ref="A1:D3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21" customWidth="1" min="2" max="2"/>
    <col width="21" customWidth="1" min="3" max="3"/>
    <col width="21" customWidth="1" min="4" max="4"/>
  </cols>
  <sheetData>
    <row r="1">
      <c r="A1" s="1" t="inlineStr">
        <is>
          <t>LISTA DE PRECIOS — PERFUMES ORIGINALES</t>
        </is>
      </c>
    </row>
    <row r="2">
      <c r="A2" s="2" t="inlineStr">
        <is>
          <t>Los descuentos salen de PARÁMETROS (DESC_TEAM / DESC_REVENDEDOR). Solo se edita el Precio Original.</t>
        </is>
      </c>
    </row>
    <row r="3" ht="30" customHeight="1">
      <c r="A3" s="3" t="inlineStr">
        <is>
          <t>PRODUCTO</t>
        </is>
      </c>
      <c r="B3" s="3" t="inlineStr">
        <is>
          <t>PRECIO ORIGINAL ($)</t>
        </is>
      </c>
      <c r="C3" s="3" t="inlineStr">
        <is>
          <t>PRECIO TEAM ($)</t>
        </is>
      </c>
      <c r="D3" s="3" t="inlineStr">
        <is>
          <t>PRECIO REVENDEDOR ($)</t>
        </is>
      </c>
    </row>
    <row r="4">
      <c r="A4" s="27" t="inlineStr">
        <is>
          <t>A.Banderas, black seduction</t>
        </is>
      </c>
      <c r="B4" s="60" t="n">
        <v>50</v>
      </c>
      <c r="C4" s="29">
        <f>IF(B4="","",ROUND(B4*(1-DESC_TEAM),2))</f>
        <v/>
      </c>
      <c r="D4" s="29">
        <f>IF(B4="","",ROUND(B4*(1-DESC_REVENDEDOR),2))</f>
        <v/>
      </c>
    </row>
    <row r="5">
      <c r="A5" s="27" t="inlineStr">
        <is>
          <t>A. Banderas, Blue seduction</t>
        </is>
      </c>
      <c r="B5" s="60" t="n">
        <v>50</v>
      </c>
      <c r="C5" s="29">
        <f>IF(B5="","",ROUND(B5*(1-DESC_TEAM),2))</f>
        <v/>
      </c>
      <c r="D5" s="29">
        <f>IF(B5="","",ROUND(B5*(1-DESC_REVENDEDOR),2))</f>
        <v/>
      </c>
    </row>
    <row r="6">
      <c r="A6" s="27" t="inlineStr">
        <is>
          <t>A. Banderas, The Golden secret</t>
        </is>
      </c>
      <c r="B6" s="60" t="n">
        <v>50</v>
      </c>
      <c r="C6" s="29">
        <f>IF(B6="","",ROUND(B6*(1-DESC_TEAM),2))</f>
        <v/>
      </c>
      <c r="D6" s="29">
        <f>IF(B6="","",ROUND(B6*(1-DESC_REVENDEDOR),2))</f>
        <v/>
      </c>
    </row>
    <row r="7">
      <c r="A7" s="27" t="inlineStr">
        <is>
          <t>A. Banderas the icon</t>
        </is>
      </c>
      <c r="B7" s="60" t="n">
        <v>50</v>
      </c>
      <c r="C7" s="29">
        <f>IF(B7="","",ROUND(B7*(1-DESC_TEAM),2))</f>
        <v/>
      </c>
      <c r="D7" s="29">
        <f>IF(B7="","",ROUND(B7*(1-DESC_REVENDEDOR),2))</f>
        <v/>
      </c>
    </row>
    <row r="8">
      <c r="A8" s="27" t="inlineStr">
        <is>
          <t>A. Banderas The Icon (Black)</t>
        </is>
      </c>
      <c r="B8" s="60" t="n">
        <v>50</v>
      </c>
      <c r="C8" s="29">
        <f>IF(B8="","",ROUND(B8*(1-DESC_TEAM),2))</f>
        <v/>
      </c>
      <c r="D8" s="29">
        <f>IF(B8="","",ROUND(B8*(1-DESC_REVENDEDOR),2))</f>
        <v/>
      </c>
    </row>
    <row r="9">
      <c r="A9" s="27" t="inlineStr">
        <is>
          <t>Afnan, 9pm</t>
        </is>
      </c>
      <c r="B9" s="60" t="n">
        <v>67</v>
      </c>
      <c r="C9" s="29">
        <f>IF(B9="","",ROUND(B9*(1-DESC_TEAM),2))</f>
        <v/>
      </c>
      <c r="D9" s="29">
        <f>IF(B9="","",ROUND(B9*(1-DESC_REVENDEDOR),2))</f>
        <v/>
      </c>
    </row>
    <row r="10">
      <c r="A10" s="27" t="inlineStr">
        <is>
          <t>Ariana grande, CLOUD</t>
        </is>
      </c>
      <c r="B10" s="60" t="n">
        <v>120</v>
      </c>
      <c r="C10" s="29">
        <f>IF(B10="","",ROUND(B10*(1-DESC_TEAM),2))</f>
        <v/>
      </c>
      <c r="D10" s="29">
        <f>IF(B10="","",ROUND(B10*(1-DESC_REVENDEDOR),2))</f>
        <v/>
      </c>
    </row>
    <row r="11">
      <c r="A11" s="27" t="inlineStr">
        <is>
          <t>Armaf, club de nuit iconic</t>
        </is>
      </c>
      <c r="B11" s="60" t="n">
        <v>93</v>
      </c>
      <c r="C11" s="29">
        <f>IF(B11="","",ROUND(B11*(1-DESC_TEAM),2))</f>
        <v/>
      </c>
      <c r="D11" s="29">
        <f>IF(B11="","",ROUND(B11*(1-DESC_REVENDEDOR),2))</f>
        <v/>
      </c>
    </row>
    <row r="12">
      <c r="A12" s="27" t="inlineStr">
        <is>
          <t>Armaf, Club de nuit intense man</t>
        </is>
      </c>
      <c r="B12" s="60" t="n">
        <v>68</v>
      </c>
      <c r="C12" s="29">
        <f>IF(B12="","",ROUND(B12*(1-DESC_TEAM),2))</f>
        <v/>
      </c>
      <c r="D12" s="29">
        <f>IF(B12="","",ROUND(B12*(1-DESC_REVENDEDOR),2))</f>
        <v/>
      </c>
    </row>
    <row r="13">
      <c r="A13" s="27" t="inlineStr">
        <is>
          <t>Armaf, Club de nuit Urban man</t>
        </is>
      </c>
      <c r="B13" s="60" t="n">
        <v>75</v>
      </c>
      <c r="C13" s="29">
        <f>IF(B13="","",ROUND(B13*(1-DESC_TEAM),2))</f>
        <v/>
      </c>
      <c r="D13" s="29">
        <f>IF(B13="","",ROUND(B13*(1-DESC_REVENDEDOR),2))</f>
        <v/>
      </c>
    </row>
    <row r="14">
      <c r="A14" s="27" t="inlineStr">
        <is>
          <t>Armaf, club de nuit woman</t>
        </is>
      </c>
      <c r="B14" s="60" t="n">
        <v>66</v>
      </c>
      <c r="C14" s="29">
        <f>IF(B14="","",ROUND(B14*(1-DESC_TEAM),2))</f>
        <v/>
      </c>
      <c r="D14" s="29">
        <f>IF(B14="","",ROUND(B14*(1-DESC_REVENDEDOR),2))</f>
        <v/>
      </c>
    </row>
    <row r="15">
      <c r="A15" s="27" t="inlineStr">
        <is>
          <t>Armaf, Odyssey marshmallow</t>
        </is>
      </c>
      <c r="B15" s="60" t="n">
        <v>72</v>
      </c>
      <c r="C15" s="29">
        <f>IF(B15="","",ROUND(B15*(1-DESC_TEAM),2))</f>
        <v/>
      </c>
      <c r="D15" s="29">
        <f>IF(B15="","",ROUND(B15*(1-DESC_REVENDEDOR),2))</f>
        <v/>
      </c>
    </row>
    <row r="16">
      <c r="A16" s="27" t="inlineStr">
        <is>
          <t>Benetton, Colors cold</t>
        </is>
      </c>
      <c r="B16" s="60" t="n">
        <v>32</v>
      </c>
      <c r="C16" s="29">
        <f>IF(B16="","",ROUND(B16*(1-DESC_TEAM),2))</f>
        <v/>
      </c>
      <c r="D16" s="29">
        <f>IF(B16="","",ROUND(B16*(1-DESC_REVENDEDOR),2))</f>
        <v/>
      </c>
    </row>
    <row r="17">
      <c r="A17" s="27" t="inlineStr">
        <is>
          <t>Benetton, Colors Man black</t>
        </is>
      </c>
      <c r="B17" s="60" t="n">
        <v>43</v>
      </c>
      <c r="C17" s="29">
        <f>IF(B17="","",ROUND(B17*(1-DESC_TEAM),2))</f>
        <v/>
      </c>
      <c r="D17" s="29">
        <f>IF(B17="","",ROUND(B17*(1-DESC_REVENDEDOR),2))</f>
        <v/>
      </c>
    </row>
    <row r="18">
      <c r="A18" s="27" t="inlineStr">
        <is>
          <t>Benetton, Colors Man Blue</t>
        </is>
      </c>
      <c r="B18" s="60" t="n">
        <v>45</v>
      </c>
      <c r="C18" s="29">
        <f>IF(B18="","",ROUND(B18*(1-DESC_TEAM),2))</f>
        <v/>
      </c>
      <c r="D18" s="29">
        <f>IF(B18="","",ROUND(B18*(1-DESC_REVENDEDOR),2))</f>
        <v/>
      </c>
    </row>
    <row r="19">
      <c r="A19" s="27" t="inlineStr">
        <is>
          <t>Benetton, Colors TDH</t>
        </is>
      </c>
      <c r="B19" s="60" t="n">
        <v>30</v>
      </c>
      <c r="C19" s="29">
        <f>IF(B19="","",ROUND(B19*(1-DESC_TEAM),2))</f>
        <v/>
      </c>
      <c r="D19" s="29">
        <f>IF(B19="","",ROUND(B19*(1-DESC_REVENDEDOR),2))</f>
        <v/>
      </c>
    </row>
    <row r="20">
      <c r="A20" s="27" t="inlineStr">
        <is>
          <t>Benetton, Colors woman rose</t>
        </is>
      </c>
      <c r="B20" s="60" t="n">
        <v>45</v>
      </c>
      <c r="C20" s="29">
        <f>IF(B20="","",ROUND(B20*(1-DESC_TEAM),2))</f>
        <v/>
      </c>
      <c r="D20" s="29">
        <f>IF(B20="","",ROUND(B20*(1-DESC_REVENDEDOR),2))</f>
        <v/>
      </c>
    </row>
    <row r="21">
      <c r="A21" s="27" t="inlineStr">
        <is>
          <t>Bharara King</t>
        </is>
      </c>
      <c r="B21" s="60" t="n">
        <v>119</v>
      </c>
      <c r="C21" s="29">
        <f>IF(B21="","",ROUND(B21*(1-DESC_TEAM),2))</f>
        <v/>
      </c>
      <c r="D21" s="29">
        <f>IF(B21="","",ROUND(B21*(1-DESC_REVENDEDOR),2))</f>
        <v/>
      </c>
    </row>
    <row r="22">
      <c r="A22" s="27" t="inlineStr">
        <is>
          <t>Bharara queen</t>
        </is>
      </c>
      <c r="B22" s="60" t="n">
        <v>119</v>
      </c>
      <c r="C22" s="29">
        <f>IF(B22="","",ROUND(B22*(1-DESC_TEAM),2))</f>
        <v/>
      </c>
      <c r="D22" s="29">
        <f>IF(B22="","",ROUND(B22*(1-DESC_REVENDEDOR),2))</f>
        <v/>
      </c>
    </row>
    <row r="23">
      <c r="A23" s="27" t="inlineStr">
        <is>
          <t>CKIN2U</t>
        </is>
      </c>
      <c r="B23" s="60" t="n">
        <v>56</v>
      </c>
      <c r="C23" s="29">
        <f>IF(B23="","",ROUND(B23*(1-DESC_TEAM),2))</f>
        <v/>
      </c>
      <c r="D23" s="29">
        <f>IF(B23="","",ROUND(B23*(1-DESC_REVENDEDOR),2))</f>
        <v/>
      </c>
    </row>
    <row r="24">
      <c r="A24" s="27" t="inlineStr">
        <is>
          <t>CKIN2U men</t>
        </is>
      </c>
      <c r="B24" s="60" t="n">
        <v>56</v>
      </c>
      <c r="C24" s="29">
        <f>IF(B24="","",ROUND(B24*(1-DESC_TEAM),2))</f>
        <v/>
      </c>
      <c r="D24" s="29">
        <f>IF(B24="","",ROUND(B24*(1-DESC_REVENDEDOR),2))</f>
        <v/>
      </c>
    </row>
    <row r="25">
      <c r="A25" s="27" t="inlineStr">
        <is>
          <t>Guess night</t>
        </is>
      </c>
      <c r="B25" s="60" t="n">
        <v>56</v>
      </c>
      <c r="C25" s="29">
        <f>IF(B25="","",ROUND(B25*(1-DESC_TEAM),2))</f>
        <v/>
      </c>
      <c r="D25" s="29">
        <f>IF(B25="","",ROUND(B25*(1-DESC_REVENDEDOR),2))</f>
        <v/>
      </c>
    </row>
    <row r="26">
      <c r="A26" s="27" t="inlineStr">
        <is>
          <t>Guess seductive Homme Blue</t>
        </is>
      </c>
      <c r="B26" s="60" t="n">
        <v>56</v>
      </c>
      <c r="C26" s="29">
        <f>IF(B26="","",ROUND(B26*(1-DESC_TEAM),2))</f>
        <v/>
      </c>
      <c r="D26" s="29">
        <f>IF(B26="","",ROUND(B26*(1-DESC_REVENDEDOR),2))</f>
        <v/>
      </c>
    </row>
    <row r="27">
      <c r="A27" s="27" t="inlineStr">
        <is>
          <t>Issey Miyake Duo Nomade</t>
        </is>
      </c>
      <c r="B27" s="60" t="n">
        <v>110</v>
      </c>
      <c r="C27" s="29">
        <f>IF(B27="","",ROUND(B27*(1-DESC_TEAM),2))</f>
        <v/>
      </c>
      <c r="D27" s="29">
        <f>IF(B27="","",ROUND(B27*(1-DESC_REVENDEDOR),2))</f>
        <v/>
      </c>
    </row>
    <row r="28">
      <c r="A28" s="27" t="inlineStr">
        <is>
          <t>Lattafa Yara Elixir</t>
        </is>
      </c>
      <c r="B28" s="60" t="n">
        <v>77</v>
      </c>
      <c r="C28" s="29">
        <f>IF(B28="","",ROUND(B28*(1-DESC_TEAM),2))</f>
        <v/>
      </c>
      <c r="D28" s="29">
        <f>IF(B28="","",ROUND(B28*(1-DESC_REVENDEDOR),2))</f>
        <v/>
      </c>
    </row>
    <row r="29">
      <c r="A29" s="27" t="inlineStr">
        <is>
          <t>Nautica CLASSIC</t>
        </is>
      </c>
      <c r="B29" s="60" t="n">
        <v>45</v>
      </c>
      <c r="C29" s="29">
        <f>IF(B29="","",ROUND(B29*(1-DESC_TEAM),2))</f>
        <v/>
      </c>
      <c r="D29" s="29">
        <f>IF(B29="","",ROUND(B29*(1-DESC_REVENDEDOR),2))</f>
        <v/>
      </c>
    </row>
    <row r="30">
      <c r="A30" s="27" t="inlineStr">
        <is>
          <t>Nautica Pure Blue</t>
        </is>
      </c>
      <c r="B30" s="60" t="n">
        <v>45</v>
      </c>
      <c r="C30" s="29">
        <f>IF(B30="","",ROUND(B30*(1-DESC_TEAM),2))</f>
        <v/>
      </c>
      <c r="D30" s="29">
        <f>IF(B30="","",ROUND(B30*(1-DESC_REVENDEDOR),2))</f>
        <v/>
      </c>
    </row>
    <row r="31">
      <c r="A31" s="27" t="inlineStr">
        <is>
          <t>Nautica voyage sport</t>
        </is>
      </c>
      <c r="B31" s="60" t="n">
        <v>45</v>
      </c>
      <c r="C31" s="29">
        <f>IF(B31="","",ROUND(B31*(1-DESC_TEAM),2))</f>
        <v/>
      </c>
      <c r="D31" s="29">
        <f>IF(B31="","",ROUND(B31*(1-DESC_REVENDEDOR),2))</f>
        <v/>
      </c>
    </row>
    <row r="32">
      <c r="A32" s="27" t="inlineStr">
        <is>
          <t>ODYSSEY MANDARIN SKY ELIXIR DE</t>
        </is>
      </c>
      <c r="B32" s="60" t="n">
        <v>124</v>
      </c>
      <c r="C32" s="29">
        <f>IF(B32="","",ROUND(B32*(1-DESC_TEAM),2))</f>
        <v/>
      </c>
      <c r="D32" s="29">
        <f>IF(B32="","",ROUND(B32*(1-DESC_REVENDEDOR),2))</f>
        <v/>
      </c>
    </row>
    <row r="33">
      <c r="A33" s="27" t="inlineStr">
        <is>
          <t>ODYSSEY MANDARIN SKY, SET</t>
        </is>
      </c>
      <c r="B33" s="60" t="n">
        <v>114</v>
      </c>
      <c r="C33" s="29">
        <f>IF(B33="","",ROUND(B33*(1-DESC_TEAM),2))</f>
        <v/>
      </c>
      <c r="D33" s="29">
        <f>IF(B33="","",ROUND(B33*(1-DESC_REVENDEDOR),2))</f>
        <v/>
      </c>
    </row>
    <row r="34">
      <c r="A34" s="27" t="inlineStr">
        <is>
          <t>Odyssey Mega 200ml</t>
        </is>
      </c>
      <c r="B34" s="60" t="n">
        <v>98</v>
      </c>
      <c r="C34" s="29">
        <f>IF(B34="","",ROUND(B34*(1-DESC_TEAM),2))</f>
        <v/>
      </c>
      <c r="D34" s="29">
        <f>IF(B34="","",ROUND(B34*(1-DESC_REVENDEDOR),2))</f>
        <v/>
      </c>
    </row>
    <row r="35">
      <c r="A35" s="27" t="inlineStr">
        <is>
          <t>Paris Hilton, justo Me</t>
        </is>
      </c>
      <c r="B35" s="60" t="n">
        <v>59</v>
      </c>
      <c r="C35" s="29">
        <f>IF(B35="","",ROUND(B35*(1-DESC_TEAM),2))</f>
        <v/>
      </c>
      <c r="D35" s="29">
        <f>IF(B35="","",ROUND(B35*(1-DESC_REVENDEDOR),2))</f>
        <v/>
      </c>
    </row>
    <row r="36">
      <c r="A36" s="27" t="inlineStr">
        <is>
          <t>Paris Hilton w</t>
        </is>
      </c>
      <c r="B36" s="60" t="n">
        <v>61</v>
      </c>
      <c r="C36" s="29">
        <f>IF(B36="","",ROUND(B36*(1-DESC_TEAM),2))</f>
        <v/>
      </c>
      <c r="D36" s="29">
        <f>IF(B36="","",ROUND(B36*(1-DESC_REVENDEDOR),2))</f>
        <v/>
      </c>
    </row>
  </sheetData>
  <mergeCells count="1"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2E6F82"/>
    <outlinePr summaryBelow="1" summaryRight="1"/>
    <pageSetUpPr/>
  </sheetPr>
  <dimension ref="A1:H215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4" customWidth="1" min="2" max="2"/>
    <col width="21" customWidth="1" min="3" max="3"/>
    <col width="21" customWidth="1" min="4" max="4"/>
    <col width="21" customWidth="1" min="5" max="5"/>
    <col width="3" customWidth="1" min="6" max="6"/>
    <col width="30" customWidth="1" min="7" max="7"/>
    <col width="16" customWidth="1" min="8" max="8"/>
  </cols>
  <sheetData>
    <row r="1">
      <c r="A1" s="1" t="inlineStr">
        <is>
          <t>LISTA DE PRECIOS — TOP QUALITY</t>
        </is>
      </c>
    </row>
    <row r="2">
      <c r="A2" s="2" t="inlineStr">
        <is>
          <t>Precio = costo + la ganancia definida en PARÁMETROS: +70 % si paga en divisa/USDT, +120 % si paga a tasa BCV. Solo se edita el Costo.</t>
        </is>
      </c>
    </row>
    <row r="3" ht="20" customHeight="1">
      <c r="A3" s="3" t="inlineStr">
        <is>
          <t>LÍNEA</t>
        </is>
      </c>
      <c r="B3" s="3" t="inlineStr">
        <is>
          <t>PRODUCTO</t>
        </is>
      </c>
      <c r="C3" s="3" t="inlineStr">
        <is>
          <t>COSTO ($)</t>
        </is>
      </c>
      <c r="D3" s="3" t="inlineStr">
        <is>
          <t>PRECIO DIVISA / USDT ($)  +70%</t>
        </is>
      </c>
      <c r="E3" s="3" t="inlineStr">
        <is>
          <t>PRECIO TASA BCV ($)  +120%</t>
        </is>
      </c>
      <c r="G3" s="10" t="inlineStr">
        <is>
          <t>RESUMEN (dinámico)</t>
        </is>
      </c>
    </row>
    <row r="4">
      <c r="A4" s="61" t="inlineStr">
        <is>
          <t>SIN LÍNEA</t>
        </is>
      </c>
      <c r="B4" s="27" t="inlineStr">
        <is>
          <t>Cloud</t>
        </is>
      </c>
      <c r="C4" s="28" t="n">
        <v>12</v>
      </c>
      <c r="D4" s="29">
        <f>IF($C4="","",ROUND($C4*(1+GANANCIA_DIVISA),2))</f>
        <v/>
      </c>
      <c r="E4" s="29">
        <f>IF($C4="","",ROUND($C4*(1+GANANCIA_BCV),2))</f>
        <v/>
      </c>
      <c r="G4" s="17" t="inlineStr">
        <is>
          <t>Productos en catálogo</t>
        </is>
      </c>
      <c r="H4" s="18">
        <f>COUNTA($B$4:$B$215)</f>
        <v/>
      </c>
    </row>
    <row r="5">
      <c r="A5" s="61" t="inlineStr">
        <is>
          <t>SIN LÍNEA</t>
        </is>
      </c>
      <c r="B5" s="27" t="inlineStr">
        <is>
          <t>Good girl very</t>
        </is>
      </c>
      <c r="C5" s="28" t="n">
        <v>9.5</v>
      </c>
      <c r="D5" s="29">
        <f>IF($C5="","",ROUND($C5*(1+GANANCIA_DIVISA),2))</f>
        <v/>
      </c>
      <c r="E5" s="29">
        <f>IF($C5="","",ROUND($C5*(1+GANANCIA_BCV),2))</f>
        <v/>
      </c>
      <c r="G5" s="17" t="inlineStr">
        <is>
          <t>Con costo cargado</t>
        </is>
      </c>
      <c r="H5" s="18">
        <f>COUNT($C$4:$C$215)</f>
        <v/>
      </c>
    </row>
    <row r="6">
      <c r="A6" s="61" t="inlineStr">
        <is>
          <t>SIN LÍNEA</t>
        </is>
      </c>
      <c r="B6" s="27" t="inlineStr">
        <is>
          <t>Ultramale</t>
        </is>
      </c>
      <c r="C6" s="28" t="n">
        <v>15</v>
      </c>
      <c r="D6" s="29">
        <f>IF($C6="","",ROUND($C6*(1+GANANCIA_DIVISA),2))</f>
        <v/>
      </c>
      <c r="E6" s="29">
        <f>IF($C6="","",ROUND($C6*(1+GANANCIA_BCV),2))</f>
        <v/>
      </c>
      <c r="G6" s="17" t="inlineStr">
        <is>
          <t>Sin costo (precio en blanco)</t>
        </is>
      </c>
      <c r="H6" s="18">
        <f>COUNTA($B$4:$B$215)-COUNT($C$4:$C$215)</f>
        <v/>
      </c>
    </row>
    <row r="7">
      <c r="A7" s="61" t="inlineStr">
        <is>
          <t>SIN LÍNEA</t>
        </is>
      </c>
      <c r="B7" s="27" t="inlineStr">
        <is>
          <t>Swiss army</t>
        </is>
      </c>
      <c r="C7" s="28" t="n">
        <v>9.5</v>
      </c>
      <c r="D7" s="29">
        <f>IF($C7="","",ROUND($C7*(1+GANANCIA_DIVISA),2))</f>
        <v/>
      </c>
      <c r="E7" s="29">
        <f>IF($C7="","",ROUND($C7*(1+GANANCIA_BCV),2))</f>
        <v/>
      </c>
      <c r="G7" s="17" t="inlineStr">
        <is>
          <t>Nombres repetidos</t>
        </is>
      </c>
      <c r="H7" s="18">
        <f>SUMPRODUCT((COUNTIF($B$4:$B$215,$B$4:$B$215)&gt;1)*($B$4:$B$215&lt;&gt;""))</f>
        <v/>
      </c>
    </row>
    <row r="8">
      <c r="A8" s="61" t="inlineStr">
        <is>
          <t>SIN LÍNEA</t>
        </is>
      </c>
      <c r="B8" s="27" t="inlineStr">
        <is>
          <t>360</t>
        </is>
      </c>
      <c r="C8" s="28" t="n">
        <v>9.5</v>
      </c>
      <c r="D8" s="29">
        <f>IF($C8="","",ROUND($C8*(1+GANANCIA_DIVISA),2))</f>
        <v/>
      </c>
      <c r="E8" s="29">
        <f>IF($C8="","",ROUND($C8*(1+GANANCIA_BCV),2))</f>
        <v/>
      </c>
      <c r="G8" s="17" t="inlineStr">
        <is>
          <t>Costo promedio ($)</t>
        </is>
      </c>
      <c r="H8" s="19">
        <f>IFERROR(AVERAGE($C$4:$C$215),"")</f>
        <v/>
      </c>
    </row>
    <row r="9">
      <c r="A9" s="61" t="inlineStr">
        <is>
          <t>SIN LÍNEA</t>
        </is>
      </c>
      <c r="B9" s="27" t="inlineStr">
        <is>
          <t>Scandal</t>
        </is>
      </c>
      <c r="C9" s="28" t="n">
        <v>9.5</v>
      </c>
      <c r="D9" s="29">
        <f>IF($C9="","",ROUND($C9*(1+GANANCIA_DIVISA),2))</f>
        <v/>
      </c>
      <c r="E9" s="29">
        <f>IF($C9="","",ROUND($C9*(1+GANANCIA_BCV),2))</f>
        <v/>
      </c>
      <c r="G9" s="17" t="inlineStr">
        <is>
          <t>Ganancia sobre costo — divisa</t>
        </is>
      </c>
      <c r="H9" s="62">
        <f>GANANCIA_DIVISA</f>
        <v/>
      </c>
    </row>
    <row r="10">
      <c r="A10" s="61" t="inlineStr">
        <is>
          <t>SIN LÍNEA</t>
        </is>
      </c>
      <c r="B10" s="27" t="inlineStr">
        <is>
          <t>Bad boy</t>
        </is>
      </c>
      <c r="C10" s="28" t="n">
        <v>9.5</v>
      </c>
      <c r="D10" s="29">
        <f>IF($C10="","",ROUND($C10*(1+GANANCIA_DIVISA),2))</f>
        <v/>
      </c>
      <c r="E10" s="29">
        <f>IF($C10="","",ROUND($C10*(1+GANANCIA_BCV),2))</f>
        <v/>
      </c>
      <c r="G10" s="17" t="inlineStr">
        <is>
          <t>Ganancia sobre costo — BCV</t>
        </is>
      </c>
      <c r="H10" s="62">
        <f>GANANCIA_BCV</f>
        <v/>
      </c>
    </row>
    <row r="11">
      <c r="A11" s="61" t="inlineStr">
        <is>
          <t>SIN LÍNEA</t>
        </is>
      </c>
      <c r="B11" s="27" t="inlineStr">
        <is>
          <t>Tommy</t>
        </is>
      </c>
      <c r="C11" s="28" t="n">
        <v>9.5</v>
      </c>
      <c r="D11" s="29">
        <f>IF($C11="","",ROUND($C11*(1+GANANCIA_DIVISA),2))</f>
        <v/>
      </c>
      <c r="E11" s="29">
        <f>IF($C11="","",ROUND($C11*(1+GANANCIA_BCV),2))</f>
        <v/>
      </c>
    </row>
    <row r="12">
      <c r="A12" s="61" t="inlineStr">
        <is>
          <t>SIN LÍNEA</t>
        </is>
      </c>
      <c r="B12" s="27" t="inlineStr">
        <is>
          <t>Invictus</t>
        </is>
      </c>
      <c r="C12" s="28" t="n">
        <v>9.5</v>
      </c>
      <c r="D12" s="29">
        <f>IF($C12="","",ROUND($C12*(1+GANANCIA_DIVISA),2))</f>
        <v/>
      </c>
      <c r="E12" s="29">
        <f>IF($C12="","",ROUND($C12*(1+GANANCIA_BCV),2))</f>
        <v/>
      </c>
      <c r="G12" s="32" t="inlineStr">
        <is>
          <t>Amarillo = producto sin costo, su precio queda en blanco (antes mostraba $0,00). Rojo = nombre repetido en el catálogo, a fusionar.</t>
        </is>
      </c>
    </row>
    <row r="13">
      <c r="A13" s="61" t="inlineStr">
        <is>
          <t>SIN LÍNEA</t>
        </is>
      </c>
      <c r="B13" s="27" t="inlineStr">
        <is>
          <t>212 vip</t>
        </is>
      </c>
      <c r="C13" s="28" t="n">
        <v>9.5</v>
      </c>
      <c r="D13" s="29">
        <f>IF($C13="","",ROUND($C13*(1+GANANCIA_DIVISA),2))</f>
        <v/>
      </c>
      <c r="E13" s="29">
        <f>IF($C13="","",ROUND($C13*(1+GANANCIA_BCV),2))</f>
        <v/>
      </c>
    </row>
    <row r="14">
      <c r="A14" s="61" t="inlineStr">
        <is>
          <t>SIN LÍNEA</t>
        </is>
      </c>
      <c r="B14" s="27" t="inlineStr">
        <is>
          <t>Eros men</t>
        </is>
      </c>
      <c r="C14" s="28" t="n">
        <v>9.5</v>
      </c>
      <c r="D14" s="29">
        <f>IF($C14="","",ROUND($C14*(1+GANANCIA_DIVISA),2))</f>
        <v/>
      </c>
      <c r="E14" s="29">
        <f>IF($C14="","",ROUND($C14*(1+GANANCIA_BCV),2))</f>
        <v/>
      </c>
    </row>
    <row r="15">
      <c r="A15" s="61" t="inlineStr">
        <is>
          <t>SIN LÍNEA</t>
        </is>
      </c>
      <c r="B15" s="27" t="inlineStr">
        <is>
          <t>Agua di gio</t>
        </is>
      </c>
      <c r="C15" s="28" t="n">
        <v>9.5</v>
      </c>
      <c r="D15" s="29">
        <f>IF($C15="","",ROUND($C15*(1+GANANCIA_DIVISA),2))</f>
        <v/>
      </c>
      <c r="E15" s="29">
        <f>IF($C15="","",ROUND($C15*(1+GANANCIA_BCV),2))</f>
        <v/>
      </c>
    </row>
    <row r="16">
      <c r="A16" s="61" t="inlineStr">
        <is>
          <t>SIN LÍNEA</t>
        </is>
      </c>
      <c r="B16" s="27" t="inlineStr">
        <is>
          <t>Honor y glory</t>
        </is>
      </c>
      <c r="C16" s="28" t="n">
        <v>17</v>
      </c>
      <c r="D16" s="29">
        <f>IF($C16="","",ROUND($C16*(1+GANANCIA_DIVISA),2))</f>
        <v/>
      </c>
      <c r="E16" s="29">
        <f>IF($C16="","",ROUND($C16*(1+GANANCIA_BCV),2))</f>
        <v/>
      </c>
    </row>
    <row r="17">
      <c r="A17" s="61" t="inlineStr">
        <is>
          <t>SIN LÍNEA</t>
        </is>
      </c>
      <c r="B17" s="27" t="inlineStr">
        <is>
          <t>Bharara king</t>
        </is>
      </c>
      <c r="C17" s="28" t="n">
        <v>20</v>
      </c>
      <c r="D17" s="29">
        <f>IF($C17="","",ROUND($C17*(1+GANANCIA_DIVISA),2))</f>
        <v/>
      </c>
      <c r="E17" s="29">
        <f>IF($C17="","",ROUND($C17*(1+GANANCIA_BCV),2))</f>
        <v/>
      </c>
    </row>
    <row r="18">
      <c r="A18" s="61" t="inlineStr">
        <is>
          <t>SIN LÍNEA</t>
        </is>
      </c>
      <c r="B18" s="27" t="inlineStr">
        <is>
          <t>Universe</t>
        </is>
      </c>
      <c r="C18" s="28" t="n">
        <v>20</v>
      </c>
      <c r="D18" s="29">
        <f>IF($C18="","",ROUND($C18*(1+GANANCIA_DIVISA),2))</f>
        <v/>
      </c>
      <c r="E18" s="29">
        <f>IF($C18="","",ROUND($C18*(1+GANANCIA_BCV),2))</f>
        <v/>
      </c>
    </row>
    <row r="19">
      <c r="A19" s="61" t="inlineStr">
        <is>
          <t>SIN LÍNEA</t>
        </is>
      </c>
      <c r="B19" s="27" t="inlineStr">
        <is>
          <t>Khamrah</t>
        </is>
      </c>
      <c r="C19" s="28" t="n">
        <v>15</v>
      </c>
      <c r="D19" s="29">
        <f>IF($C19="","",ROUND($C19*(1+GANANCIA_DIVISA),2))</f>
        <v/>
      </c>
      <c r="E19" s="29">
        <f>IF($C19="","",ROUND($C19*(1+GANANCIA_BCV),2))</f>
        <v/>
      </c>
    </row>
    <row r="20">
      <c r="A20" s="61" t="inlineStr">
        <is>
          <t>SIN LÍNEA</t>
        </is>
      </c>
      <c r="B20" s="27" t="inlineStr">
        <is>
          <t>Club de nuit</t>
        </is>
      </c>
      <c r="C20" s="28" t="n">
        <v>12</v>
      </c>
      <c r="D20" s="29">
        <f>IF($C20="","",ROUND($C20*(1+GANANCIA_DIVISA),2))</f>
        <v/>
      </c>
      <c r="E20" s="29">
        <f>IF($C20="","",ROUND($C20*(1+GANANCIA_BCV),2))</f>
        <v/>
      </c>
    </row>
    <row r="21">
      <c r="A21" s="61" t="inlineStr">
        <is>
          <t>SIN LÍNEA</t>
        </is>
      </c>
      <c r="B21" s="27" t="inlineStr">
        <is>
          <t>Asad bourbon</t>
        </is>
      </c>
      <c r="C21" s="28" t="n">
        <v>12</v>
      </c>
      <c r="D21" s="29">
        <f>IF($C21="","",ROUND($C21*(1+GANANCIA_DIVISA),2))</f>
        <v/>
      </c>
      <c r="E21" s="29">
        <f>IF($C21="","",ROUND($C21*(1+GANANCIA_BCV),2))</f>
        <v/>
      </c>
    </row>
    <row r="22">
      <c r="A22" s="61" t="inlineStr">
        <is>
          <t>SIN LÍNEA</t>
        </is>
      </c>
      <c r="B22" s="27" t="inlineStr">
        <is>
          <t>La bomba</t>
        </is>
      </c>
      <c r="C22" s="28" t="n">
        <v>17</v>
      </c>
      <c r="D22" s="29">
        <f>IF($C22="","",ROUND($C22*(1+GANANCIA_DIVISA),2))</f>
        <v/>
      </c>
      <c r="E22" s="29">
        <f>IF($C22="","",ROUND($C22*(1+GANANCIA_BCV),2))</f>
        <v/>
      </c>
    </row>
    <row r="23">
      <c r="A23" s="61" t="inlineStr">
        <is>
          <t>LÍNEA ÁRABE</t>
        </is>
      </c>
      <c r="B23" s="27" t="inlineStr">
        <is>
          <t>YARA CANDY</t>
        </is>
      </c>
      <c r="C23" s="27" t="n"/>
      <c r="D23" s="29">
        <f>IF($C23="","",ROUND($C23*(1+GANANCIA_DIVISA),2))</f>
        <v/>
      </c>
      <c r="E23" s="29">
        <f>IF($C23="","",ROUND($C23*(1+GANANCIA_BCV),2))</f>
        <v/>
      </c>
    </row>
    <row r="24">
      <c r="A24" s="61" t="inlineStr">
        <is>
          <t>LÍNEA ÁRABE</t>
        </is>
      </c>
      <c r="B24" s="27" t="inlineStr">
        <is>
          <t>YARA ELIXIR</t>
        </is>
      </c>
      <c r="C24" s="28" t="n">
        <v>12</v>
      </c>
      <c r="D24" s="29">
        <f>IF($C24="","",ROUND($C24*(1+GANANCIA_DIVISA),2))</f>
        <v/>
      </c>
      <c r="E24" s="29">
        <f>IF($C24="","",ROUND($C24*(1+GANANCIA_BCV),2))</f>
        <v/>
      </c>
    </row>
    <row r="25">
      <c r="A25" s="61" t="inlineStr">
        <is>
          <t>LÍNEA ÁRABE</t>
        </is>
      </c>
      <c r="B25" s="27" t="inlineStr">
        <is>
          <t>YARA FEM</t>
        </is>
      </c>
      <c r="C25" s="27" t="n"/>
      <c r="D25" s="29">
        <f>IF($C25="","",ROUND($C25*(1+GANANCIA_DIVISA),2))</f>
        <v/>
      </c>
      <c r="E25" s="29">
        <f>IF($C25="","",ROUND($C25*(1+GANANCIA_BCV),2))</f>
        <v/>
      </c>
    </row>
    <row r="26">
      <c r="A26" s="61" t="inlineStr">
        <is>
          <t>LÍNEA ÁRABE</t>
        </is>
      </c>
      <c r="B26" s="27" t="inlineStr">
        <is>
          <t>YARA TOUS</t>
        </is>
      </c>
      <c r="C26" s="27" t="n"/>
      <c r="D26" s="29">
        <f>IF($C26="","",ROUND($C26*(1+GANANCIA_DIVISA),2))</f>
        <v/>
      </c>
      <c r="E26" s="29">
        <f>IF($C26="","",ROUND($C26*(1+GANANCIA_BCV),2))</f>
        <v/>
      </c>
    </row>
    <row r="27">
      <c r="A27" s="61" t="inlineStr">
        <is>
          <t>LÍNEA ÁRABE</t>
        </is>
      </c>
      <c r="B27" s="27" t="inlineStr">
        <is>
          <t>YARA MOI</t>
        </is>
      </c>
      <c r="C27" s="27" t="n"/>
      <c r="D27" s="29">
        <f>IF($C27="","",ROUND($C27*(1+GANANCIA_DIVISA),2))</f>
        <v/>
      </c>
      <c r="E27" s="29">
        <f>IF($C27="","",ROUND($C27*(1+GANANCIA_BCV),2))</f>
        <v/>
      </c>
    </row>
    <row r="28">
      <c r="A28" s="61" t="inlineStr">
        <is>
          <t>LÍNEA ÁRABE</t>
        </is>
      </c>
      <c r="B28" s="27" t="inlineStr">
        <is>
          <t>ASAD ELIXIR</t>
        </is>
      </c>
      <c r="C28" s="27" t="n"/>
      <c r="D28" s="29">
        <f>IF($C28="","",ROUND($C28*(1+GANANCIA_DIVISA),2))</f>
        <v/>
      </c>
      <c r="E28" s="29">
        <f>IF($C28="","",ROUND($C28*(1+GANANCIA_BCV),2))</f>
        <v/>
      </c>
    </row>
    <row r="29">
      <c r="A29" s="61" t="inlineStr">
        <is>
          <t>LÍNEA ÁRABE</t>
        </is>
      </c>
      <c r="B29" s="27" t="inlineStr">
        <is>
          <t>ASAD</t>
        </is>
      </c>
      <c r="C29" s="27" t="n"/>
      <c r="D29" s="29">
        <f>IF($C29="","",ROUND($C29*(1+GANANCIA_DIVISA),2))</f>
        <v/>
      </c>
      <c r="E29" s="29">
        <f>IF($C29="","",ROUND($C29*(1+GANANCIA_BCV),2))</f>
        <v/>
      </c>
    </row>
    <row r="30">
      <c r="A30" s="61" t="inlineStr">
        <is>
          <t>LÍNEA ÁRABE</t>
        </is>
      </c>
      <c r="B30" s="27" t="inlineStr">
        <is>
          <t>ASAD BOURBON</t>
        </is>
      </c>
      <c r="C30" s="27" t="n"/>
      <c r="D30" s="29">
        <f>IF($C30="","",ROUND($C30*(1+GANANCIA_DIVISA),2))</f>
        <v/>
      </c>
      <c r="E30" s="29">
        <f>IF($C30="","",ROUND($C30*(1+GANANCIA_BCV),2))</f>
        <v/>
      </c>
    </row>
    <row r="31">
      <c r="A31" s="61" t="inlineStr">
        <is>
          <t>LÍNEA ÁRABE</t>
        </is>
      </c>
      <c r="B31" s="27" t="inlineStr">
        <is>
          <t>ASAD ZANZÍBAR</t>
        </is>
      </c>
      <c r="C31" s="27" t="n"/>
      <c r="D31" s="29">
        <f>IF($C31="","",ROUND($C31*(1+GANANCIA_DIVISA),2))</f>
        <v/>
      </c>
      <c r="E31" s="29">
        <f>IF($C31="","",ROUND($C31*(1+GANANCIA_BCV),2))</f>
        <v/>
      </c>
    </row>
    <row r="32">
      <c r="A32" s="61" t="inlineStr">
        <is>
          <t>LÍNEA ÁRABE</t>
        </is>
      </c>
      <c r="B32" s="27" t="inlineStr">
        <is>
          <t>KHAMRA</t>
        </is>
      </c>
      <c r="C32" s="27" t="n"/>
      <c r="D32" s="29">
        <f>IF($C32="","",ROUND($C32*(1+GANANCIA_DIVISA),2))</f>
        <v/>
      </c>
      <c r="E32" s="29">
        <f>IF($C32="","",ROUND($C32*(1+GANANCIA_BCV),2))</f>
        <v/>
      </c>
    </row>
    <row r="33">
      <c r="A33" s="61" t="inlineStr">
        <is>
          <t>LÍNEA ÁRABE</t>
        </is>
      </c>
      <c r="B33" s="27" t="inlineStr">
        <is>
          <t>KHAMRAH DUKHAN</t>
        </is>
      </c>
      <c r="C33" s="27" t="n"/>
      <c r="D33" s="29">
        <f>IF($C33="","",ROUND($C33*(1+GANANCIA_DIVISA),2))</f>
        <v/>
      </c>
      <c r="E33" s="29">
        <f>IF($C33="","",ROUND($C33*(1+GANANCIA_BCV),2))</f>
        <v/>
      </c>
    </row>
    <row r="34">
      <c r="A34" s="61" t="inlineStr">
        <is>
          <t>LÍNEA ÁRABE</t>
        </is>
      </c>
      <c r="B34" s="27" t="inlineStr">
        <is>
          <t>KHAMRAH QAHWA</t>
        </is>
      </c>
      <c r="C34" s="27" t="n"/>
      <c r="D34" s="29">
        <f>IF($C34="","",ROUND($C34*(1+GANANCIA_DIVISA),2))</f>
        <v/>
      </c>
      <c r="E34" s="29">
        <f>IF($C34="","",ROUND($C34*(1+GANANCIA_BCV),2))</f>
        <v/>
      </c>
    </row>
    <row r="35">
      <c r="A35" s="61" t="inlineStr">
        <is>
          <t>LÍNEA ÁRABE</t>
        </is>
      </c>
      <c r="B35" s="27" t="inlineStr">
        <is>
          <t>FAKHAR BLACK</t>
        </is>
      </c>
      <c r="C35" s="27" t="n"/>
      <c r="D35" s="29">
        <f>IF($C35="","",ROUND($C35*(1+GANANCIA_DIVISA),2))</f>
        <v/>
      </c>
      <c r="E35" s="29">
        <f>IF($C35="","",ROUND($C35*(1+GANANCIA_BCV),2))</f>
        <v/>
      </c>
    </row>
    <row r="36">
      <c r="A36" s="61" t="inlineStr">
        <is>
          <t>LÍNEA ÁRABE</t>
        </is>
      </c>
      <c r="B36" s="27" t="inlineStr">
        <is>
          <t>FAKHAR EXTRAIT</t>
        </is>
      </c>
      <c r="C36" s="27" t="n"/>
      <c r="D36" s="29">
        <f>IF($C36="","",ROUND($C36*(1+GANANCIA_DIVISA),2))</f>
        <v/>
      </c>
      <c r="E36" s="29">
        <f>IF($C36="","",ROUND($C36*(1+GANANCIA_BCV),2))</f>
        <v/>
      </c>
    </row>
    <row r="37">
      <c r="A37" s="61" t="inlineStr">
        <is>
          <t>LÍNEA ÁRABE</t>
        </is>
      </c>
      <c r="B37" s="27" t="inlineStr">
        <is>
          <t>FAKHAR ROSE</t>
        </is>
      </c>
      <c r="C37" s="27" t="n"/>
      <c r="D37" s="29">
        <f>IF($C37="","",ROUND($C37*(1+GANANCIA_DIVISA),2))</f>
        <v/>
      </c>
      <c r="E37" s="29">
        <f>IF($C37="","",ROUND($C37*(1+GANANCIA_BCV),2))</f>
        <v/>
      </c>
    </row>
    <row r="38">
      <c r="A38" s="61" t="inlineStr">
        <is>
          <t>LÍNEA ÁRABE</t>
        </is>
      </c>
      <c r="B38" s="27" t="inlineStr">
        <is>
          <t>VULCAN BAIE</t>
        </is>
      </c>
      <c r="C38" s="27" t="n"/>
      <c r="D38" s="29">
        <f>IF($C38="","",ROUND($C38*(1+GANANCIA_DIVISA),2))</f>
        <v/>
      </c>
      <c r="E38" s="29">
        <f>IF($C38="","",ROUND($C38*(1+GANANCIA_BCV),2))</f>
        <v/>
      </c>
    </row>
    <row r="39">
      <c r="A39" s="61" t="inlineStr">
        <is>
          <t>LÍNEA ÁRABE</t>
        </is>
      </c>
      <c r="B39" s="27" t="inlineStr">
        <is>
          <t>VULCAN FEU</t>
        </is>
      </c>
      <c r="C39" s="27" t="n"/>
      <c r="D39" s="29">
        <f>IF($C39="","",ROUND($C39*(1+GANANCIA_DIVISA),2))</f>
        <v/>
      </c>
      <c r="E39" s="29">
        <f>IF($C39="","",ROUND($C39*(1+GANANCIA_BCV),2))</f>
        <v/>
      </c>
    </row>
    <row r="40">
      <c r="A40" s="61" t="inlineStr">
        <is>
          <t>LÍNEA ÁRABE</t>
        </is>
      </c>
      <c r="B40" s="27" t="inlineStr">
        <is>
          <t>SUBLIME</t>
        </is>
      </c>
      <c r="C40" s="27" t="n"/>
      <c r="D40" s="29">
        <f>IF($C40="","",ROUND($C40*(1+GANANCIA_DIVISA),2))</f>
        <v/>
      </c>
      <c r="E40" s="29">
        <f>IF($C40="","",ROUND($C40*(1+GANANCIA_BCV),2))</f>
        <v/>
      </c>
    </row>
    <row r="41">
      <c r="A41" s="61" t="inlineStr">
        <is>
          <t>LÍNEA ÁRABE</t>
        </is>
      </c>
      <c r="B41" s="27" t="inlineStr">
        <is>
          <t>NOBLE BLUSH</t>
        </is>
      </c>
      <c r="C41" s="27" t="n"/>
      <c r="D41" s="29">
        <f>IF($C41="","",ROUND($C41*(1+GANANCIA_DIVISA),2))</f>
        <v/>
      </c>
      <c r="E41" s="29">
        <f>IF($C41="","",ROUND($C41*(1+GANANCIA_BCV),2))</f>
        <v/>
      </c>
    </row>
    <row r="42">
      <c r="A42" s="61" t="inlineStr">
        <is>
          <t>LÍNEA ÁRABE</t>
        </is>
      </c>
      <c r="B42" s="27" t="inlineStr">
        <is>
          <t>HONOR &amp; GLORY</t>
        </is>
      </c>
      <c r="C42" s="27" t="n"/>
      <c r="D42" s="29">
        <f>IF($C42="","",ROUND($C42*(1+GANANCIA_DIVISA),2))</f>
        <v/>
      </c>
      <c r="E42" s="29">
        <f>IF($C42="","",ROUND($C42*(1+GANANCIA_BCV),2))</f>
        <v/>
      </c>
    </row>
    <row r="43">
      <c r="A43" s="61" t="inlineStr">
        <is>
          <t>LÍNEA ÁRABE</t>
        </is>
      </c>
      <c r="B43" s="27" t="inlineStr">
        <is>
          <t>OUD FOR GLORY</t>
        </is>
      </c>
      <c r="C43" s="27" t="n"/>
      <c r="D43" s="29">
        <f>IF($C43="","",ROUND($C43*(1+GANANCIA_DIVISA),2))</f>
        <v/>
      </c>
      <c r="E43" s="29">
        <f>IF($C43="","",ROUND($C43*(1+GANANCIA_BCV),2))</f>
        <v/>
      </c>
    </row>
    <row r="44">
      <c r="A44" s="61" t="inlineStr">
        <is>
          <t>LÍNEA ÁRABE</t>
        </is>
      </c>
      <c r="B44" s="27" t="inlineStr">
        <is>
          <t>AMETHYST</t>
        </is>
      </c>
      <c r="C44" s="27" t="n"/>
      <c r="D44" s="29">
        <f>IF($C44="","",ROUND($C44*(1+GANANCIA_DIVISA),2))</f>
        <v/>
      </c>
      <c r="E44" s="29">
        <f>IF($C44="","",ROUND($C44*(1+GANANCIA_BCV),2))</f>
        <v/>
      </c>
    </row>
    <row r="45">
      <c r="A45" s="61" t="inlineStr">
        <is>
          <t>LÍNEA ÁRABE</t>
        </is>
      </c>
      <c r="B45" s="27" t="inlineStr">
        <is>
          <t>HER CONFESSION</t>
        </is>
      </c>
      <c r="C45" s="27" t="n"/>
      <c r="D45" s="29">
        <f>IF($C45="","",ROUND($C45*(1+GANANCIA_DIVISA),2))</f>
        <v/>
      </c>
      <c r="E45" s="29">
        <f>IF($C45="","",ROUND($C45*(1+GANANCIA_BCV),2))</f>
        <v/>
      </c>
    </row>
    <row r="46">
      <c r="A46" s="61" t="inlineStr">
        <is>
          <t>LÍNEA ÁRABE</t>
        </is>
      </c>
      <c r="B46" s="27" t="inlineStr">
        <is>
          <t>HIS CONFESSION</t>
        </is>
      </c>
      <c r="C46" s="27" t="n"/>
      <c r="D46" s="29">
        <f>IF($C46="","",ROUND($C46*(1+GANANCIA_DIVISA),2))</f>
        <v/>
      </c>
      <c r="E46" s="29">
        <f>IF($C46="","",ROUND($C46*(1+GANANCIA_BCV),2))</f>
        <v/>
      </c>
    </row>
    <row r="47">
      <c r="A47" s="61" t="inlineStr">
        <is>
          <t>LÍNEA ÁRABE</t>
        </is>
      </c>
      <c r="B47" s="27" t="inlineStr">
        <is>
          <t>ECLAIRE</t>
        </is>
      </c>
      <c r="C47" s="27" t="n"/>
      <c r="D47" s="29">
        <f>IF($C47="","",ROUND($C47*(1+GANANCIA_DIVISA),2))</f>
        <v/>
      </c>
      <c r="E47" s="29">
        <f>IF($C47="","",ROUND($C47*(1+GANANCIA_BCV),2))</f>
        <v/>
      </c>
    </row>
    <row r="48">
      <c r="A48" s="61" t="inlineStr">
        <is>
          <t>LÍNEA ÁRABE</t>
        </is>
      </c>
      <c r="B48" s="27" t="inlineStr">
        <is>
          <t>VICTORIA</t>
        </is>
      </c>
      <c r="C48" s="27" t="n"/>
      <c r="D48" s="29">
        <f>IF($C48="","",ROUND($C48*(1+GANANCIA_DIVISA),2))</f>
        <v/>
      </c>
      <c r="E48" s="29">
        <f>IF($C48="","",ROUND($C48*(1+GANANCIA_BCV),2))</f>
        <v/>
      </c>
    </row>
    <row r="49">
      <c r="A49" s="61" t="inlineStr">
        <is>
          <t>LÍNEA ÁRABE</t>
        </is>
      </c>
      <c r="B49" s="27" t="inlineStr">
        <is>
          <t>MAYAR</t>
        </is>
      </c>
      <c r="C49" s="27" t="n"/>
      <c r="D49" s="29">
        <f>IF($C49="","",ROUND($C49*(1+GANANCIA_DIVISA),2))</f>
        <v/>
      </c>
      <c r="E49" s="29">
        <f>IF($C49="","",ROUND($C49*(1+GANANCIA_BCV),2))</f>
        <v/>
      </c>
    </row>
    <row r="50">
      <c r="A50" s="61" t="inlineStr">
        <is>
          <t>LÍNEA ÁRABE</t>
        </is>
      </c>
      <c r="B50" s="27" t="inlineStr">
        <is>
          <t>MAYAR NATURAL</t>
        </is>
      </c>
      <c r="C50" s="27" t="n"/>
      <c r="D50" s="29">
        <f>IF($C50="","",ROUND($C50*(1+GANANCIA_DIVISA),2))</f>
        <v/>
      </c>
      <c r="E50" s="29">
        <f>IF($C50="","",ROUND($C50*(1+GANANCIA_BCV),2))</f>
        <v/>
      </c>
    </row>
    <row r="51">
      <c r="A51" s="61" t="inlineStr">
        <is>
          <t>LÍNEA ÁRABE</t>
        </is>
      </c>
      <c r="B51" s="27" t="inlineStr">
        <is>
          <t>EMEER</t>
        </is>
      </c>
      <c r="C51" s="27" t="n"/>
      <c r="D51" s="29">
        <f>IF($C51="","",ROUND($C51*(1+GANANCIA_DIVISA),2))</f>
        <v/>
      </c>
      <c r="E51" s="29">
        <f>IF($C51="","",ROUND($C51*(1+GANANCIA_BCV),2))</f>
        <v/>
      </c>
    </row>
    <row r="52">
      <c r="A52" s="61" t="inlineStr">
        <is>
          <t>LÍNEA ÁRABE</t>
        </is>
      </c>
      <c r="B52" s="27" t="inlineStr">
        <is>
          <t>HAYA</t>
        </is>
      </c>
      <c r="C52" s="27" t="n"/>
      <c r="D52" s="29">
        <f>IF($C52="","",ROUND($C52*(1+GANANCIA_DIVISA),2))</f>
        <v/>
      </c>
      <c r="E52" s="29">
        <f>IF($C52="","",ROUND($C52*(1+GANANCIA_BCV),2))</f>
        <v/>
      </c>
    </row>
    <row r="53">
      <c r="A53" s="61" t="inlineStr">
        <is>
          <t>LÍNEA ÁRABE</t>
        </is>
      </c>
      <c r="B53" s="27" t="inlineStr">
        <is>
          <t>AJWAD</t>
        </is>
      </c>
      <c r="C53" s="27" t="n"/>
      <c r="D53" s="29">
        <f>IF($C53="","",ROUND($C53*(1+GANANCIA_DIVISA),2))</f>
        <v/>
      </c>
      <c r="E53" s="29">
        <f>IF($C53="","",ROUND($C53*(1+GANANCIA_BCV),2))</f>
        <v/>
      </c>
    </row>
    <row r="54">
      <c r="A54" s="61" t="inlineStr">
        <is>
          <t>LÍNEA ÁRABE</t>
        </is>
      </c>
      <c r="B54" s="27" t="inlineStr">
        <is>
          <t>SHER</t>
        </is>
      </c>
      <c r="C54" s="27" t="n"/>
      <c r="D54" s="29">
        <f>IF($C54="","",ROUND($C54*(1+GANANCIA_DIVISA),2))</f>
        <v/>
      </c>
      <c r="E54" s="29">
        <f>IF($C54="","",ROUND($C54*(1+GANANCIA_BCV),2))</f>
        <v/>
      </c>
    </row>
    <row r="55">
      <c r="A55" s="61" t="inlineStr">
        <is>
          <t>LÍNEA ÁRABE</t>
        </is>
      </c>
      <c r="B55" s="27" t="inlineStr">
        <is>
          <t>ART OF UNIVERSE</t>
        </is>
      </c>
      <c r="C55" s="27" t="n"/>
      <c r="D55" s="29">
        <f>IF($C55="","",ROUND($C55*(1+GANANCIA_DIVISA),2))</f>
        <v/>
      </c>
      <c r="E55" s="29">
        <f>IF($C55="","",ROUND($C55*(1+GANANCIA_BCV),2))</f>
        <v/>
      </c>
    </row>
    <row r="56">
      <c r="A56" s="61" t="inlineStr">
        <is>
          <t>LÍNEA ÁRABE</t>
        </is>
      </c>
      <c r="B56" s="27" t="inlineStr">
        <is>
          <t>BERTY ON TOP</t>
        </is>
      </c>
      <c r="C56" s="27" t="n"/>
      <c r="D56" s="29">
        <f>IF($C56="","",ROUND($C56*(1+GANANCIA_DIVISA),2))</f>
        <v/>
      </c>
      <c r="E56" s="29">
        <f>IF($C56="","",ROUND($C56*(1+GANANCIA_BCV),2))</f>
        <v/>
      </c>
    </row>
    <row r="57">
      <c r="A57" s="61" t="inlineStr">
        <is>
          <t>LÍNEA ÁRABE</t>
        </is>
      </c>
      <c r="B57" s="27" t="inlineStr">
        <is>
          <t>VAINILLA FREAK</t>
        </is>
      </c>
      <c r="C57" s="27" t="n"/>
      <c r="D57" s="29">
        <f>IF($C57="","",ROUND($C57*(1+GANANCIA_DIVISA),2))</f>
        <v/>
      </c>
      <c r="E57" s="29">
        <f>IF($C57="","",ROUND($C57*(1+GANANCIA_BCV),2))</f>
        <v/>
      </c>
    </row>
    <row r="58">
      <c r="A58" s="61" t="inlineStr">
        <is>
          <t>LÍNEA ÁRABE</t>
        </is>
      </c>
      <c r="B58" s="27" t="inlineStr">
        <is>
          <t>CHOCO OVERDOSE</t>
        </is>
      </c>
      <c r="C58" s="27" t="n"/>
      <c r="D58" s="29">
        <f>IF($C58="","",ROUND($C58*(1+GANANCIA_DIVISA),2))</f>
        <v/>
      </c>
      <c r="E58" s="29">
        <f>IF($C58="","",ROUND($C58*(1+GANANCIA_BCV),2))</f>
        <v/>
      </c>
    </row>
    <row r="59">
      <c r="A59" s="61" t="inlineStr">
        <is>
          <t>LÍNEA ÁRABE</t>
        </is>
      </c>
      <c r="B59" s="27" t="inlineStr">
        <is>
          <t>MALLOW MADNESS</t>
        </is>
      </c>
      <c r="C59" s="27" t="n"/>
      <c r="D59" s="29">
        <f>IF($C59="","",ROUND($C59*(1+GANANCIA_DIVISA),2))</f>
        <v/>
      </c>
      <c r="E59" s="29">
        <f>IF($C59="","",ROUND($C59*(1+GANANCIA_BCV),2))</f>
        <v/>
      </c>
    </row>
    <row r="60">
      <c r="A60" s="61" t="inlineStr">
        <is>
          <t>LÍNEA ÁRABE</t>
        </is>
      </c>
      <c r="B60" s="27" t="inlineStr">
        <is>
          <t>WHIPPED PLEAUSURE</t>
        </is>
      </c>
      <c r="C60" s="27" t="n"/>
      <c r="D60" s="29">
        <f>IF($C60="","",ROUND($C60*(1+GANANCIA_DIVISA),2))</f>
        <v/>
      </c>
      <c r="E60" s="29">
        <f>IF($C60="","",ROUND($C60*(1+GANANCIA_BCV),2))</f>
        <v/>
      </c>
    </row>
    <row r="61">
      <c r="A61" s="61" t="inlineStr">
        <is>
          <t>LÍNEA ÁRABE</t>
        </is>
      </c>
      <c r="B61" s="27" t="inlineStr">
        <is>
          <t>COOKIE CRAVE</t>
        </is>
      </c>
      <c r="C61" s="27" t="n"/>
      <c r="D61" s="29">
        <f>IF($C61="","",ROUND($C61*(1+GANANCIA_DIVISA),2))</f>
        <v/>
      </c>
      <c r="E61" s="29">
        <f>IF($C61="","",ROUND($C61*(1+GANANCIA_BCV),2))</f>
        <v/>
      </c>
    </row>
    <row r="62">
      <c r="A62" s="61" t="inlineStr">
        <is>
          <t>LÍNEA ÁRABE</t>
        </is>
      </c>
      <c r="B62" s="27" t="inlineStr">
        <is>
          <t>9 AM DIVE</t>
        </is>
      </c>
      <c r="C62" s="27" t="n"/>
      <c r="D62" s="29">
        <f>IF($C62="","",ROUND($C62*(1+GANANCIA_DIVISA),2))</f>
        <v/>
      </c>
      <c r="E62" s="29">
        <f>IF($C62="","",ROUND($C62*(1+GANANCIA_BCV),2))</f>
        <v/>
      </c>
    </row>
    <row r="63">
      <c r="A63" s="61" t="inlineStr">
        <is>
          <t>LÍNEA ÁRABE</t>
        </is>
      </c>
      <c r="B63" s="27" t="inlineStr">
        <is>
          <t>9 AM POUR FEMME</t>
        </is>
      </c>
      <c r="C63" s="27" t="n"/>
      <c r="D63" s="29">
        <f>IF($C63="","",ROUND($C63*(1+GANANCIA_DIVISA),2))</f>
        <v/>
      </c>
      <c r="E63" s="29">
        <f>IF($C63="","",ROUND($C63*(1+GANANCIA_BCV),2))</f>
        <v/>
      </c>
    </row>
    <row r="64">
      <c r="A64" s="61" t="inlineStr">
        <is>
          <t>LÍNEA ÁRABE</t>
        </is>
      </c>
      <c r="B64" s="27" t="inlineStr">
        <is>
          <t>9PM ELIXIR</t>
        </is>
      </c>
      <c r="C64" s="27" t="n"/>
      <c r="D64" s="29">
        <f>IF($C64="","",ROUND($C64*(1+GANANCIA_DIVISA),2))</f>
        <v/>
      </c>
      <c r="E64" s="29">
        <f>IF($C64="","",ROUND($C64*(1+GANANCIA_BCV),2))</f>
        <v/>
      </c>
    </row>
    <row r="65">
      <c r="A65" s="61" t="inlineStr">
        <is>
          <t>LÍNEA ÁRABE</t>
        </is>
      </c>
      <c r="B65" s="27" t="inlineStr">
        <is>
          <t>BHARARA KING</t>
        </is>
      </c>
      <c r="C65" s="27" t="n"/>
      <c r="D65" s="29">
        <f>IF($C65="","",ROUND($C65*(1+GANANCIA_DIVISA),2))</f>
        <v/>
      </c>
      <c r="E65" s="29">
        <f>IF($C65="","",ROUND($C65*(1+GANANCIA_BCV),2))</f>
        <v/>
      </c>
    </row>
    <row r="66">
      <c r="A66" s="61" t="inlineStr">
        <is>
          <t>LÍNEA ÁRABE</t>
        </is>
      </c>
      <c r="B66" s="27" t="inlineStr">
        <is>
          <t>BHARARA NICHE</t>
        </is>
      </c>
      <c r="C66" s="27" t="n"/>
      <c r="D66" s="29">
        <f>IF($C66="","",ROUND($C66*(1+GANANCIA_DIVISA),2))</f>
        <v/>
      </c>
      <c r="E66" s="29">
        <f>IF($C66="","",ROUND($C66*(1+GANANCIA_BCV),2))</f>
        <v/>
      </c>
    </row>
    <row r="67">
      <c r="A67" s="61" t="inlineStr">
        <is>
          <t>LÍNEA ÁRABE</t>
        </is>
      </c>
      <c r="B67" s="27" t="inlineStr">
        <is>
          <t>BHARARA BLUE</t>
        </is>
      </c>
      <c r="C67" s="28" t="n">
        <v>12</v>
      </c>
      <c r="D67" s="29">
        <f>IF($C67="","",ROUND($C67*(1+GANANCIA_DIVISA),2))</f>
        <v/>
      </c>
      <c r="E67" s="29">
        <f>IF($C67="","",ROUND($C67*(1+GANANCIA_BCV),2))</f>
        <v/>
      </c>
    </row>
    <row r="68">
      <c r="A68" s="61" t="inlineStr">
        <is>
          <t>LÍNEA ÁRABE</t>
        </is>
      </c>
      <c r="B68" s="27" t="inlineStr">
        <is>
          <t>BHARARA ROSE</t>
        </is>
      </c>
      <c r="C68" s="27" t="n"/>
      <c r="D68" s="29">
        <f>IF($C68="","",ROUND($C68*(1+GANANCIA_DIVISA),2))</f>
        <v/>
      </c>
      <c r="E68" s="29">
        <f>IF($C68="","",ROUND($C68*(1+GANANCIA_BCV),2))</f>
        <v/>
      </c>
    </row>
    <row r="69">
      <c r="A69" s="61" t="inlineStr">
        <is>
          <t>LÍNEA ÁRABE</t>
        </is>
      </c>
      <c r="B69" s="27" t="inlineStr">
        <is>
          <t>BHARARA KING SOLEIL</t>
        </is>
      </c>
      <c r="C69" s="27" t="n"/>
      <c r="D69" s="29">
        <f>IF($C69="","",ROUND($C69*(1+GANANCIA_DIVISA),2))</f>
        <v/>
      </c>
      <c r="E69" s="29">
        <f>IF($C69="","",ROUND($C69*(1+GANANCIA_BCV),2))</f>
        <v/>
      </c>
    </row>
    <row r="70">
      <c r="A70" s="61" t="inlineStr">
        <is>
          <t>LÍNEA ÁRABE</t>
        </is>
      </c>
      <c r="B70" s="27" t="inlineStr">
        <is>
          <t>BHARARA SCARLET</t>
        </is>
      </c>
      <c r="C70" s="27" t="n"/>
      <c r="D70" s="29">
        <f>IF($C70="","",ROUND($C70*(1+GANANCIA_DIVISA),2))</f>
        <v/>
      </c>
      <c r="E70" s="29">
        <f>IF($C70="","",ROUND($C70*(1+GANANCIA_BCV),2))</f>
        <v/>
      </c>
    </row>
    <row r="71">
      <c r="A71" s="61" t="inlineStr">
        <is>
          <t>LÍNEA ÁRABE</t>
        </is>
      </c>
      <c r="B71" s="27" t="inlineStr">
        <is>
          <t>ORIENTICA ROUGE</t>
        </is>
      </c>
      <c r="C71" s="27" t="n"/>
      <c r="D71" s="29">
        <f>IF($C71="","",ROUND($C71*(1+GANANCIA_DIVISA),2))</f>
        <v/>
      </c>
      <c r="E71" s="29">
        <f>IF($C71="","",ROUND($C71*(1+GANANCIA_BCV),2))</f>
        <v/>
      </c>
    </row>
    <row r="72">
      <c r="A72" s="61" t="inlineStr">
        <is>
          <t>LÍNEA ÁRABE</t>
        </is>
      </c>
      <c r="B72" s="27" t="inlineStr">
        <is>
          <t>ORIENTICA ROYAL</t>
        </is>
      </c>
      <c r="C72" s="27" t="n"/>
      <c r="D72" s="29">
        <f>IF($C72="","",ROUND($C72*(1+GANANCIA_DIVISA),2))</f>
        <v/>
      </c>
      <c r="E72" s="29">
        <f>IF($C72="","",ROUND($C72*(1+GANANCIA_BCV),2))</f>
        <v/>
      </c>
    </row>
    <row r="73">
      <c r="A73" s="61" t="inlineStr">
        <is>
          <t>LÍNEA ÁRABE</t>
        </is>
      </c>
      <c r="B73" s="27" t="inlineStr">
        <is>
          <t>ORIENTICA SAFRON</t>
        </is>
      </c>
      <c r="C73" s="27" t="n"/>
      <c r="D73" s="29">
        <f>IF($C73="","",ROUND($C73*(1+GANANCIA_DIVISA),2))</f>
        <v/>
      </c>
      <c r="E73" s="29">
        <f>IF($C73="","",ROUND($C73*(1+GANANCIA_BCV),2))</f>
        <v/>
      </c>
    </row>
    <row r="74">
      <c r="A74" s="61" t="inlineStr">
        <is>
          <t>LÍNEA ÁRABE</t>
        </is>
      </c>
      <c r="B74" s="27" t="inlineStr">
        <is>
          <t>ORIENTICA AL NOBLE</t>
        </is>
      </c>
      <c r="C74" s="27" t="n"/>
      <c r="D74" s="29">
        <f>IF($C74="","",ROUND($C74*(1+GANANCIA_DIVISA),2))</f>
        <v/>
      </c>
      <c r="E74" s="29">
        <f>IF($C74="","",ROUND($C74*(1+GANANCIA_BCV),2))</f>
        <v/>
      </c>
    </row>
    <row r="75">
      <c r="A75" s="61" t="inlineStr">
        <is>
          <t>LÍNEA ÁRABE</t>
        </is>
      </c>
      <c r="B75" s="27" t="inlineStr">
        <is>
          <t>ORIENTICA VELVET</t>
        </is>
      </c>
      <c r="C75" s="27" t="n"/>
      <c r="D75" s="29">
        <f>IF($C75="","",ROUND($C75*(1+GANANCIA_DIVISA),2))</f>
        <v/>
      </c>
      <c r="E75" s="29">
        <f>IF($C75="","",ROUND($C75*(1+GANANCIA_BCV),2))</f>
        <v/>
      </c>
    </row>
    <row r="76">
      <c r="A76" s="61" t="inlineStr">
        <is>
          <t>LÍNEA ÁRABE</t>
        </is>
      </c>
      <c r="B76" s="27" t="inlineStr">
        <is>
          <t>ORIENTICA DANIA</t>
        </is>
      </c>
      <c r="C76" s="27" t="n"/>
      <c r="D76" s="29">
        <f>IF($C76="","",ROUND($C76*(1+GANANCIA_DIVISA),2))</f>
        <v/>
      </c>
      <c r="E76" s="29">
        <f>IF($C76="","",ROUND($C76*(1+GANANCIA_BCV),2))</f>
        <v/>
      </c>
    </row>
    <row r="77">
      <c r="A77" s="61" t="inlineStr">
        <is>
          <t>LÍNEA ÁRABE</t>
        </is>
      </c>
      <c r="B77" s="27" t="inlineStr">
        <is>
          <t>ORIENTICA AZURE</t>
        </is>
      </c>
      <c r="C77" s="27" t="n"/>
      <c r="D77" s="29">
        <f>IF($C77="","",ROUND($C77*(1+GANANCIA_DIVISA),2))</f>
        <v/>
      </c>
      <c r="E77" s="29">
        <f>IF($C77="","",ROUND($C77*(1+GANANCIA_BCV),2))</f>
        <v/>
      </c>
    </row>
    <row r="78">
      <c r="A78" s="61" t="inlineStr">
        <is>
          <t>LÍNEA ÁRABE</t>
        </is>
      </c>
      <c r="B78" s="27" t="inlineStr">
        <is>
          <t>AMBER OUD EXCLUSIF ESMERALD</t>
        </is>
      </c>
      <c r="C78" s="27" t="n"/>
      <c r="D78" s="29">
        <f>IF($C78="","",ROUND($C78*(1+GANANCIA_DIVISA),2))</f>
        <v/>
      </c>
      <c r="E78" s="29">
        <f>IF($C78="","",ROUND($C78*(1+GANANCIA_BCV),2))</f>
        <v/>
      </c>
    </row>
    <row r="79">
      <c r="A79" s="61" t="inlineStr">
        <is>
          <t>LÍNEA ÁRABE</t>
        </is>
      </c>
      <c r="B79" s="27" t="inlineStr">
        <is>
          <t>AMBER OUD AQUA DUBAI</t>
        </is>
      </c>
      <c r="C79" s="27" t="n"/>
      <c r="D79" s="29">
        <f>IF($C79="","",ROUND($C79*(1+GANANCIA_DIVISA),2))</f>
        <v/>
      </c>
      <c r="E79" s="29">
        <f>IF($C79="","",ROUND($C79*(1+GANANCIA_BCV),2))</f>
        <v/>
      </c>
    </row>
    <row r="80">
      <c r="A80" s="61" t="inlineStr">
        <is>
          <t>LÍNEA ÁRABE</t>
        </is>
      </c>
      <c r="B80" s="27" t="inlineStr">
        <is>
          <t>AMBER OUD ULTRAVIOLET</t>
        </is>
      </c>
      <c r="C80" s="27" t="n"/>
      <c r="D80" s="29">
        <f>IF($C80="","",ROUND($C80*(1+GANANCIA_DIVISA),2))</f>
        <v/>
      </c>
      <c r="E80" s="29">
        <f>IF($C80="","",ROUND($C80*(1+GANANCIA_BCV),2))</f>
        <v/>
      </c>
    </row>
    <row r="81">
      <c r="A81" s="61" t="inlineStr">
        <is>
          <t>LÍNEA ÁRABE</t>
        </is>
      </c>
      <c r="B81" s="27" t="inlineStr">
        <is>
          <t>AMBER OUD GOLD EDITION</t>
        </is>
      </c>
      <c r="C81" s="27" t="n"/>
      <c r="D81" s="29">
        <f>IF($C81="","",ROUND($C81*(1+GANANCIA_DIVISA),2))</f>
        <v/>
      </c>
      <c r="E81" s="29">
        <f>IF($C81="","",ROUND($C81*(1+GANANCIA_BCV),2))</f>
        <v/>
      </c>
    </row>
    <row r="82">
      <c r="A82" s="61" t="inlineStr">
        <is>
          <t>LÍNEA ÁRABE</t>
        </is>
      </c>
      <c r="B82" s="27" t="inlineStr">
        <is>
          <t>AMBER OUD BLUE EDITION</t>
        </is>
      </c>
      <c r="C82" s="27" t="n"/>
      <c r="D82" s="29">
        <f>IF($C82="","",ROUND($C82*(1+GANANCIA_DIVISA),2))</f>
        <v/>
      </c>
      <c r="E82" s="29">
        <f>IF($C82="","",ROUND($C82*(1+GANANCIA_BCV),2))</f>
        <v/>
      </c>
    </row>
    <row r="83">
      <c r="A83" s="61" t="inlineStr">
        <is>
          <t>LÍNEA ÁRABE</t>
        </is>
      </c>
      <c r="B83" s="27" t="inlineStr">
        <is>
          <t>AMBER OUD AQUA DUBAI NIGHT</t>
        </is>
      </c>
      <c r="C83" s="27" t="n"/>
      <c r="D83" s="29">
        <f>IF($C83="","",ROUND($C83*(1+GANANCIA_DIVISA),2))</f>
        <v/>
      </c>
      <c r="E83" s="29">
        <f>IF($C83="","",ROUND($C83*(1+GANANCIA_BCV),2))</f>
        <v/>
      </c>
    </row>
    <row r="84">
      <c r="A84" s="61" t="inlineStr">
        <is>
          <t>LÍNEA ÁRABE</t>
        </is>
      </c>
      <c r="B84" s="27" t="inlineStr">
        <is>
          <t>YUM YUM</t>
        </is>
      </c>
      <c r="C84" s="27" t="n"/>
      <c r="D84" s="29">
        <f>IF($C84="","",ROUND($C84*(1+GANANCIA_DIVISA),2))</f>
        <v/>
      </c>
      <c r="E84" s="29">
        <f>IF($C84="","",ROUND($C84*(1+GANANCIA_BCV),2))</f>
        <v/>
      </c>
    </row>
    <row r="85">
      <c r="A85" s="61" t="inlineStr">
        <is>
          <t>LÍNEA ÁRABE</t>
        </is>
      </c>
      <c r="B85" s="27" t="inlineStr">
        <is>
          <t>ISLAND BLISS</t>
        </is>
      </c>
      <c r="C85" s="27" t="n"/>
      <c r="D85" s="29">
        <f>IF($C85="","",ROUND($C85*(1+GANANCIA_DIVISA),2))</f>
        <v/>
      </c>
      <c r="E85" s="29">
        <f>IF($C85="","",ROUND($C85*(1+GANANCIA_BCV),2))</f>
        <v/>
      </c>
    </row>
    <row r="86">
      <c r="A86" s="61" t="inlineStr">
        <is>
          <t>LÍNEA ÁRABE</t>
        </is>
      </c>
      <c r="B86" s="27" t="inlineStr">
        <is>
          <t>ISLAND BREAZZE</t>
        </is>
      </c>
      <c r="C86" s="27" t="n"/>
      <c r="D86" s="29">
        <f>IF($C86="","",ROUND($C86*(1+GANANCIA_DIVISA),2))</f>
        <v/>
      </c>
      <c r="E86" s="29">
        <f>IF($C86="","",ROUND($C86*(1+GANANCIA_BCV),2))</f>
        <v/>
      </c>
    </row>
    <row r="87">
      <c r="A87" s="61" t="inlineStr">
        <is>
          <t>LÍNEA ÁRABE</t>
        </is>
      </c>
      <c r="B87" s="27" t="inlineStr">
        <is>
          <t>ODISSEY MANDARIN</t>
        </is>
      </c>
      <c r="C87" s="27" t="n"/>
      <c r="D87" s="29">
        <f>IF($C87="","",ROUND($C87*(1+GANANCIA_DIVISA),2))</f>
        <v/>
      </c>
      <c r="E87" s="29">
        <f>IF($C87="","",ROUND($C87*(1+GANANCIA_BCV),2))</f>
        <v/>
      </c>
    </row>
    <row r="88">
      <c r="A88" s="61" t="inlineStr">
        <is>
          <t>LÍNEA ÁRABE</t>
        </is>
      </c>
      <c r="B88" s="27" t="inlineStr">
        <is>
          <t>ODISSEY MANDARIN SKY ELIXIR</t>
        </is>
      </c>
      <c r="C88" s="28" t="n">
        <v>14</v>
      </c>
      <c r="D88" s="29">
        <f>IF($C88="","",ROUND($C88*(1+GANANCIA_DIVISA),2))</f>
        <v/>
      </c>
      <c r="E88" s="29">
        <f>IF($C88="","",ROUND($C88*(1+GANANCIA_BCV),2))</f>
        <v/>
      </c>
    </row>
    <row r="89">
      <c r="A89" s="61" t="inlineStr">
        <is>
          <t>LÍNEA ÁRABE</t>
        </is>
      </c>
      <c r="B89" s="27" t="inlineStr">
        <is>
          <t>ODISSEY ARTISTO</t>
        </is>
      </c>
      <c r="C89" s="27" t="n"/>
      <c r="D89" s="29">
        <f>IF($C89="","",ROUND($C89*(1+GANANCIA_DIVISA),2))</f>
        <v/>
      </c>
      <c r="E89" s="29">
        <f>IF($C89="","",ROUND($C89*(1+GANANCIA_BCV),2))</f>
        <v/>
      </c>
    </row>
    <row r="90">
      <c r="A90" s="61" t="inlineStr">
        <is>
          <t>LÍNEA ÁRABE</t>
        </is>
      </c>
      <c r="B90" s="27" t="inlineStr">
        <is>
          <t>ODISSEY OUD</t>
        </is>
      </c>
      <c r="C90" s="27" t="n"/>
      <c r="D90" s="29">
        <f>IF($C90="","",ROUND($C90*(1+GANANCIA_DIVISA),2))</f>
        <v/>
      </c>
      <c r="E90" s="29">
        <f>IF($C90="","",ROUND($C90*(1+GANANCIA_BCV),2))</f>
        <v/>
      </c>
    </row>
    <row r="91">
      <c r="A91" s="61" t="inlineStr">
        <is>
          <t>LÍNEA ÁRABE</t>
        </is>
      </c>
      <c r="B91" s="27" t="inlineStr">
        <is>
          <t>ODISSEY MEGA</t>
        </is>
      </c>
      <c r="C91" s="27" t="n"/>
      <c r="D91" s="29">
        <f>IF($C91="","",ROUND($C91*(1+GANANCIA_DIVISA),2))</f>
        <v/>
      </c>
      <c r="E91" s="29">
        <f>IF($C91="","",ROUND($C91*(1+GANANCIA_BCV),2))</f>
        <v/>
      </c>
    </row>
    <row r="92">
      <c r="A92" s="61" t="inlineStr">
        <is>
          <t>LÍNEA ÁRABE</t>
        </is>
      </c>
      <c r="B92" s="27" t="inlineStr">
        <is>
          <t>ODISSEY WILD</t>
        </is>
      </c>
      <c r="C92" s="27" t="n"/>
      <c r="D92" s="29">
        <f>IF($C92="","",ROUND($C92*(1+GANANCIA_DIVISA),2))</f>
        <v/>
      </c>
      <c r="E92" s="29">
        <f>IF($C92="","",ROUND($C92*(1+GANANCIA_BCV),2))</f>
        <v/>
      </c>
    </row>
    <row r="93">
      <c r="A93" s="61" t="inlineStr">
        <is>
          <t>LÍNEA ÁRABE</t>
        </is>
      </c>
      <c r="B93" s="27" t="inlineStr">
        <is>
          <t>ODISSEY TYRANT</t>
        </is>
      </c>
      <c r="C93" s="27" t="n"/>
      <c r="D93" s="29">
        <f>IF($C93="","",ROUND($C93*(1+GANANCIA_DIVISA),2))</f>
        <v/>
      </c>
      <c r="E93" s="29">
        <f>IF($C93="","",ROUND($C93*(1+GANANCIA_BCV),2))</f>
        <v/>
      </c>
    </row>
    <row r="94">
      <c r="A94" s="61" t="inlineStr">
        <is>
          <t>LÍNEA ÁRABE</t>
        </is>
      </c>
      <c r="B94" s="27" t="inlineStr">
        <is>
          <t>ODISSEY HOMME</t>
        </is>
      </c>
      <c r="C94" s="27" t="n"/>
      <c r="D94" s="29">
        <f>IF($C94="","",ROUND($C94*(1+GANANCIA_DIVISA),2))</f>
        <v/>
      </c>
      <c r="E94" s="29">
        <f>IF($C94="","",ROUND($C94*(1+GANANCIA_BCV),2))</f>
        <v/>
      </c>
    </row>
    <row r="95">
      <c r="A95" s="61" t="inlineStr">
        <is>
          <t>LÍNEA ÁRABE</t>
        </is>
      </c>
      <c r="B95" s="27" t="inlineStr">
        <is>
          <t>ODISSEY SPECTRA</t>
        </is>
      </c>
      <c r="C95" s="27" t="n"/>
      <c r="D95" s="29">
        <f>IF($C95="","",ROUND($C95*(1+GANANCIA_DIVISA),2))</f>
        <v/>
      </c>
      <c r="E95" s="29">
        <f>IF($C95="","",ROUND($C95*(1+GANANCIA_BCV),2))</f>
        <v/>
      </c>
    </row>
    <row r="96">
      <c r="A96" s="61" t="inlineStr">
        <is>
          <t>LÍNEA ÁRABE</t>
        </is>
      </c>
      <c r="B96" s="27" t="inlineStr">
        <is>
          <t>ODISSEY CANDEE</t>
        </is>
      </c>
      <c r="C96" s="27" t="n"/>
      <c r="D96" s="29">
        <f>IF($C96="","",ROUND($C96*(1+GANANCIA_DIVISA),2))</f>
        <v/>
      </c>
      <c r="E96" s="29">
        <f>IF($C96="","",ROUND($C96*(1+GANANCIA_BCV),2))</f>
        <v/>
      </c>
    </row>
    <row r="97">
      <c r="A97" s="61" t="inlineStr">
        <is>
          <t>LÍNEA ÁRABE</t>
        </is>
      </c>
      <c r="B97" s="27" t="inlineStr">
        <is>
          <t>CLUB DE NUIT LYON HEART WOMAN</t>
        </is>
      </c>
      <c r="C97" s="27" t="n"/>
      <c r="D97" s="29">
        <f>IF($C97="","",ROUND($C97*(1+GANANCIA_DIVISA),2))</f>
        <v/>
      </c>
      <c r="E97" s="29">
        <f>IF($C97="","",ROUND($C97*(1+GANANCIA_BCV),2))</f>
        <v/>
      </c>
    </row>
    <row r="98">
      <c r="A98" s="61" t="inlineStr">
        <is>
          <t>LÍNEA ÁRABE</t>
        </is>
      </c>
      <c r="B98" s="27" t="inlineStr">
        <is>
          <t>CLUB DE NUIT MAN INTENSE</t>
        </is>
      </c>
      <c r="C98" s="27" t="n"/>
      <c r="D98" s="29">
        <f>IF($C98="","",ROUND($C98*(1+GANANCIA_DIVISA),2))</f>
        <v/>
      </c>
      <c r="E98" s="29">
        <f>IF($C98="","",ROUND($C98*(1+GANANCIA_BCV),2))</f>
        <v/>
      </c>
    </row>
    <row r="99">
      <c r="A99" s="61" t="inlineStr">
        <is>
          <t>LÍNEA ÁRABE</t>
        </is>
      </c>
      <c r="B99" s="27" t="inlineStr">
        <is>
          <t>CLUB DE NUIT URBAN ELIXIR</t>
        </is>
      </c>
      <c r="C99" s="27" t="n"/>
      <c r="D99" s="29">
        <f>IF($C99="","",ROUND($C99*(1+GANANCIA_DIVISA),2))</f>
        <v/>
      </c>
      <c r="E99" s="29">
        <f>IF($C99="","",ROUND($C99*(1+GANANCIA_BCV),2))</f>
        <v/>
      </c>
    </row>
    <row r="100">
      <c r="A100" s="61" t="inlineStr">
        <is>
          <t>LÍNEA ÁRABE</t>
        </is>
      </c>
      <c r="B100" s="27" t="inlineStr">
        <is>
          <t>CLUB DE NUIT LYON HEART MAN</t>
        </is>
      </c>
      <c r="C100" s="27" t="n"/>
      <c r="D100" s="29">
        <f>IF($C100="","",ROUND($C100*(1+GANANCIA_DIVISA),2))</f>
        <v/>
      </c>
      <c r="E100" s="29">
        <f>IF($C100="","",ROUND($C100*(1+GANANCIA_BCV),2))</f>
        <v/>
      </c>
    </row>
    <row r="101">
      <c r="A101" s="61" t="inlineStr">
        <is>
          <t>LÍNEA ÁRABE</t>
        </is>
      </c>
      <c r="B101" s="27" t="inlineStr">
        <is>
          <t>CLUB DE NUIT SILLAGE</t>
        </is>
      </c>
      <c r="C101" s="27" t="n"/>
      <c r="D101" s="29">
        <f>IF($C101="","",ROUND($C101*(1+GANANCIA_DIVISA),2))</f>
        <v/>
      </c>
      <c r="E101" s="29">
        <f>IF($C101="","",ROUND($C101*(1+GANANCIA_BCV),2))</f>
        <v/>
      </c>
    </row>
    <row r="102">
      <c r="A102" s="61" t="inlineStr">
        <is>
          <t>LÍNEA ÁRABE</t>
        </is>
      </c>
      <c r="B102" s="27" t="inlineStr">
        <is>
          <t>CLUB DE NUIT ICONIC</t>
        </is>
      </c>
      <c r="C102" s="27" t="n"/>
      <c r="D102" s="29">
        <f>IF($C102="","",ROUND($C102*(1+GANANCIA_DIVISA),2))</f>
        <v/>
      </c>
      <c r="E102" s="29">
        <f>IF($C102="","",ROUND($C102*(1+GANANCIA_BCV),2))</f>
        <v/>
      </c>
    </row>
    <row r="103">
      <c r="A103" s="61" t="inlineStr">
        <is>
          <t>LÍNEA ÁRABE</t>
        </is>
      </c>
      <c r="B103" s="27" t="inlineStr">
        <is>
          <t>CLUB DE NUIT UNTOLD</t>
        </is>
      </c>
      <c r="C103" s="27" t="n"/>
      <c r="D103" s="29">
        <f>IF($C103="","",ROUND($C103*(1+GANANCIA_DIVISA),2))</f>
        <v/>
      </c>
      <c r="E103" s="29">
        <f>IF($C103="","",ROUND($C103*(1+GANANCIA_BCV),2))</f>
        <v/>
      </c>
    </row>
    <row r="104">
      <c r="A104" s="61" t="inlineStr">
        <is>
          <t>LÍNEA ÁRABE</t>
        </is>
      </c>
      <c r="B104" s="27" t="inlineStr">
        <is>
          <t>CLUB DE NUIT WOMAN</t>
        </is>
      </c>
      <c r="C104" s="27" t="n"/>
      <c r="D104" s="29">
        <f>IF($C104="","",ROUND($C104*(1+GANANCIA_DIVISA),2))</f>
        <v/>
      </c>
      <c r="E104" s="29">
        <f>IF($C104="","",ROUND($C104*(1+GANANCIA_BCV),2))</f>
        <v/>
      </c>
    </row>
    <row r="105">
      <c r="A105" s="61" t="inlineStr">
        <is>
          <t>LÍNEA ÁRABE</t>
        </is>
      </c>
      <c r="B105" s="27" t="inlineStr">
        <is>
          <t>CLUB DE NUIT MILESTONE</t>
        </is>
      </c>
      <c r="C105" s="27" t="n"/>
      <c r="D105" s="29">
        <f>IF($C105="","",ROUND($C105*(1+GANANCIA_DIVISA),2))</f>
        <v/>
      </c>
      <c r="E105" s="29">
        <f>IF($C105="","",ROUND($C105*(1+GANANCIA_BCV),2))</f>
        <v/>
      </c>
    </row>
    <row r="106">
      <c r="A106" s="61" t="inlineStr">
        <is>
          <t>LÍNEA ÁRABE</t>
        </is>
      </c>
      <c r="B106" s="27" t="inlineStr">
        <is>
          <t>CLUB DE NUIT IMPERIALE</t>
        </is>
      </c>
      <c r="C106" s="27" t="n"/>
      <c r="D106" s="29">
        <f>IF($C106="","",ROUND($C106*(1+GANANCIA_DIVISA),2))</f>
        <v/>
      </c>
      <c r="E106" s="29">
        <f>IF($C106="","",ROUND($C106*(1+GANANCIA_BCV),2))</f>
        <v/>
      </c>
    </row>
    <row r="107">
      <c r="A107" s="61" t="inlineStr">
        <is>
          <t>LÍNEA CLÁSICA O DISEÑADOR</t>
        </is>
      </c>
      <c r="B107" s="27" t="inlineStr">
        <is>
          <t>LE MALE</t>
        </is>
      </c>
      <c r="C107" s="27" t="n"/>
      <c r="D107" s="29">
        <f>IF($C107="","",ROUND($C107*(1+GANANCIA_DIVISA),2))</f>
        <v/>
      </c>
      <c r="E107" s="29">
        <f>IF($C107="","",ROUND($C107*(1+GANANCIA_BCV),2))</f>
        <v/>
      </c>
    </row>
    <row r="108">
      <c r="A108" s="61" t="inlineStr">
        <is>
          <t>LÍNEA CLÁSICA O DISEÑADOR</t>
        </is>
      </c>
      <c r="B108" s="27" t="inlineStr">
        <is>
          <t>LE BEAU</t>
        </is>
      </c>
      <c r="C108" s="27" t="n"/>
      <c r="D108" s="29">
        <f>IF($C108="","",ROUND($C108*(1+GANANCIA_DIVISA),2))</f>
        <v/>
      </c>
      <c r="E108" s="29">
        <f>IF($C108="","",ROUND($C108*(1+GANANCIA_BCV),2))</f>
        <v/>
      </c>
    </row>
    <row r="109">
      <c r="A109" s="61" t="inlineStr">
        <is>
          <t>LÍNEA CLÁSICA O DISEÑADOR</t>
        </is>
      </c>
      <c r="B109" s="27" t="inlineStr">
        <is>
          <t>LE BEA PARADISE GARDEN</t>
        </is>
      </c>
      <c r="C109" s="27" t="n"/>
      <c r="D109" s="29">
        <f>IF($C109="","",ROUND($C109*(1+GANANCIA_DIVISA),2))</f>
        <v/>
      </c>
      <c r="E109" s="29">
        <f>IF($C109="","",ROUND($C109*(1+GANANCIA_BCV),2))</f>
        <v/>
      </c>
    </row>
    <row r="110">
      <c r="A110" s="61" t="inlineStr">
        <is>
          <t>LÍNEA CLÁSICA O DISEÑADOR</t>
        </is>
      </c>
      <c r="B110" s="27" t="inlineStr">
        <is>
          <t>LE MALE ELIXIR</t>
        </is>
      </c>
      <c r="C110" s="27" t="n"/>
      <c r="D110" s="29">
        <f>IF($C110="","",ROUND($C110*(1+GANANCIA_DIVISA),2))</f>
        <v/>
      </c>
      <c r="E110" s="29">
        <f>IF($C110="","",ROUND($C110*(1+GANANCIA_BCV),2))</f>
        <v/>
      </c>
    </row>
    <row r="111">
      <c r="A111" s="61" t="inlineStr">
        <is>
          <t>LÍNEA CLÁSICA O DISEÑADOR</t>
        </is>
      </c>
      <c r="B111" s="27" t="inlineStr">
        <is>
          <t>ULTRAMALE</t>
        </is>
      </c>
      <c r="C111" s="27" t="n"/>
      <c r="D111" s="29">
        <f>IF($C111="","",ROUND($C111*(1+GANANCIA_DIVISA),2))</f>
        <v/>
      </c>
      <c r="E111" s="29">
        <f>IF($C111="","",ROUND($C111*(1+GANANCIA_BCV),2))</f>
        <v/>
      </c>
    </row>
    <row r="112">
      <c r="A112" s="61" t="inlineStr">
        <is>
          <t>LÍNEA CLÁSICA O DISEÑADOR</t>
        </is>
      </c>
      <c r="B112" s="27" t="inlineStr">
        <is>
          <t>DIVINE</t>
        </is>
      </c>
      <c r="C112" s="27" t="n"/>
      <c r="D112" s="29">
        <f>IF($C112="","",ROUND($C112*(1+GANANCIA_DIVISA),2))</f>
        <v/>
      </c>
      <c r="E112" s="29">
        <f>IF($C112="","",ROUND($C112*(1+GANANCIA_BCV),2))</f>
        <v/>
      </c>
    </row>
    <row r="113">
      <c r="A113" s="61" t="inlineStr">
        <is>
          <t>LÍNEA CLÁSICA O DISEÑADOR</t>
        </is>
      </c>
      <c r="B113" s="27" t="inlineStr">
        <is>
          <t>CLOUD</t>
        </is>
      </c>
      <c r="C113" s="27" t="n"/>
      <c r="D113" s="29">
        <f>IF($C113="","",ROUND($C113*(1+GANANCIA_DIVISA),2))</f>
        <v/>
      </c>
      <c r="E113" s="29">
        <f>IF($C113="","",ROUND($C113*(1+GANANCIA_BCV),2))</f>
        <v/>
      </c>
    </row>
    <row r="114">
      <c r="A114" s="61" t="inlineStr">
        <is>
          <t>LÍNEA CLÁSICA O DISEÑADOR</t>
        </is>
      </c>
      <c r="B114" s="27" t="inlineStr">
        <is>
          <t>CLOUD 2.0</t>
        </is>
      </c>
      <c r="C114" s="27" t="n"/>
      <c r="D114" s="29">
        <f>IF($C114="","",ROUND($C114*(1+GANANCIA_DIVISA),2))</f>
        <v/>
      </c>
      <c r="E114" s="29">
        <f>IF($C114="","",ROUND($C114*(1+GANANCIA_BCV),2))</f>
        <v/>
      </c>
    </row>
    <row r="115">
      <c r="A115" s="61" t="inlineStr">
        <is>
          <t>LÍNEA CLÁSICA O DISEÑADOR</t>
        </is>
      </c>
      <c r="B115" s="27" t="inlineStr">
        <is>
          <t>THANK U NEXT</t>
        </is>
      </c>
      <c r="C115" s="27" t="n"/>
      <c r="D115" s="29">
        <f>IF($C115="","",ROUND($C115*(1+GANANCIA_DIVISA),2))</f>
        <v/>
      </c>
      <c r="E115" s="29">
        <f>IF($C115="","",ROUND($C115*(1+GANANCIA_BCV),2))</f>
        <v/>
      </c>
    </row>
    <row r="116">
      <c r="A116" s="61" t="inlineStr">
        <is>
          <t>LÍNEA CLÁSICA O DISEÑADOR</t>
        </is>
      </c>
      <c r="B116" s="27" t="inlineStr">
        <is>
          <t>SWEET LIKE CANDY</t>
        </is>
      </c>
      <c r="C116" s="27" t="n"/>
      <c r="D116" s="29">
        <f>IF($C116="","",ROUND($C116*(1+GANANCIA_DIVISA),2))</f>
        <v/>
      </c>
      <c r="E116" s="29">
        <f>IF($C116="","",ROUND($C116*(1+GANANCIA_BCV),2))</f>
        <v/>
      </c>
    </row>
    <row r="117">
      <c r="A117" s="61" t="inlineStr">
        <is>
          <t>LÍNEA CLÁSICA O DISEÑADOR</t>
        </is>
      </c>
      <c r="B117" s="27" t="inlineStr">
        <is>
          <t>R.E.M</t>
        </is>
      </c>
      <c r="C117" s="27" t="n"/>
      <c r="D117" s="29">
        <f>IF($C117="","",ROUND($C117*(1+GANANCIA_DIVISA),2))</f>
        <v/>
      </c>
      <c r="E117" s="29">
        <f>IF($C117="","",ROUND($C117*(1+GANANCIA_BCV),2))</f>
        <v/>
      </c>
    </row>
    <row r="118">
      <c r="A118" s="61" t="inlineStr">
        <is>
          <t>LÍNEA CLÁSICA O DISEÑADOR</t>
        </is>
      </c>
      <c r="B118" s="27" t="inlineStr">
        <is>
          <t>MOOD VAINILLA</t>
        </is>
      </c>
      <c r="C118" s="27" t="n"/>
      <c r="D118" s="29">
        <f>IF($C118="","",ROUND($C118*(1+GANANCIA_DIVISA),2))</f>
        <v/>
      </c>
      <c r="E118" s="29">
        <f>IF($C118="","",ROUND($C118*(1+GANANCIA_BCV),2))</f>
        <v/>
      </c>
    </row>
    <row r="119">
      <c r="A119" s="61" t="inlineStr">
        <is>
          <t>LÍNEA CLÁSICA O DISEÑADOR</t>
        </is>
      </c>
      <c r="B119" s="27" t="inlineStr">
        <is>
          <t>MOOD BLUSH</t>
        </is>
      </c>
      <c r="C119" s="27" t="n"/>
      <c r="D119" s="29">
        <f>IF($C119="","",ROUND($C119*(1+GANANCIA_DIVISA),2))</f>
        <v/>
      </c>
      <c r="E119" s="29">
        <f>IF($C119="","",ROUND($C119*(1+GANANCIA_BCV),2))</f>
        <v/>
      </c>
    </row>
    <row r="120">
      <c r="A120" s="61" t="inlineStr">
        <is>
          <t>LÍNEA CLÁSICA O DISEÑADOR</t>
        </is>
      </c>
      <c r="B120" s="27" t="inlineStr">
        <is>
          <t>212 VIP FEM</t>
        </is>
      </c>
      <c r="C120" s="27" t="n"/>
      <c r="D120" s="29">
        <f>IF($C120="","",ROUND($C120*(1+GANANCIA_DIVISA),2))</f>
        <v/>
      </c>
      <c r="E120" s="29">
        <f>IF($C120="","",ROUND($C120*(1+GANANCIA_BCV),2))</f>
        <v/>
      </c>
    </row>
    <row r="121">
      <c r="A121" s="61" t="inlineStr">
        <is>
          <t>LÍNEA CLÁSICA O DISEÑADOR</t>
        </is>
      </c>
      <c r="B121" s="27" t="inlineStr">
        <is>
          <t>212 VIP ROSE</t>
        </is>
      </c>
      <c r="C121" s="27" t="n"/>
      <c r="D121" s="29">
        <f>IF($C121="","",ROUND($C121*(1+GANANCIA_DIVISA),2))</f>
        <v/>
      </c>
      <c r="E121" s="29">
        <f>IF($C121="","",ROUND($C121*(1+GANANCIA_BCV),2))</f>
        <v/>
      </c>
    </row>
    <row r="122">
      <c r="A122" s="61" t="inlineStr">
        <is>
          <t>LÍNEA CLÁSICA O DISEÑADOR</t>
        </is>
      </c>
      <c r="B122" s="27" t="inlineStr">
        <is>
          <t>212 SEXY FEM</t>
        </is>
      </c>
      <c r="C122" s="27" t="n"/>
      <c r="D122" s="29">
        <f>IF($C122="","",ROUND($C122*(1+GANANCIA_DIVISA),2))</f>
        <v/>
      </c>
      <c r="E122" s="29">
        <f>IF($C122="","",ROUND($C122*(1+GANANCIA_BCV),2))</f>
        <v/>
      </c>
    </row>
    <row r="123">
      <c r="A123" s="61" t="inlineStr">
        <is>
          <t>LÍNEA CLÁSICA O DISEÑADOR</t>
        </is>
      </c>
      <c r="B123" s="27" t="inlineStr">
        <is>
          <t>212 HEROES FEM</t>
        </is>
      </c>
      <c r="C123" s="27" t="n"/>
      <c r="D123" s="29">
        <f>IF($C123="","",ROUND($C123*(1+GANANCIA_DIVISA),2))</f>
        <v/>
      </c>
      <c r="E123" s="29">
        <f>IF($C123="","",ROUND($C123*(1+GANANCIA_BCV),2))</f>
        <v/>
      </c>
    </row>
    <row r="124">
      <c r="A124" s="61" t="inlineStr">
        <is>
          <t>LÍNEA CLÁSICA O DISEÑADOR</t>
        </is>
      </c>
      <c r="B124" s="27" t="inlineStr">
        <is>
          <t>LA BOMBA</t>
        </is>
      </c>
      <c r="C124" s="27" t="n"/>
      <c r="D124" s="29">
        <f>IF($C124="","",ROUND($C124*(1+GANANCIA_DIVISA),2))</f>
        <v/>
      </c>
      <c r="E124" s="29">
        <f>IF($C124="","",ROUND($C124*(1+GANANCIA_BCV),2))</f>
        <v/>
      </c>
    </row>
    <row r="125">
      <c r="A125" s="61" t="inlineStr">
        <is>
          <t>LÍNEA CLÁSICA O DISEÑADOR</t>
        </is>
      </c>
      <c r="B125" s="27" t="inlineStr">
        <is>
          <t>GOOD GIRL</t>
        </is>
      </c>
      <c r="C125" s="27" t="n"/>
      <c r="D125" s="29">
        <f>IF($C125="","",ROUND($C125*(1+GANANCIA_DIVISA),2))</f>
        <v/>
      </c>
      <c r="E125" s="29">
        <f>IF($C125="","",ROUND($C125*(1+GANANCIA_BCV),2))</f>
        <v/>
      </c>
    </row>
    <row r="126">
      <c r="A126" s="61" t="inlineStr">
        <is>
          <t>LÍNEA CLÁSICA O DISEÑADOR</t>
        </is>
      </c>
      <c r="B126" s="27" t="inlineStr">
        <is>
          <t>GOOD GIRL LEGERE</t>
        </is>
      </c>
      <c r="C126" s="27" t="n"/>
      <c r="D126" s="29">
        <f>IF($C126="","",ROUND($C126*(1+GANANCIA_DIVISA),2))</f>
        <v/>
      </c>
      <c r="E126" s="29">
        <f>IF($C126="","",ROUND($C126*(1+GANANCIA_BCV),2))</f>
        <v/>
      </c>
    </row>
    <row r="127">
      <c r="A127" s="61" t="inlineStr">
        <is>
          <t>LÍNEA CLÁSICA O DISEÑADOR</t>
        </is>
      </c>
      <c r="B127" s="27" t="inlineStr">
        <is>
          <t>VERY GOOD GIRL</t>
        </is>
      </c>
      <c r="C127" s="27" t="n"/>
      <c r="D127" s="29">
        <f>IF($C127="","",ROUND($C127*(1+GANANCIA_DIVISA),2))</f>
        <v/>
      </c>
      <c r="E127" s="29">
        <f>IF($C127="","",ROUND($C127*(1+GANANCIA_BCV),2))</f>
        <v/>
      </c>
    </row>
    <row r="128">
      <c r="A128" s="61" t="inlineStr">
        <is>
          <t>LÍNEA CLÁSICA O DISEÑADOR</t>
        </is>
      </c>
      <c r="B128" s="27" t="inlineStr">
        <is>
          <t>CH FEM</t>
        </is>
      </c>
      <c r="C128" s="27" t="n"/>
      <c r="D128" s="29">
        <f>IF($C128="","",ROUND($C128*(1+GANANCIA_DIVISA),2))</f>
        <v/>
      </c>
      <c r="E128" s="29">
        <f>IF($C128="","",ROUND($C128*(1+GANANCIA_BCV),2))</f>
        <v/>
      </c>
    </row>
    <row r="129">
      <c r="A129" s="61" t="inlineStr">
        <is>
          <t>LÍNEA CLÁSICA O DISEÑADOR</t>
        </is>
      </c>
      <c r="B129" s="27" t="inlineStr">
        <is>
          <t>CAN CAN</t>
        </is>
      </c>
      <c r="C129" s="27" t="n"/>
      <c r="D129" s="29">
        <f>IF($C129="","",ROUND($C129*(1+GANANCIA_DIVISA),2))</f>
        <v/>
      </c>
      <c r="E129" s="29">
        <f>IF($C129="","",ROUND($C129*(1+GANANCIA_BCV),2))</f>
        <v/>
      </c>
    </row>
    <row r="130">
      <c r="A130" s="61" t="inlineStr">
        <is>
          <t>LÍNEA CLÁSICA O DISEÑADOR</t>
        </is>
      </c>
      <c r="B130" s="27" t="inlineStr">
        <is>
          <t>HEIRESS</t>
        </is>
      </c>
      <c r="C130" s="27" t="n"/>
      <c r="D130" s="29">
        <f>IF($C130="","",ROUND($C130*(1+GANANCIA_DIVISA),2))</f>
        <v/>
      </c>
      <c r="E130" s="29">
        <f>IF($C130="","",ROUND($C130*(1+GANANCIA_BCV),2))</f>
        <v/>
      </c>
    </row>
    <row r="131">
      <c r="A131" s="61" t="inlineStr">
        <is>
          <t>LÍNEA CLÁSICA O DISEÑADOR</t>
        </is>
      </c>
      <c r="B131" s="27" t="inlineStr">
        <is>
          <t>FANTASY</t>
        </is>
      </c>
      <c r="C131" s="27" t="n"/>
      <c r="D131" s="29">
        <f>IF($C131="","",ROUND($C131*(1+GANANCIA_DIVISA),2))</f>
        <v/>
      </c>
      <c r="E131" s="29">
        <f>IF($C131="","",ROUND($C131*(1+GANANCIA_BCV),2))</f>
        <v/>
      </c>
    </row>
    <row r="132">
      <c r="A132" s="61" t="inlineStr">
        <is>
          <t>LÍNEA CLÁSICA O DISEÑADOR</t>
        </is>
      </c>
      <c r="B132" s="27" t="inlineStr">
        <is>
          <t>FANTASY MIDNIGHT</t>
        </is>
      </c>
      <c r="C132" s="27" t="n"/>
      <c r="D132" s="29">
        <f>IF($C132="","",ROUND($C132*(1+GANANCIA_DIVISA),2))</f>
        <v/>
      </c>
      <c r="E132" s="29">
        <f>IF($C132="","",ROUND($C132*(1+GANANCIA_BCV),2))</f>
        <v/>
      </c>
    </row>
    <row r="133">
      <c r="A133" s="61" t="inlineStr">
        <is>
          <t>LÍNEA CLÁSICA O DISEÑADOR</t>
        </is>
      </c>
      <c r="B133" s="27" t="inlineStr">
        <is>
          <t>FANTASY CIRCUS</t>
        </is>
      </c>
      <c r="C133" s="27" t="n"/>
      <c r="D133" s="29">
        <f>IF($C133="","",ROUND($C133*(1+GANANCIA_DIVISA),2))</f>
        <v/>
      </c>
      <c r="E133" s="29">
        <f>IF($C133="","",ROUND($C133*(1+GANANCIA_BCV),2))</f>
        <v/>
      </c>
    </row>
    <row r="134">
      <c r="A134" s="61" t="inlineStr">
        <is>
          <t>LÍNEA CLÁSICA O DISEÑADOR</t>
        </is>
      </c>
      <c r="B134" s="27" t="inlineStr">
        <is>
          <t>SORBETO ROSSO</t>
        </is>
      </c>
      <c r="C134" s="27" t="n"/>
      <c r="D134" s="29">
        <f>IF($C134="","",ROUND($C134*(1+GANANCIA_DIVISA),2))</f>
        <v/>
      </c>
      <c r="E134" s="29">
        <f>IF($C134="","",ROUND($C134*(1+GANANCIA_BCV),2))</f>
        <v/>
      </c>
    </row>
    <row r="135">
      <c r="A135" s="61" t="inlineStr">
        <is>
          <t>LÍNEA CLÁSICA O DISEÑADOR</t>
        </is>
      </c>
      <c r="B135" s="27" t="inlineStr">
        <is>
          <t>AGUA DE SOL</t>
        </is>
      </c>
      <c r="C135" s="27" t="n"/>
      <c r="D135" s="29">
        <f>IF($C135="","",ROUND($C135*(1+GANANCIA_DIVISA),2))</f>
        <v/>
      </c>
      <c r="E135" s="29">
        <f>IF($C135="","",ROUND($C135*(1+GANANCIA_BCV),2))</f>
        <v/>
      </c>
    </row>
    <row r="136">
      <c r="A136" s="61" t="inlineStr">
        <is>
          <t>LÍNEA CLÁSICA O DISEÑADOR</t>
        </is>
      </c>
      <c r="B136" s="27" t="inlineStr">
        <is>
          <t>ROCK IN RIO</t>
        </is>
      </c>
      <c r="C136" s="27" t="n"/>
      <c r="D136" s="29">
        <f>IF($C136="","",ROUND($C136*(1+GANANCIA_DIVISA),2))</f>
        <v/>
      </c>
      <c r="E136" s="29">
        <f>IF($C136="","",ROUND($C136*(1+GANANCIA_BCV),2))</f>
        <v/>
      </c>
    </row>
    <row r="137">
      <c r="A137" s="61" t="inlineStr">
        <is>
          <t>LÍNEA CLÁSICA O DISEÑADOR</t>
        </is>
      </c>
      <c r="B137" s="27" t="inlineStr">
        <is>
          <t>FAME</t>
        </is>
      </c>
      <c r="C137" s="27" t="n"/>
      <c r="D137" s="29">
        <f>IF($C137="","",ROUND($C137*(1+GANANCIA_DIVISA),2))</f>
        <v/>
      </c>
      <c r="E137" s="29">
        <f>IF($C137="","",ROUND($C137*(1+GANANCIA_BCV),2))</f>
        <v/>
      </c>
    </row>
    <row r="138">
      <c r="A138" s="61" t="inlineStr">
        <is>
          <t>LÍNEA CLÁSICA O DISEÑADOR</t>
        </is>
      </c>
      <c r="B138" s="27" t="inlineStr">
        <is>
          <t>FAME COUTURE</t>
        </is>
      </c>
      <c r="C138" s="27" t="n"/>
      <c r="D138" s="29">
        <f>IF($C138="","",ROUND($C138*(1+GANANCIA_DIVISA),2))</f>
        <v/>
      </c>
      <c r="E138" s="29">
        <f>IF($C138="","",ROUND($C138*(1+GANANCIA_BCV),2))</f>
        <v/>
      </c>
    </row>
    <row r="139">
      <c r="A139" s="61" t="inlineStr">
        <is>
          <t>LÍNEA CLÁSICA O DISEÑADOR</t>
        </is>
      </c>
      <c r="B139" s="27" t="inlineStr">
        <is>
          <t>OLYMPEA</t>
        </is>
      </c>
      <c r="C139" s="27" t="n"/>
      <c r="D139" s="29">
        <f>IF($C139="","",ROUND($C139*(1+GANANCIA_DIVISA),2))</f>
        <v/>
      </c>
      <c r="E139" s="29">
        <f>IF($C139="","",ROUND($C139*(1+GANANCIA_BCV),2))</f>
        <v/>
      </c>
    </row>
    <row r="140">
      <c r="A140" s="61" t="inlineStr">
        <is>
          <t>LÍNEA CLÁSICA O DISEÑADOR</t>
        </is>
      </c>
      <c r="B140" s="27" t="inlineStr">
        <is>
          <t>TOY BUBBLEGUM</t>
        </is>
      </c>
      <c r="C140" s="27" t="n"/>
      <c r="D140" s="29">
        <f>IF($C140="","",ROUND($C140*(1+GANANCIA_DIVISA),2))</f>
        <v/>
      </c>
      <c r="E140" s="29">
        <f>IF($C140="","",ROUND($C140*(1+GANANCIA_BCV),2))</f>
        <v/>
      </c>
    </row>
    <row r="141">
      <c r="A141" s="61" t="inlineStr">
        <is>
          <t>LÍNEA CLÁSICA O DISEÑADOR</t>
        </is>
      </c>
      <c r="B141" s="27" t="inlineStr">
        <is>
          <t>TOY 2</t>
        </is>
      </c>
      <c r="C141" s="27" t="n"/>
      <c r="D141" s="29">
        <f>IF($C141="","",ROUND($C141*(1+GANANCIA_DIVISA),2))</f>
        <v/>
      </c>
      <c r="E141" s="29">
        <f>IF($C141="","",ROUND($C141*(1+GANANCIA_BCV),2))</f>
        <v/>
      </c>
    </row>
    <row r="142">
      <c r="A142" s="61" t="inlineStr">
        <is>
          <t>LÍNEA CLÁSICA O DISEÑADOR</t>
        </is>
      </c>
      <c r="B142" s="27" t="inlineStr">
        <is>
          <t>TOY PEARL</t>
        </is>
      </c>
      <c r="C142" s="27" t="n"/>
      <c r="D142" s="29">
        <f>IF($C142="","",ROUND($C142*(1+GANANCIA_DIVISA),2))</f>
        <v/>
      </c>
      <c r="E142" s="29">
        <f>IF($C142="","",ROUND($C142*(1+GANANCIA_BCV),2))</f>
        <v/>
      </c>
    </row>
    <row r="143">
      <c r="A143" s="61" t="inlineStr">
        <is>
          <t>LÍNEA CLÁSICA O DISEÑADOR</t>
        </is>
      </c>
      <c r="B143" s="27" t="inlineStr">
        <is>
          <t>CHANCE CHANEL</t>
        </is>
      </c>
      <c r="C143" s="27" t="n"/>
      <c r="D143" s="29">
        <f>IF($C143="","",ROUND($C143*(1+GANANCIA_DIVISA),2))</f>
        <v/>
      </c>
      <c r="E143" s="29">
        <f>IF($C143="","",ROUND($C143*(1+GANANCIA_BCV),2))</f>
        <v/>
      </c>
    </row>
    <row r="144">
      <c r="A144" s="61" t="inlineStr">
        <is>
          <t>LÍNEA CLÁSICA O DISEÑADOR</t>
        </is>
      </c>
      <c r="B144" s="27" t="inlineStr">
        <is>
          <t>COCOMADEMOISELLE</t>
        </is>
      </c>
      <c r="C144" s="27" t="n"/>
      <c r="D144" s="29">
        <f>IF($C144="","",ROUND($C144*(1+GANANCIA_DIVISA),2))</f>
        <v/>
      </c>
      <c r="E144" s="29">
        <f>IF($C144="","",ROUND($C144*(1+GANANCIA_BCV),2))</f>
        <v/>
      </c>
    </row>
    <row r="145">
      <c r="A145" s="61" t="inlineStr">
        <is>
          <t>LÍNEA CLÁSICA O DISEÑADOR</t>
        </is>
      </c>
      <c r="B145" s="27" t="inlineStr">
        <is>
          <t>CHANEL N5</t>
        </is>
      </c>
      <c r="C145" s="27" t="n"/>
      <c r="D145" s="29">
        <f>IF($C145="","",ROUND($C145*(1+GANANCIA_DIVISA),2))</f>
        <v/>
      </c>
      <c r="E145" s="29">
        <f>IF($C145="","",ROUND($C145*(1+GANANCIA_BCV),2))</f>
        <v/>
      </c>
    </row>
    <row r="146">
      <c r="A146" s="61" t="inlineStr">
        <is>
          <t>LÍNEA CLÁSICA O DISEÑADOR</t>
        </is>
      </c>
      <c r="B146" s="27" t="inlineStr">
        <is>
          <t>MEOW</t>
        </is>
      </c>
      <c r="C146" s="27" t="n"/>
      <c r="D146" s="29">
        <f>IF($C146="","",ROUND($C146*(1+GANANCIA_DIVISA),2))</f>
        <v/>
      </c>
      <c r="E146" s="29">
        <f>IF($C146="","",ROUND($C146*(1+GANANCIA_BCV),2))</f>
        <v/>
      </c>
    </row>
    <row r="147">
      <c r="A147" s="61" t="inlineStr">
        <is>
          <t>LÍNEA CLÁSICA O DISEÑADOR</t>
        </is>
      </c>
      <c r="B147" s="27" t="inlineStr">
        <is>
          <t>PRR</t>
        </is>
      </c>
      <c r="C147" s="27" t="n"/>
      <c r="D147" s="29">
        <f>IF($C147="","",ROUND($C147*(1+GANANCIA_DIVISA),2))</f>
        <v/>
      </c>
      <c r="E147" s="29">
        <f>IF($C147="","",ROUND($C147*(1+GANANCIA_BCV),2))</f>
        <v/>
      </c>
    </row>
    <row r="148">
      <c r="A148" s="61" t="inlineStr">
        <is>
          <t>LÍNEA CLÁSICA O DISEÑADOR</t>
        </is>
      </c>
      <c r="B148" s="27" t="inlineStr">
        <is>
          <t>BRIGHCRYSTAL</t>
        </is>
      </c>
      <c r="C148" s="27" t="n"/>
      <c r="D148" s="29">
        <f>IF($C148="","",ROUND($C148*(1+GANANCIA_DIVISA),2))</f>
        <v/>
      </c>
      <c r="E148" s="29">
        <f>IF($C148="","",ROUND($C148*(1+GANANCIA_BCV),2))</f>
        <v/>
      </c>
    </row>
    <row r="149">
      <c r="A149" s="61" t="inlineStr">
        <is>
          <t>LÍNEA CLÁSICA O DISEÑADOR</t>
        </is>
      </c>
      <c r="B149" s="27" t="inlineStr">
        <is>
          <t>YELLOW DIAMONDS</t>
        </is>
      </c>
      <c r="C149" s="27" t="n"/>
      <c r="D149" s="29">
        <f>IF($C149="","",ROUND($C149*(1+GANANCIA_DIVISA),2))</f>
        <v/>
      </c>
      <c r="E149" s="29">
        <f>IF($C149="","",ROUND($C149*(1+GANANCIA_BCV),2))</f>
        <v/>
      </c>
    </row>
    <row r="150">
      <c r="A150" s="61" t="inlineStr">
        <is>
          <t>LÍNEA CLÁSICA O DISEÑADOR</t>
        </is>
      </c>
      <c r="B150" s="27" t="inlineStr">
        <is>
          <t>TOMMY GIRLS</t>
        </is>
      </c>
      <c r="C150" s="27" t="n"/>
      <c r="D150" s="29">
        <f>IF($C150="","",ROUND($C150*(1+GANANCIA_DIVISA),2))</f>
        <v/>
      </c>
      <c r="E150" s="29">
        <f>IF($C150="","",ROUND($C150*(1+GANANCIA_BCV),2))</f>
        <v/>
      </c>
    </row>
    <row r="151">
      <c r="A151" s="61" t="inlineStr">
        <is>
          <t>LÍNEA CLÁSICA O DISEÑADOR</t>
        </is>
      </c>
      <c r="B151" s="27" t="inlineStr">
        <is>
          <t>VIVA LA JUICY</t>
        </is>
      </c>
      <c r="C151" s="27" t="n"/>
      <c r="D151" s="29">
        <f>IF($C151="","",ROUND($C151*(1+GANANCIA_DIVISA),2))</f>
        <v/>
      </c>
      <c r="E151" s="29">
        <f>IF($C151="","",ROUND($C151*(1+GANANCIA_BCV),2))</f>
        <v/>
      </c>
    </row>
    <row r="152">
      <c r="A152" s="61" t="inlineStr">
        <is>
          <t>LÍNEA CLÁSICA O DISEÑADOR</t>
        </is>
      </c>
      <c r="B152" s="27" t="inlineStr">
        <is>
          <t>SCANDAL FEM</t>
        </is>
      </c>
      <c r="C152" s="27" t="n"/>
      <c r="D152" s="29">
        <f>IF($C152="","",ROUND($C152*(1+GANANCIA_DIVISA),2))</f>
        <v/>
      </c>
      <c r="E152" s="29">
        <f>IF($C152="","",ROUND($C152*(1+GANANCIA_BCV),2))</f>
        <v/>
      </c>
    </row>
    <row r="153">
      <c r="A153" s="61" t="inlineStr">
        <is>
          <t>LÍNEA CLÁSICA O DISEÑADOR</t>
        </is>
      </c>
      <c r="B153" s="27" t="inlineStr">
        <is>
          <t>LIGHT BLUE FEM</t>
        </is>
      </c>
      <c r="C153" s="27" t="n"/>
      <c r="D153" s="29">
        <f>IF($C153="","",ROUND($C153*(1+GANANCIA_DIVISA),2))</f>
        <v/>
      </c>
      <c r="E153" s="29">
        <f>IF($C153="","",ROUND($C153*(1+GANANCIA_BCV),2))</f>
        <v/>
      </c>
    </row>
    <row r="154">
      <c r="A154" s="61" t="inlineStr">
        <is>
          <t>LÍNEA CLÁSICA O DISEÑADOR</t>
        </is>
      </c>
      <c r="B154" s="27" t="inlineStr">
        <is>
          <t>J'DORE</t>
        </is>
      </c>
      <c r="C154" s="27" t="n"/>
      <c r="D154" s="29">
        <f>IF($C154="","",ROUND($C154*(1+GANANCIA_DIVISA),2))</f>
        <v/>
      </c>
      <c r="E154" s="29">
        <f>IF($C154="","",ROUND($C154*(1+GANANCIA_BCV),2))</f>
        <v/>
      </c>
    </row>
    <row r="155">
      <c r="A155" s="61" t="inlineStr">
        <is>
          <t>LÍNEA CLÁSICA O DISEÑADOR</t>
        </is>
      </c>
      <c r="B155" s="27" t="inlineStr">
        <is>
          <t>FUNNY</t>
        </is>
      </c>
      <c r="C155" s="27" t="n"/>
      <c r="D155" s="29">
        <f>IF($C155="","",ROUND($C155*(1+GANANCIA_DIVISA),2))</f>
        <v/>
      </c>
      <c r="E155" s="29">
        <f>IF($C155="","",ROUND($C155*(1+GANANCIA_BCV),2))</f>
        <v/>
      </c>
    </row>
    <row r="156">
      <c r="A156" s="61" t="inlineStr">
        <is>
          <t>LÍNEA CLÁSICA O DISEÑADOR</t>
        </is>
      </c>
      <c r="B156" s="27" t="inlineStr">
        <is>
          <t>BOMBSHELL</t>
        </is>
      </c>
      <c r="C156" s="27" t="n"/>
      <c r="D156" s="29">
        <f>IF($C156="","",ROUND($C156*(1+GANANCIA_DIVISA),2))</f>
        <v/>
      </c>
      <c r="E156" s="29">
        <f>IF($C156="","",ROUND($C156*(1+GANANCIA_BCV),2))</f>
        <v/>
      </c>
    </row>
    <row r="157">
      <c r="A157" s="61" t="inlineStr">
        <is>
          <t>LÍNEA CLÁSICA O DISEÑADOR</t>
        </is>
      </c>
      <c r="B157" s="27" t="inlineStr">
        <is>
          <t>360 FEM</t>
        </is>
      </c>
      <c r="C157" s="27" t="n"/>
      <c r="D157" s="29">
        <f>IF($C157="","",ROUND($C157*(1+GANANCIA_DIVISA),2))</f>
        <v/>
      </c>
      <c r="E157" s="29">
        <f>IF($C157="","",ROUND($C157*(1+GANANCIA_BCV),2))</f>
        <v/>
      </c>
    </row>
    <row r="158">
      <c r="A158" s="61" t="inlineStr">
        <is>
          <t>LÍNEA CLÁSICA O DISEÑADOR</t>
        </is>
      </c>
      <c r="B158" s="27" t="inlineStr">
        <is>
          <t>360 CORAL</t>
        </is>
      </c>
      <c r="C158" s="27" t="n"/>
      <c r="D158" s="29">
        <f>IF($C158="","",ROUND($C158*(1+GANANCIA_DIVISA),2))</f>
        <v/>
      </c>
      <c r="E158" s="29">
        <f>IF($C158="","",ROUND($C158*(1+GANANCIA_BCV),2))</f>
        <v/>
      </c>
    </row>
    <row r="159">
      <c r="A159" s="61" t="inlineStr">
        <is>
          <t>LÍNEA CLÁSICA O DISEÑADOR</t>
        </is>
      </c>
      <c r="B159" s="27" t="inlineStr">
        <is>
          <t>360 RED</t>
        </is>
      </c>
      <c r="C159" s="27" t="n"/>
      <c r="D159" s="29">
        <f>IF($C159="","",ROUND($C159*(1+GANANCIA_DIVISA),2))</f>
        <v/>
      </c>
      <c r="E159" s="29">
        <f>IF($C159="","",ROUND($C159*(1+GANANCIA_BCV),2))</f>
        <v/>
      </c>
    </row>
    <row r="160">
      <c r="A160" s="61" t="inlineStr">
        <is>
          <t>LÍNEA CLÁSICA O DISEÑADOR</t>
        </is>
      </c>
      <c r="B160" s="27" t="inlineStr">
        <is>
          <t>BAD BOY</t>
        </is>
      </c>
      <c r="C160" s="27" t="n"/>
      <c r="D160" s="29">
        <f>IF($C160="","",ROUND($C160*(1+GANANCIA_DIVISA),2))</f>
        <v/>
      </c>
      <c r="E160" s="29">
        <f>IF($C160="","",ROUND($C160*(1+GANANCIA_BCV),2))</f>
        <v/>
      </c>
    </row>
    <row r="161">
      <c r="A161" s="61" t="inlineStr">
        <is>
          <t>LÍNEA CLÁSICA O DISEÑADOR</t>
        </is>
      </c>
      <c r="B161" s="27" t="inlineStr">
        <is>
          <t>212 VIP MEN</t>
        </is>
      </c>
      <c r="C161" s="28" t="n">
        <v>12</v>
      </c>
      <c r="D161" s="29">
        <f>IF($C161="","",ROUND($C161*(1+GANANCIA_DIVISA),2))</f>
        <v/>
      </c>
      <c r="E161" s="29">
        <f>IF($C161="","",ROUND($C161*(1+GANANCIA_BCV),2))</f>
        <v/>
      </c>
    </row>
    <row r="162">
      <c r="A162" s="61" t="inlineStr">
        <is>
          <t>LÍNEA CLÁSICA O DISEÑADOR</t>
        </is>
      </c>
      <c r="B162" s="27" t="inlineStr">
        <is>
          <t>212 VIP BLACK</t>
        </is>
      </c>
      <c r="C162" s="27" t="n"/>
      <c r="D162" s="29">
        <f>IF($C162="","",ROUND($C162*(1+GANANCIA_DIVISA),2))</f>
        <v/>
      </c>
      <c r="E162" s="29">
        <f>IF($C162="","",ROUND($C162*(1+GANANCIA_BCV),2))</f>
        <v/>
      </c>
    </row>
    <row r="163">
      <c r="A163" s="61" t="inlineStr">
        <is>
          <t>LÍNEA CLÁSICA O DISEÑADOR</t>
        </is>
      </c>
      <c r="B163" s="27" t="inlineStr">
        <is>
          <t>212 MEN</t>
        </is>
      </c>
      <c r="C163" s="27" t="n"/>
      <c r="D163" s="29">
        <f>IF($C163="","",ROUND($C163*(1+GANANCIA_DIVISA),2))</f>
        <v/>
      </c>
      <c r="E163" s="29">
        <f>IF($C163="","",ROUND($C163*(1+GANANCIA_BCV),2))</f>
        <v/>
      </c>
    </row>
    <row r="164">
      <c r="A164" s="61" t="inlineStr">
        <is>
          <t>LÍNEA CLÁSICA O DISEÑADOR</t>
        </is>
      </c>
      <c r="B164" s="27" t="inlineStr">
        <is>
          <t>212 VIP BLACK RED</t>
        </is>
      </c>
      <c r="C164" s="27" t="n"/>
      <c r="D164" s="29">
        <f>IF($C164="","",ROUND($C164*(1+GANANCIA_DIVISA),2))</f>
        <v/>
      </c>
      <c r="E164" s="29">
        <f>IF($C164="","",ROUND($C164*(1+GANANCIA_BCV),2))</f>
        <v/>
      </c>
    </row>
    <row r="165">
      <c r="A165" s="61" t="inlineStr">
        <is>
          <t>LÍNEA CLÁSICA O DISEÑADOR</t>
        </is>
      </c>
      <c r="B165" s="27" t="inlineStr">
        <is>
          <t>212 VIP WINS</t>
        </is>
      </c>
      <c r="C165" s="27" t="n"/>
      <c r="D165" s="29">
        <f>IF($C165="","",ROUND($C165*(1+GANANCIA_DIVISA),2))</f>
        <v/>
      </c>
      <c r="E165" s="29">
        <f>IF($C165="","",ROUND($C165*(1+GANANCIA_BCV),2))</f>
        <v/>
      </c>
    </row>
    <row r="166">
      <c r="A166" s="61" t="inlineStr">
        <is>
          <t>LÍNEA CLÁSICA O DISEÑADOR</t>
        </is>
      </c>
      <c r="B166" s="27" t="inlineStr">
        <is>
          <t>212 HEROES MEN</t>
        </is>
      </c>
      <c r="C166" s="27" t="n"/>
      <c r="D166" s="29">
        <f>IF($C166="","",ROUND($C166*(1+GANANCIA_DIVISA),2))</f>
        <v/>
      </c>
      <c r="E166" s="29">
        <f>IF($C166="","",ROUND($C166*(1+GANANCIA_BCV),2))</f>
        <v/>
      </c>
    </row>
    <row r="167">
      <c r="A167" s="61" t="inlineStr">
        <is>
          <t>LÍNEA CLÁSICA O DISEÑADOR</t>
        </is>
      </c>
      <c r="B167" s="27" t="inlineStr">
        <is>
          <t>LACOSTE ROUGE</t>
        </is>
      </c>
      <c r="C167" s="27" t="n"/>
      <c r="D167" s="29">
        <f>IF($C167="","",ROUND($C167*(1+GANANCIA_DIVISA),2))</f>
        <v/>
      </c>
      <c r="E167" s="29">
        <f>IF($C167="","",ROUND($C167*(1+GANANCIA_BCV),2))</f>
        <v/>
      </c>
    </row>
    <row r="168">
      <c r="A168" s="61" t="inlineStr">
        <is>
          <t>LÍNEA CLÁSICA O DISEÑADOR</t>
        </is>
      </c>
      <c r="B168" s="27" t="inlineStr">
        <is>
          <t>LACOSTE BLANC</t>
        </is>
      </c>
      <c r="C168" s="27" t="n"/>
      <c r="D168" s="29">
        <f>IF($C168="","",ROUND($C168*(1+GANANCIA_DIVISA),2))</f>
        <v/>
      </c>
      <c r="E168" s="29">
        <f>IF($C168="","",ROUND($C168*(1+GANANCIA_BCV),2))</f>
        <v/>
      </c>
    </row>
    <row r="169">
      <c r="A169" s="61" t="inlineStr">
        <is>
          <t>LÍNEA CLÁSICA O DISEÑADOR</t>
        </is>
      </c>
      <c r="B169" s="27" t="inlineStr">
        <is>
          <t>LACOSTE NOIR</t>
        </is>
      </c>
      <c r="C169" s="27" t="n"/>
      <c r="D169" s="29">
        <f>IF($C169="","",ROUND($C169*(1+GANANCIA_DIVISA),2))</f>
        <v/>
      </c>
      <c r="E169" s="29">
        <f>IF($C169="","",ROUND($C169*(1+GANANCIA_BCV),2))</f>
        <v/>
      </c>
    </row>
    <row r="170">
      <c r="A170" s="61" t="inlineStr">
        <is>
          <t>LÍNEA CLÁSICA O DISEÑADOR</t>
        </is>
      </c>
      <c r="B170" s="27" t="inlineStr">
        <is>
          <t>LACOSTE ESSENCIAL</t>
        </is>
      </c>
      <c r="C170" s="27" t="n"/>
      <c r="D170" s="29">
        <f>IF($C170="","",ROUND($C170*(1+GANANCIA_DIVISA),2))</f>
        <v/>
      </c>
      <c r="E170" s="29">
        <f>IF($C170="","",ROUND($C170*(1+GANANCIA_BCV),2))</f>
        <v/>
      </c>
    </row>
    <row r="171">
      <c r="A171" s="61" t="inlineStr">
        <is>
          <t>LÍNEA CLÁSICA O DISEÑADOR</t>
        </is>
      </c>
      <c r="B171" s="27" t="inlineStr">
        <is>
          <t>LEGEND SPIRIT</t>
        </is>
      </c>
      <c r="C171" s="27" t="n"/>
      <c r="D171" s="29">
        <f>IF($C171="","",ROUND($C171*(1+GANANCIA_DIVISA),2))</f>
        <v/>
      </c>
      <c r="E171" s="29">
        <f>IF($C171="","",ROUND($C171*(1+GANANCIA_BCV),2))</f>
        <v/>
      </c>
    </row>
    <row r="172">
      <c r="A172" s="61" t="inlineStr">
        <is>
          <t>LÍNEA CLÁSICA O DISEÑADOR</t>
        </is>
      </c>
      <c r="B172" s="27" t="inlineStr">
        <is>
          <t>LEGEND</t>
        </is>
      </c>
      <c r="C172" s="27" t="n"/>
      <c r="D172" s="29">
        <f>IF($C172="","",ROUND($C172*(1+GANANCIA_DIVISA),2))</f>
        <v/>
      </c>
      <c r="E172" s="29">
        <f>IF($C172="","",ROUND($C172*(1+GANANCIA_BCV),2))</f>
        <v/>
      </c>
    </row>
    <row r="173">
      <c r="A173" s="61" t="inlineStr">
        <is>
          <t>LÍNEA CLÁSICA O DISEÑADOR</t>
        </is>
      </c>
      <c r="B173" s="27" t="inlineStr">
        <is>
          <t>EMBLEM</t>
        </is>
      </c>
      <c r="C173" s="27" t="n"/>
      <c r="D173" s="29">
        <f>IF($C173="","",ROUND($C173*(1+GANANCIA_DIVISA),2))</f>
        <v/>
      </c>
      <c r="E173" s="29">
        <f>IF($C173="","",ROUND($C173*(1+GANANCIA_BCV),2))</f>
        <v/>
      </c>
    </row>
    <row r="174">
      <c r="A174" s="61" t="inlineStr">
        <is>
          <t>LÍNEA CLÁSICA O DISEÑADOR</t>
        </is>
      </c>
      <c r="B174" s="27" t="inlineStr">
        <is>
          <t>STARWALKER</t>
        </is>
      </c>
      <c r="C174" s="27" t="n"/>
      <c r="D174" s="29">
        <f>IF($C174="","",ROUND($C174*(1+GANANCIA_DIVISA),2))</f>
        <v/>
      </c>
      <c r="E174" s="29">
        <f>IF($C174="","",ROUND($C174*(1+GANANCIA_BCV),2))</f>
        <v/>
      </c>
    </row>
    <row r="175">
      <c r="A175" s="61" t="inlineStr">
        <is>
          <t>LÍNEA CLÁSICA O DISEÑADOR</t>
        </is>
      </c>
      <c r="B175" s="27" t="inlineStr">
        <is>
          <t>EROS MEN</t>
        </is>
      </c>
      <c r="C175" s="27" t="n"/>
      <c r="D175" s="29">
        <f>IF($C175="","",ROUND($C175*(1+GANANCIA_DIVISA),2))</f>
        <v/>
      </c>
      <c r="E175" s="29">
        <f>IF($C175="","",ROUND($C175*(1+GANANCIA_BCV),2))</f>
        <v/>
      </c>
    </row>
    <row r="176">
      <c r="A176" s="61" t="inlineStr">
        <is>
          <t>LÍNEA CLÁSICA O DISEÑADOR</t>
        </is>
      </c>
      <c r="B176" s="27" t="inlineStr">
        <is>
          <t>EROS FLAME</t>
        </is>
      </c>
      <c r="C176" s="28" t="n">
        <v>12</v>
      </c>
      <c r="D176" s="29">
        <f>IF($C176="","",ROUND($C176*(1+GANANCIA_DIVISA),2))</f>
        <v/>
      </c>
      <c r="E176" s="29">
        <f>IF($C176="","",ROUND($C176*(1+GANANCIA_BCV),2))</f>
        <v/>
      </c>
    </row>
    <row r="177">
      <c r="A177" s="61" t="inlineStr">
        <is>
          <t>LÍNEA CLÁSICA O DISEÑADOR</t>
        </is>
      </c>
      <c r="B177" s="27" t="inlineStr">
        <is>
          <t>EROS ENERGY</t>
        </is>
      </c>
      <c r="C177" s="27" t="n"/>
      <c r="D177" s="29">
        <f>IF($C177="","",ROUND($C177*(1+GANANCIA_DIVISA),2))</f>
        <v/>
      </c>
      <c r="E177" s="29">
        <f>IF($C177="","",ROUND($C177*(1+GANANCIA_BCV),2))</f>
        <v/>
      </c>
    </row>
    <row r="178">
      <c r="A178" s="61" t="inlineStr">
        <is>
          <t>LÍNEA CLÁSICA O DISEÑADOR</t>
        </is>
      </c>
      <c r="B178" s="27" t="inlineStr">
        <is>
          <t>EAU FRINCHE</t>
        </is>
      </c>
      <c r="C178" s="27" t="n"/>
      <c r="D178" s="29">
        <f>IF($C178="","",ROUND($C178*(1+GANANCIA_DIVISA),2))</f>
        <v/>
      </c>
      <c r="E178" s="29">
        <f>IF($C178="","",ROUND($C178*(1+GANANCIA_BCV),2))</f>
        <v/>
      </c>
    </row>
    <row r="179">
      <c r="A179" s="61" t="inlineStr">
        <is>
          <t>LÍNEA CLÁSICA O DISEÑADOR</t>
        </is>
      </c>
      <c r="B179" s="27" t="inlineStr">
        <is>
          <t>ACQUA DI GIO</t>
        </is>
      </c>
      <c r="C179" s="28" t="n">
        <v>12</v>
      </c>
      <c r="D179" s="29">
        <f>IF($C179="","",ROUND($C179*(1+GANANCIA_DIVISA),2))</f>
        <v/>
      </c>
      <c r="E179" s="29">
        <f>IF($C179="","",ROUND($C179*(1+GANANCIA_BCV),2))</f>
        <v/>
      </c>
    </row>
    <row r="180">
      <c r="A180" s="61" t="inlineStr">
        <is>
          <t>LÍNEA CLÁSICA O DISEÑADOR</t>
        </is>
      </c>
      <c r="B180" s="27" t="inlineStr">
        <is>
          <t>AQUA DI GIO PROFUM</t>
        </is>
      </c>
      <c r="C180" s="27" t="n"/>
      <c r="D180" s="29">
        <f>IF($C180="","",ROUND($C180*(1+GANANCIA_DIVISA),2))</f>
        <v/>
      </c>
      <c r="E180" s="29">
        <f>IF($C180="","",ROUND($C180*(1+GANANCIA_BCV),2))</f>
        <v/>
      </c>
    </row>
    <row r="181">
      <c r="A181" s="61" t="inlineStr">
        <is>
          <t>LÍNEA CLÁSICA O DISEÑADOR</t>
        </is>
      </c>
      <c r="B181" s="27" t="inlineStr">
        <is>
          <t>POLO BLUE</t>
        </is>
      </c>
      <c r="C181" s="28" t="n">
        <v>18</v>
      </c>
      <c r="D181" s="29">
        <f>IF($C181="","",ROUND($C181*(1+GANANCIA_DIVISA),2))</f>
        <v/>
      </c>
      <c r="E181" s="29">
        <f>IF($C181="","",ROUND($C181*(1+GANANCIA_BCV),2))</f>
        <v/>
      </c>
    </row>
    <row r="182">
      <c r="A182" s="61" t="inlineStr">
        <is>
          <t>LÍNEA CLÁSICA O DISEÑADOR</t>
        </is>
      </c>
      <c r="B182" s="27" t="inlineStr">
        <is>
          <t>POLO RED</t>
        </is>
      </c>
      <c r="C182" s="27" t="n"/>
      <c r="D182" s="29">
        <f>IF($C182="","",ROUND($C182*(1+GANANCIA_DIVISA),2))</f>
        <v/>
      </c>
      <c r="E182" s="29">
        <f>IF($C182="","",ROUND($C182*(1+GANANCIA_BCV),2))</f>
        <v/>
      </c>
    </row>
    <row r="183">
      <c r="A183" s="61" t="inlineStr">
        <is>
          <t>LÍNEA CLÁSICA O DISEÑADOR</t>
        </is>
      </c>
      <c r="B183" s="27" t="inlineStr">
        <is>
          <t>VALENTINO UOMO</t>
        </is>
      </c>
      <c r="C183" s="27" t="n"/>
      <c r="D183" s="29">
        <f>IF($C183="","",ROUND($C183*(1+GANANCIA_DIVISA),2))</f>
        <v/>
      </c>
      <c r="E183" s="29">
        <f>IF($C183="","",ROUND($C183*(1+GANANCIA_BCV),2))</f>
        <v/>
      </c>
    </row>
    <row r="184">
      <c r="A184" s="61" t="inlineStr">
        <is>
          <t>LÍNEA CLÁSICA O DISEÑADOR</t>
        </is>
      </c>
      <c r="B184" s="27" t="inlineStr">
        <is>
          <t>TOMMY MEN</t>
        </is>
      </c>
      <c r="C184" s="28" t="n">
        <v>12</v>
      </c>
      <c r="D184" s="29">
        <f>IF($C184="","",ROUND($C184*(1+GANANCIA_DIVISA),2))</f>
        <v/>
      </c>
      <c r="E184" s="29">
        <f>IF($C184="","",ROUND($C184*(1+GANANCIA_BCV),2))</f>
        <v/>
      </c>
    </row>
    <row r="185">
      <c r="A185" s="61" t="inlineStr">
        <is>
          <t>LÍNEA CLÁSICA O DISEÑADOR</t>
        </is>
      </c>
      <c r="B185" s="27" t="inlineStr">
        <is>
          <t>ISSEY MIYAKE</t>
        </is>
      </c>
      <c r="C185" s="27" t="n"/>
      <c r="D185" s="29">
        <f>IF($C185="","",ROUND($C185*(1+GANANCIA_DIVISA),2))</f>
        <v/>
      </c>
      <c r="E185" s="29">
        <f>IF($C185="","",ROUND($C185*(1+GANANCIA_BCV),2))</f>
        <v/>
      </c>
    </row>
    <row r="186">
      <c r="A186" s="61" t="inlineStr">
        <is>
          <t>LÍNEA CLÁSICA O DISEÑADOR</t>
        </is>
      </c>
      <c r="B186" s="27" t="inlineStr">
        <is>
          <t>SWISS ARMY</t>
        </is>
      </c>
      <c r="C186" s="27" t="n"/>
      <c r="D186" s="29">
        <f>IF($C186="","",ROUND($C186*(1+GANANCIA_DIVISA),2))</f>
        <v/>
      </c>
      <c r="E186" s="29">
        <f>IF($C186="","",ROUND($C186*(1+GANANCIA_BCV),2))</f>
        <v/>
      </c>
    </row>
    <row r="187">
      <c r="A187" s="61" t="inlineStr">
        <is>
          <t>LÍNEA CLÁSICA O DISEÑADOR</t>
        </is>
      </c>
      <c r="B187" s="27" t="inlineStr">
        <is>
          <t>SCANDAL MEN</t>
        </is>
      </c>
      <c r="C187" s="27" t="n"/>
      <c r="D187" s="29">
        <f>IF($C187="","",ROUND($C187*(1+GANANCIA_DIVISA),2))</f>
        <v/>
      </c>
      <c r="E187" s="29">
        <f>IF($C187="","",ROUND($C187*(1+GANANCIA_BCV),2))</f>
        <v/>
      </c>
    </row>
    <row r="188">
      <c r="A188" s="61" t="inlineStr">
        <is>
          <t>LÍNEA CLÁSICA O DISEÑADOR</t>
        </is>
      </c>
      <c r="B188" s="27" t="inlineStr">
        <is>
          <t>K DOLCE GABANNA</t>
        </is>
      </c>
      <c r="C188" s="27" t="n"/>
      <c r="D188" s="29">
        <f>IF($C188="","",ROUND($C188*(1+GANANCIA_DIVISA),2))</f>
        <v/>
      </c>
      <c r="E188" s="29">
        <f>IF($C188="","",ROUND($C188*(1+GANANCIA_BCV),2))</f>
        <v/>
      </c>
    </row>
    <row r="189">
      <c r="A189" s="61" t="inlineStr">
        <is>
          <t>LÍNEA CLÁSICA O DISEÑADOR</t>
        </is>
      </c>
      <c r="B189" s="27" t="inlineStr">
        <is>
          <t>LIGHT BLUE MEN</t>
        </is>
      </c>
      <c r="C189" s="27" t="n"/>
      <c r="D189" s="29">
        <f>IF($C189="","",ROUND($C189*(1+GANANCIA_DIVISA),2))</f>
        <v/>
      </c>
      <c r="E189" s="29">
        <f>IF($C189="","",ROUND($C189*(1+GANANCIA_BCV),2))</f>
        <v/>
      </c>
    </row>
    <row r="190">
      <c r="A190" s="61" t="inlineStr">
        <is>
          <t>LÍNEA CLÁSICA O DISEÑADOR</t>
        </is>
      </c>
      <c r="B190" s="27" t="inlineStr">
        <is>
          <t>UNLIMITED</t>
        </is>
      </c>
      <c r="C190" s="27" t="n"/>
      <c r="D190" s="29">
        <f>IF($C190="","",ROUND($C190*(1+GANANCIA_DIVISA),2))</f>
        <v/>
      </c>
      <c r="E190" s="29">
        <f>IF($C190="","",ROUND($C190*(1+GANANCIA_BCV),2))</f>
        <v/>
      </c>
    </row>
    <row r="191">
      <c r="A191" s="61" t="inlineStr">
        <is>
          <t>LÍNEA CLÁSICA O DISEÑADOR</t>
        </is>
      </c>
      <c r="B191" s="27" t="inlineStr">
        <is>
          <t>JUSTDIFERENT</t>
        </is>
      </c>
      <c r="C191" s="27" t="n"/>
      <c r="D191" s="29">
        <f>IF($C191="","",ROUND($C191*(1+GANANCIA_DIVISA),2))</f>
        <v/>
      </c>
      <c r="E191" s="29">
        <f>IF($C191="","",ROUND($C191*(1+GANANCIA_BCV),2))</f>
        <v/>
      </c>
    </row>
    <row r="192">
      <c r="A192" s="61" t="inlineStr">
        <is>
          <t>LÍNEA CLÁSICA O DISEÑADOR</t>
        </is>
      </c>
      <c r="B192" s="27" t="inlineStr">
        <is>
          <t>FERRARI BLACK</t>
        </is>
      </c>
      <c r="C192" s="27" t="n"/>
      <c r="D192" s="29">
        <f>IF($C192="","",ROUND($C192*(1+GANANCIA_DIVISA),2))</f>
        <v/>
      </c>
      <c r="E192" s="29">
        <f>IF($C192="","",ROUND($C192*(1+GANANCIA_BCV),2))</f>
        <v/>
      </c>
    </row>
    <row r="193">
      <c r="A193" s="61" t="inlineStr">
        <is>
          <t>LÍNEA CLÁSICA O DISEÑADOR</t>
        </is>
      </c>
      <c r="B193" s="27" t="inlineStr">
        <is>
          <t>BLACK SEDUCTION</t>
        </is>
      </c>
      <c r="C193" s="27" t="n"/>
      <c r="D193" s="29">
        <f>IF($C193="","",ROUND($C193*(1+GANANCIA_DIVISA),2))</f>
        <v/>
      </c>
      <c r="E193" s="29">
        <f>IF($C193="","",ROUND($C193*(1+GANANCIA_BCV),2))</f>
        <v/>
      </c>
    </row>
    <row r="194">
      <c r="A194" s="61" t="inlineStr">
        <is>
          <t>LÍNEA CLÁSICA O DISEÑADOR</t>
        </is>
      </c>
      <c r="B194" s="27" t="inlineStr">
        <is>
          <t>LYTON</t>
        </is>
      </c>
      <c r="C194" s="27" t="n"/>
      <c r="D194" s="29">
        <f>IF($C194="","",ROUND($C194*(1+GANANCIA_DIVISA),2))</f>
        <v/>
      </c>
      <c r="E194" s="29">
        <f>IF($C194="","",ROUND($C194*(1+GANANCIA_BCV),2))</f>
        <v/>
      </c>
    </row>
    <row r="195">
      <c r="A195" s="61" t="inlineStr">
        <is>
          <t>LÍNEA CLÁSICA O DISEÑADOR</t>
        </is>
      </c>
      <c r="B195" s="27" t="inlineStr">
        <is>
          <t>AZZARO WANTED</t>
        </is>
      </c>
      <c r="C195" s="27" t="n"/>
      <c r="D195" s="29">
        <f>IF($C195="","",ROUND($C195*(1+GANANCIA_DIVISA),2))</f>
        <v/>
      </c>
      <c r="E195" s="29">
        <f>IF($C195="","",ROUND($C195*(1+GANANCIA_BCV),2))</f>
        <v/>
      </c>
    </row>
    <row r="196">
      <c r="A196" s="61" t="inlineStr">
        <is>
          <t>LÍNEA CLÁSICA O DISEÑADOR</t>
        </is>
      </c>
      <c r="B196" s="27" t="inlineStr">
        <is>
          <t>HAPPY CLINIQUE MEN</t>
        </is>
      </c>
      <c r="C196" s="27" t="n"/>
      <c r="D196" s="29">
        <f>IF($C196="","",ROUND($C196*(1+GANANCIA_DIVISA),2))</f>
        <v/>
      </c>
      <c r="E196" s="29">
        <f>IF($C196="","",ROUND($C196*(1+GANANCIA_BCV),2))</f>
        <v/>
      </c>
    </row>
    <row r="197">
      <c r="A197" s="61" t="inlineStr">
        <is>
          <t>LÍNEA CLÁSICA O DISEÑADOR</t>
        </is>
      </c>
      <c r="B197" s="27" t="inlineStr">
        <is>
          <t>BLEU CHANEL</t>
        </is>
      </c>
      <c r="C197" s="27" t="n"/>
      <c r="D197" s="29">
        <f>IF($C197="","",ROUND($C197*(1+GANANCIA_DIVISA),2))</f>
        <v/>
      </c>
      <c r="E197" s="29">
        <f>IF($C197="","",ROUND($C197*(1+GANANCIA_BCV),2))</f>
        <v/>
      </c>
    </row>
    <row r="198">
      <c r="A198" s="61" t="inlineStr">
        <is>
          <t>LÍNEA CLÁSICA O DISEÑADOR</t>
        </is>
      </c>
      <c r="B198" s="27" t="inlineStr">
        <is>
          <t>CREED AVENTUS</t>
        </is>
      </c>
      <c r="C198" s="27" t="n"/>
      <c r="D198" s="29">
        <f>IF($C198="","",ROUND($C198*(1+GANANCIA_DIVISA),2))</f>
        <v/>
      </c>
      <c r="E198" s="29">
        <f>IF($C198="","",ROUND($C198*(1+GANANCIA_BCV),2))</f>
        <v/>
      </c>
    </row>
    <row r="199">
      <c r="A199" s="61" t="inlineStr">
        <is>
          <t>LÍNEA CLÁSICA O DISEÑADOR</t>
        </is>
      </c>
      <c r="B199" s="27" t="inlineStr">
        <is>
          <t>CREED SILVER MOUNTAIN</t>
        </is>
      </c>
      <c r="C199" s="27" t="n"/>
      <c r="D199" s="29">
        <f>IF($C199="","",ROUND($C199*(1+GANANCIA_DIVISA),2))</f>
        <v/>
      </c>
      <c r="E199" s="29">
        <f>IF($C199="","",ROUND($C199*(1+GANANCIA_BCV),2))</f>
        <v/>
      </c>
    </row>
    <row r="200">
      <c r="A200" s="61" t="inlineStr">
        <is>
          <t>LÍNEA CLÁSICA O DISEÑADOR</t>
        </is>
      </c>
      <c r="B200" s="27" t="inlineStr">
        <is>
          <t>INVICTUS</t>
        </is>
      </c>
      <c r="C200" s="27" t="n"/>
      <c r="D200" s="29">
        <f>IF($C200="","",ROUND($C200*(1+GANANCIA_DIVISA),2))</f>
        <v/>
      </c>
      <c r="E200" s="29">
        <f>IF($C200="","",ROUND($C200*(1+GANANCIA_BCV),2))</f>
        <v/>
      </c>
    </row>
    <row r="201">
      <c r="A201" s="61" t="inlineStr">
        <is>
          <t>LÍNEA CLÁSICA O DISEÑADOR</t>
        </is>
      </c>
      <c r="B201" s="27" t="inlineStr">
        <is>
          <t>INVICTUS PARFUM</t>
        </is>
      </c>
      <c r="C201" s="27" t="n"/>
      <c r="D201" s="29">
        <f>IF($C201="","",ROUND($C201*(1+GANANCIA_DIVISA),2))</f>
        <v/>
      </c>
      <c r="E201" s="29">
        <f>IF($C201="","",ROUND($C201*(1+GANANCIA_BCV),2))</f>
        <v/>
      </c>
    </row>
    <row r="202">
      <c r="A202" s="61" t="inlineStr">
        <is>
          <t>LÍNEA CLÁSICA O DISEÑADOR</t>
        </is>
      </c>
      <c r="B202" s="27" t="inlineStr">
        <is>
          <t>INVICTUS LEGEND</t>
        </is>
      </c>
      <c r="C202" s="27" t="n"/>
      <c r="D202" s="29">
        <f>IF($C202="","",ROUND($C202*(1+GANANCIA_DIVISA),2))</f>
        <v/>
      </c>
      <c r="E202" s="29">
        <f>IF($C202="","",ROUND($C202*(1+GANANCIA_BCV),2))</f>
        <v/>
      </c>
    </row>
    <row r="203">
      <c r="A203" s="61" t="inlineStr">
        <is>
          <t>LÍNEA CLÁSICA O DISEÑADOR</t>
        </is>
      </c>
      <c r="B203" s="27" t="inlineStr">
        <is>
          <t>INVICTUS VICTORY</t>
        </is>
      </c>
      <c r="C203" s="27" t="n"/>
      <c r="D203" s="29">
        <f>IF($C203="","",ROUND($C203*(1+GANANCIA_DIVISA),2))</f>
        <v/>
      </c>
      <c r="E203" s="29">
        <f>IF($C203="","",ROUND($C203*(1+GANANCIA_BCV),2))</f>
        <v/>
      </c>
    </row>
    <row r="204">
      <c r="A204" s="61" t="inlineStr">
        <is>
          <t>LÍNEA CLÁSICA O DISEÑADOR</t>
        </is>
      </c>
      <c r="B204" s="27" t="inlineStr">
        <is>
          <t>INVICTUS ONIX</t>
        </is>
      </c>
      <c r="C204" s="27" t="n"/>
      <c r="D204" s="29">
        <f>IF($C204="","",ROUND($C204*(1+GANANCIA_DIVISA),2))</f>
        <v/>
      </c>
      <c r="E204" s="29">
        <f>IF($C204="","",ROUND($C204*(1+GANANCIA_BCV),2))</f>
        <v/>
      </c>
    </row>
    <row r="205">
      <c r="A205" s="61" t="inlineStr">
        <is>
          <t>LÍNEA CLÁSICA O DISEÑADOR</t>
        </is>
      </c>
      <c r="B205" s="27" t="inlineStr">
        <is>
          <t>ONE MILLION ELIXIR</t>
        </is>
      </c>
      <c r="C205" s="27" t="n"/>
      <c r="D205" s="29">
        <f>IF($C205="","",ROUND($C205*(1+GANANCIA_DIVISA),2))</f>
        <v/>
      </c>
      <c r="E205" s="29">
        <f>IF($C205="","",ROUND($C205*(1+GANANCIA_BCV),2))</f>
        <v/>
      </c>
    </row>
    <row r="206">
      <c r="A206" s="61" t="inlineStr">
        <is>
          <t>LÍNEA CLÁSICA O DISEÑADOR</t>
        </is>
      </c>
      <c r="B206" s="27" t="inlineStr">
        <is>
          <t>ONE MILLION PRIVE</t>
        </is>
      </c>
      <c r="C206" s="27" t="n"/>
      <c r="D206" s="29">
        <f>IF($C206="","",ROUND($C206*(1+GANANCIA_DIVISA),2))</f>
        <v/>
      </c>
      <c r="E206" s="29">
        <f>IF($C206="","",ROUND($C206*(1+GANANCIA_BCV),2))</f>
        <v/>
      </c>
    </row>
    <row r="207">
      <c r="A207" s="61" t="inlineStr">
        <is>
          <t>LÍNEA CLÁSICA O DISEÑADOR</t>
        </is>
      </c>
      <c r="B207" s="27" t="inlineStr">
        <is>
          <t>ONE MILLION LUCKY</t>
        </is>
      </c>
      <c r="C207" s="27" t="n"/>
      <c r="D207" s="29">
        <f>IF($C207="","",ROUND($C207*(1+GANANCIA_DIVISA),2))</f>
        <v/>
      </c>
      <c r="E207" s="29">
        <f>IF($C207="","",ROUND($C207*(1+GANANCIA_BCV),2))</f>
        <v/>
      </c>
    </row>
    <row r="208">
      <c r="A208" s="61" t="inlineStr">
        <is>
          <t>LÍNEA CLÁSICA O DISEÑADOR</t>
        </is>
      </c>
      <c r="B208" s="27" t="inlineStr">
        <is>
          <t>PHANTOM</t>
        </is>
      </c>
      <c r="C208" s="27" t="n"/>
      <c r="D208" s="29">
        <f>IF($C208="","",ROUND($C208*(1+GANANCIA_DIVISA),2))</f>
        <v/>
      </c>
      <c r="E208" s="29">
        <f>IF($C208="","",ROUND($C208*(1+GANANCIA_BCV),2))</f>
        <v/>
      </c>
    </row>
    <row r="209">
      <c r="A209" s="61" t="inlineStr">
        <is>
          <t>LÍNEA CLÁSICA O DISEÑADOR</t>
        </is>
      </c>
      <c r="B209" s="27" t="inlineStr">
        <is>
          <t>BLACK XS L'CESS</t>
        </is>
      </c>
      <c r="C209" s="27" t="n"/>
      <c r="D209" s="29">
        <f>IF($C209="","",ROUND($C209*(1+GANANCIA_DIVISA),2))</f>
        <v/>
      </c>
      <c r="E209" s="29">
        <f>IF($C209="","",ROUND($C209*(1+GANANCIA_BCV),2))</f>
        <v/>
      </c>
    </row>
    <row r="210">
      <c r="A210" s="61" t="inlineStr">
        <is>
          <t>LÍNEA CLÁSICA O DISEÑADOR</t>
        </is>
      </c>
      <c r="B210" s="27" t="inlineStr">
        <is>
          <t>BLACK XS</t>
        </is>
      </c>
      <c r="C210" s="27" t="n"/>
      <c r="D210" s="29">
        <f>IF($C210="","",ROUND($C210*(1+GANANCIA_DIVISA),2))</f>
        <v/>
      </c>
      <c r="E210" s="29">
        <f>IF($C210="","",ROUND($C210*(1+GANANCIA_BCV),2))</f>
        <v/>
      </c>
    </row>
    <row r="211">
      <c r="A211" s="61" t="inlineStr">
        <is>
          <t>LÍNEA CLÁSICA O DISEÑADOR</t>
        </is>
      </c>
      <c r="B211" s="27" t="inlineStr">
        <is>
          <t>PURE XS</t>
        </is>
      </c>
      <c r="C211" s="27" t="n"/>
      <c r="D211" s="29">
        <f>IF($C211="","",ROUND($C211*(1+GANANCIA_DIVISA),2))</f>
        <v/>
      </c>
      <c r="E211" s="29">
        <f>IF($C211="","",ROUND($C211*(1+GANANCIA_BCV),2))</f>
        <v/>
      </c>
    </row>
    <row r="212">
      <c r="A212" s="61" t="inlineStr">
        <is>
          <t>LÍNEA CLÁSICA O DISEÑADOR</t>
        </is>
      </c>
      <c r="B212" s="27" t="inlineStr">
        <is>
          <t>Fantasy Britney Spears</t>
        </is>
      </c>
      <c r="C212" s="28" t="n">
        <v>12</v>
      </c>
      <c r="D212" s="29">
        <f>IF($C212="","",ROUND($C212*(1+GANANCIA_DIVISA),2))</f>
        <v/>
      </c>
      <c r="E212" s="29">
        <f>IF($C212="","",ROUND($C212*(1+GANANCIA_BCV),2))</f>
        <v/>
      </c>
    </row>
    <row r="213">
      <c r="A213" s="61" t="inlineStr">
        <is>
          <t>LÍNEA CLÁSICA O DISEÑADOR</t>
        </is>
      </c>
      <c r="B213" s="27" t="inlineStr">
        <is>
          <t>Asad Lattafa</t>
        </is>
      </c>
      <c r="C213" s="28" t="n">
        <v>12</v>
      </c>
      <c r="D213" s="29">
        <f>IF($C213="","",ROUND($C213*(1+GANANCIA_DIVISA),2))</f>
        <v/>
      </c>
      <c r="E213" s="29">
        <f>IF($C213="","",ROUND($C213*(1+GANANCIA_BCV),2))</f>
        <v/>
      </c>
    </row>
    <row r="214">
      <c r="A214" s="61" t="inlineStr">
        <is>
          <t>LÍNEA CLÁSICA O DISEÑADOR</t>
        </is>
      </c>
      <c r="B214" s="27" t="inlineStr">
        <is>
          <t>Santal 33</t>
        </is>
      </c>
      <c r="C214" s="28" t="n">
        <v>12</v>
      </c>
      <c r="D214" s="29">
        <f>IF($C214="","",ROUND($C214*(1+GANANCIA_DIVISA),2))</f>
        <v/>
      </c>
      <c r="E214" s="29">
        <f>IF($C214="","",ROUND($C214*(1+GANANCIA_BCV),2))</f>
        <v/>
      </c>
    </row>
    <row r="215">
      <c r="A215" s="61" t="inlineStr">
        <is>
          <t>LÍNEA CLÁSICA O DISEÑADOR</t>
        </is>
      </c>
      <c r="B215" s="27" t="inlineStr">
        <is>
          <t>Sauvage</t>
        </is>
      </c>
      <c r="C215" s="28" t="n">
        <v>12</v>
      </c>
      <c r="D215" s="29">
        <f>IF($C215="","",ROUND($C215*(1+GANANCIA_DIVISA),2))</f>
        <v/>
      </c>
      <c r="E215" s="29">
        <f>IF($C215="","",ROUND($C215*(1+GANANCIA_BCV),2))</f>
        <v/>
      </c>
    </row>
  </sheetData>
  <mergeCells count="3">
    <mergeCell ref="A2:E2"/>
    <mergeCell ref="G12:H14"/>
    <mergeCell ref="G3:H3"/>
  </mergeCells>
  <conditionalFormatting sqref="C4:C215">
    <cfRule type="expression" priority="1" dxfId="2" stopIfTrue="0">
      <formula>AND($B4&lt;&gt;"",$C4="")</formula>
    </cfRule>
  </conditionalFormatting>
  <conditionalFormatting sqref="B4:B215">
    <cfRule type="expression" priority="2" dxfId="3" stopIfTrue="0">
      <formula>AND($B4&lt;&gt;"",COUNTIF($B$4:$B$215,$B4)&gt;1)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808080"/>
    <outlinePr summaryBelow="1" summaryRight="1"/>
    <pageSetUpPr/>
  </sheetPr>
  <dimension ref="A1:C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10" customWidth="1" min="3" max="3"/>
  </cols>
  <sheetData>
    <row r="1">
      <c r="A1" s="1" t="inlineStr">
        <is>
          <t>CHANGELOG — SISTEMA MARFIL v2</t>
        </is>
      </c>
    </row>
    <row r="2">
      <c r="A2" s="2" t="inlineStr">
        <is>
          <t>Archivo original intacto en 'SISTEMA MARFIL  (2).xlsx'. Aquí solo se cambió estructura, formato y fórmulas: ninguna cifra de negocio fue modificada ni inventada.</t>
        </is>
      </c>
    </row>
    <row r="3" ht="30" customHeight="1">
      <c r="A3" s="3" t="inlineStr">
        <is>
          <t>HOJA</t>
        </is>
      </c>
      <c r="B3" s="3" t="inlineStr">
        <is>
          <t>TIPO DE CAMBIO</t>
        </is>
      </c>
      <c r="C3" s="3" t="inlineStr">
        <is>
          <t>DETALLE</t>
        </is>
      </c>
    </row>
    <row r="4">
      <c r="A4" s="63" t="inlineStr">
        <is>
          <t>PARÁMETROS</t>
        </is>
      </c>
      <c r="B4" s="64" t="inlineStr">
        <is>
          <t>NUEVO</t>
        </is>
      </c>
      <c r="C4" s="65" t="inlineStr">
        <is>
          <t>Hoja nueva con 4 nombres definidos (FACTOR_DIVISA, FACTOR_BCV, DESC_TEAM, DESC_REVENDEDOR) que reemplazan constantes incrustadas en 593 celdas (527 fórmulas con 1,7/2,2 + 66 precios escritos a mano). Los dos primeros se expresan como GANANCIA SOBRE EL COSTO (70 % y 120 %), que es como el negocio los define, en vez de como multiplicador.</t>
        </is>
      </c>
    </row>
    <row r="5">
      <c r="A5" s="63" t="inlineStr">
        <is>
          <t>CONTROL</t>
        </is>
      </c>
      <c r="B5" s="64" t="inlineStr">
        <is>
          <t>ESTRUCTURA</t>
        </is>
      </c>
      <c r="C5" s="65" t="inlineStr">
        <is>
          <t>Encabezados duplicados (FECHA x4, MONTO Bs x3, REFERENCIA x3) renombrados a FECHA VENTA / MONTO Bs P1..P3 / FECHA P1..P3 / REFERENCIA P1..P3.</t>
        </is>
      </c>
    </row>
    <row r="6">
      <c r="A6" s="63" t="inlineStr">
        <is>
          <t>CONTROL</t>
        </is>
      </c>
      <c r="B6" s="64" t="inlineStr">
        <is>
          <t>DATOS</t>
        </is>
      </c>
      <c r="C6" s="65" t="inlineStr">
        <is>
          <t>21 celdas numéricas guardadas como texto ('15.679,22', '8.307,00', ...) convertidas a número real. Eran invisibles para SUM.</t>
        </is>
      </c>
    </row>
    <row r="7">
      <c r="A7" s="63" t="inlineStr">
        <is>
          <t>CONTROL</t>
        </is>
      </c>
      <c r="B7" s="64" t="inlineStr">
        <is>
          <t>FÓRMULA</t>
        </is>
      </c>
      <c r="C7" s="65" t="inlineStr">
        <is>
          <t>B64 =SUM(F4:F72,I4:I72,L4:L72) sobre rango fijo -&gt; nueva columna TOTAL ABONADO Bs por fila + =SUM(P:P) en el bloque RESUMEN.</t>
        </is>
      </c>
    </row>
    <row r="8">
      <c r="A8" s="63" t="inlineStr">
        <is>
          <t>CONTROL</t>
        </is>
      </c>
      <c r="B8" s="64" t="inlineStr">
        <is>
          <t>FÓRMULA</t>
        </is>
      </c>
      <c r="C8" s="65" t="inlineStr">
        <is>
          <t>B67 =COUNTIF(O4:O18,"YA PAGO") solo miraba hasta la fila 18 de las 39 con datos. Hoy daba 10 por casualidad (no había estatus más abajo), pero cualquier venta nueva quedaba fuera del conteo -&gt; =COUNTIF(O:O,"YA PAGO").</t>
        </is>
      </c>
    </row>
    <row r="9">
      <c r="A9" s="63" t="inlineStr">
        <is>
          <t>CONTROL</t>
        </is>
      </c>
      <c r="B9" s="64" t="inlineStr">
        <is>
          <t>DATOS</t>
        </is>
      </c>
      <c r="C9" s="65" t="inlineStr">
        <is>
          <t>Textos que no eran montos ni fechas ('12 EFECTIVO', 'listo', 'GM', 'usdt P.M') movidos a la columna NOTAS; la celda numérica queda vacía.</t>
        </is>
      </c>
    </row>
    <row r="10">
      <c r="A10" s="63" t="inlineStr">
        <is>
          <t>CONTROL</t>
        </is>
      </c>
      <c r="B10" s="64" t="inlineStr">
        <is>
          <t>ESTRUCTURA</t>
        </is>
      </c>
      <c r="C10" s="65" t="inlineStr">
        <is>
          <t>Filas de totales A64:B69 eliminadas de la zona de datos; reemplazadas por el bloque RESUMEN en S3 con referencias de columna completa.</t>
        </is>
      </c>
    </row>
    <row r="11">
      <c r="A11" s="63" t="inlineStr">
        <is>
          <t>CONTROL</t>
        </is>
      </c>
      <c r="B11" s="64" t="inlineStr">
        <is>
          <t>ESTRUCTURA</t>
        </is>
      </c>
      <c r="C11" s="65" t="inlineStr">
        <is>
          <t>Valores sueltos C64=260 y D64=100 preservados en el bloque de revisión (estaban en la fila de totales bajo VENDEDOR y PRODUCTO).</t>
        </is>
      </c>
    </row>
    <row r="12">
      <c r="A12" s="63" t="inlineStr">
        <is>
          <t>CONTROL</t>
        </is>
      </c>
      <c r="B12" s="64" t="inlineStr">
        <is>
          <t>FORMATO</t>
        </is>
      </c>
      <c r="C12" s="65" t="inlineStr">
        <is>
          <t>Fechas unificadas a dd/mm/yyyy (el original mezclaba d/m/yy, dd-mm-yy, d/m/yyyy y dd/mm/yyyy).</t>
        </is>
      </c>
    </row>
    <row r="13">
      <c r="A13" s="63" t="inlineStr">
        <is>
          <t>CONTROL</t>
        </is>
      </c>
      <c r="B13" s="64" t="inlineStr">
        <is>
          <t>FORMATO</t>
        </is>
      </c>
      <c r="C13" s="65" t="inlineStr">
        <is>
          <t>Columna E con formato moneda $, columnas de pago con formato Bs, validación de lista en ESTATUS y semáforo por estado.</t>
        </is>
      </c>
    </row>
    <row r="14">
      <c r="A14" s="63" t="inlineStr">
        <is>
          <t>CONTROL</t>
        </is>
      </c>
      <c r="B14" s="64" t="inlineStr">
        <is>
          <t>LIMPIEZA</t>
        </is>
      </c>
      <c r="C14" s="65" t="inlineStr">
        <is>
          <t>999 filas y ninguna columna vacías descartadas: la hoja declaraba A1:O1038 con datos solo hasta la fila 39.</t>
        </is>
      </c>
    </row>
    <row r="15">
      <c r="A15" s="63" t="inlineStr">
        <is>
          <t>VENTAS</t>
        </is>
      </c>
      <c r="B15" s="64" t="inlineStr">
        <is>
          <t>FÓRMULA ROTA</t>
        </is>
      </c>
      <c r="C15" s="65" t="inlineStr">
        <is>
          <t>Las 14 fórmulas de DEUDA apuntaban a la hoja 'REGISTRO DE CUOTAS ' que NO existe en el archivo -&gt; #N/A. Se creó la hoja con la estructura que la fórmula espera (D=Cliente, E=Producto, F=Monto).</t>
        </is>
      </c>
    </row>
    <row r="16">
      <c r="A16" s="63" t="inlineStr">
        <is>
          <t>VENTAS</t>
        </is>
      </c>
      <c r="B16" s="64" t="inlineStr">
        <is>
          <t>FÓRMULA ROTA</t>
        </is>
      </c>
      <c r="C16" s="65" t="inlineStr">
        <is>
          <t>M8 'Total por Cobrar' =SUM(J5:J997) heredaba el #N/A de la columna -&gt; ahora =SUM(K:K) sobre una columna que ya calcula.</t>
        </is>
      </c>
    </row>
    <row r="17">
      <c r="A17" s="63" t="inlineStr">
        <is>
          <t>VENTAS</t>
        </is>
      </c>
      <c r="B17" s="64" t="inlineStr">
        <is>
          <t>FÓRMULA</t>
        </is>
      </c>
      <c r="C17" s="65" t="inlineStr">
        <is>
          <t>GANANCIA existía solo en las filas 5-19 de 42 -&gt; aplicada a todas las filas con guarda IF para no mostrar ceros falsos.</t>
        </is>
      </c>
    </row>
    <row r="18">
      <c r="A18" s="63" t="inlineStr">
        <is>
          <t>VENTAS</t>
        </is>
      </c>
      <c r="B18" s="64" t="inlineStr">
        <is>
          <t>FÓRMULA</t>
        </is>
      </c>
      <c r="C18" s="65" t="inlineStr">
        <is>
          <t>DEUDA existía solo en las filas 5-18 de 42 -&gt; aplicada a todas las filas.</t>
        </is>
      </c>
    </row>
    <row r="19">
      <c r="A19" s="63" t="inlineStr">
        <is>
          <t>VENTAS</t>
        </is>
      </c>
      <c r="B19" s="64" t="inlineStr">
        <is>
          <t>FÓRMULA</t>
        </is>
      </c>
      <c r="C19" s="65" t="inlineStr">
        <is>
          <t>SUM(F5:F997) / SUM(G5:G997) / SUM(H5:H997) con rango fijo -&gt; SUM(E:E), SUM(F:F), SUM(G:G).</t>
        </is>
      </c>
    </row>
    <row r="20">
      <c r="A20" s="63" t="inlineStr">
        <is>
          <t>VENTAS</t>
        </is>
      </c>
      <c r="B20" s="64" t="inlineStr">
        <is>
          <t>ESTRUCTURA</t>
        </is>
      </c>
      <c r="C20" s="65" t="inlineStr">
        <is>
          <t>Bloque de métricas L4:M8 estaba pegado a los datos y dentro del autofiltro C4:J46 -&gt; movido a N3, fuera de la tabla.</t>
        </is>
      </c>
    </row>
    <row r="21">
      <c r="A21" s="63" t="inlineStr">
        <is>
          <t>VENTAS</t>
        </is>
      </c>
      <c r="B21" s="64" t="inlineStr">
        <is>
          <t>ESTRUCTURA</t>
        </is>
      </c>
      <c r="C21" s="65" t="inlineStr">
        <is>
          <t>Columna A vacía (con ancho asignado) y columna K separadora eliminadas.</t>
        </is>
      </c>
    </row>
    <row r="22">
      <c r="A22" s="63" t="inlineStr">
        <is>
          <t>VENTAS</t>
        </is>
      </c>
      <c r="B22" s="64" t="inlineStr">
        <is>
          <t>DATOS</t>
        </is>
      </c>
      <c r="C22" s="65" t="inlineStr">
        <is>
          <t>F29='18.GM' y F30='12.GM' tenían hipervínculos automáticos a http://18.gm/ y http://12.gm/. Eliminados.</t>
        </is>
      </c>
    </row>
    <row r="23">
      <c r="A23" s="63" t="inlineStr">
        <is>
          <t>VENTAS</t>
        </is>
      </c>
      <c r="B23" s="64" t="inlineStr">
        <is>
          <t>DATOS</t>
        </is>
      </c>
      <c r="C23" s="65" t="inlineStr">
        <is>
          <t>Precios escritos como texto ('18.GM','12.GM','19 usdt P.M','16 P.M') separados en número + NOTAS/MONEDA.</t>
        </is>
      </c>
    </row>
    <row r="24">
      <c r="A24" s="63" t="inlineStr">
        <is>
          <t>VENTAS</t>
        </is>
      </c>
      <c r="B24" s="64" t="inlineStr">
        <is>
          <t>NUEVO</t>
        </is>
      </c>
      <c r="C24" s="65" t="inlineStr">
        <is>
          <t>Columna MARGEN = GANANCIA/PRECIO y columna ABONADO ($) explícita, para que la deuda sea auditable.</t>
        </is>
      </c>
    </row>
    <row r="25">
      <c r="A25" s="63" t="inlineStr">
        <is>
          <t>VENTAS</t>
        </is>
      </c>
      <c r="B25" s="64" t="inlineStr">
        <is>
          <t>FORMATO</t>
        </is>
      </c>
      <c r="C25" s="65" t="inlineStr">
        <is>
          <t>Rejilla reactivada como tabla 'Ventas', paneles congelados, semáforo de ganancia negativa y de deuda pendiente.</t>
        </is>
      </c>
    </row>
    <row r="26">
      <c r="A26" s="63" t="inlineStr">
        <is>
          <t>VENTAS</t>
        </is>
      </c>
      <c r="B26" s="64" t="inlineStr">
        <is>
          <t>LIMPIEZA</t>
        </is>
      </c>
      <c r="C26" s="65" t="inlineStr">
        <is>
          <t>951 filas y 14 columnas vacías descartadas: la hoja declaraba A1:AA997 con datos hasta la fila 46 y la columna M.</t>
        </is>
      </c>
    </row>
    <row r="27">
      <c r="A27" s="63" t="inlineStr">
        <is>
          <t>REGISTRO DE CUOTAS</t>
        </is>
      </c>
      <c r="B27" s="64" t="inlineStr">
        <is>
          <t>NUEVO</t>
        </is>
      </c>
      <c r="C27" s="65" t="inlineStr">
        <is>
          <t>Hoja creada con la estructura exacta que exigían las fórmulas de VENTAS (columnas D/E/F). Se entrega vacía: no se inventó ningún abono.</t>
        </is>
      </c>
    </row>
    <row r="28">
      <c r="A28" s="63" t="inlineStr">
        <is>
          <t>GASTOS Y COMPRAS</t>
        </is>
      </c>
      <c r="B28" s="64" t="inlineStr">
        <is>
          <t>ESTRUCTURA</t>
        </is>
      </c>
      <c r="C28" s="65" t="inlineStr">
        <is>
          <t>Hoja sin ninguna estructura tabular (89 líneas de texto libre en la columna A). Convertida en tabla LOTE / FECHA / TIPO / DESCRIPCIÓN / MONTO ($) / MONTO Bs / CANAL, conservando el texto literal en TEXTO ORIGINAL.</t>
        </is>
      </c>
    </row>
    <row r="29">
      <c r="A29" s="63" t="inlineStr">
        <is>
          <t>GASTOS Y COMPRAS</t>
        </is>
      </c>
      <c r="B29" s="64" t="inlineStr">
        <is>
          <t>DATOS</t>
        </is>
      </c>
      <c r="C29" s="65" t="inlineStr">
        <is>
          <t>La descripción se obtiene quitando únicamente el monto pegado al signo $, para no perder los dígitos que forman parte del nombre del producto (9PM, 212, 360, Santal 33).</t>
        </is>
      </c>
    </row>
    <row r="30">
      <c r="A30" s="63" t="inlineStr">
        <is>
          <t>GASTOS Y COMPRAS</t>
        </is>
      </c>
      <c r="B30" s="64" t="inlineStr">
        <is>
          <t>ESTRUCTURA</t>
        </is>
      </c>
      <c r="C30" s="65" t="inlineStr">
        <is>
          <t>Las 3 líneas que el propio texto rotula «GASTO ...» (envío de Caracas, muestra de cliente, Yummy) se tipifican como GASTO y no como compra de producto, para que la comparación de subtotales no las mezcle.</t>
        </is>
      </c>
    </row>
    <row r="31">
      <c r="A31" s="63" t="inlineStr">
        <is>
          <t>GASTOS Y COMPRAS</t>
        </is>
      </c>
      <c r="B31" s="64" t="inlineStr">
        <is>
          <t>FÓRMULA</t>
        </is>
      </c>
      <c r="C31" s="65" t="inlineStr">
        <is>
          <t>Los subtotales estaban escritos a mano dentro del texto ('TOTAL 99$ BINANCE'). Se añadió el bloque CONTROL POR LOTE con SUMIFS que compara declarado vs. suma real y marca la diferencia en rojo.</t>
        </is>
      </c>
    </row>
    <row r="32">
      <c r="A32" s="63" t="inlineStr">
        <is>
          <t>GASTOS Y COMPRAS</t>
        </is>
      </c>
      <c r="B32" s="64" t="inlineStr">
        <is>
          <t>LIMPIEZA</t>
        </is>
      </c>
      <c r="C32" s="65" t="inlineStr">
        <is>
          <t>911 filas y 25 columnas vacías descartadas: la hoja declaraba A1:Z1000 con datos hasta la fila 89.</t>
        </is>
      </c>
    </row>
    <row r="33">
      <c r="A33" s="63" t="inlineStr">
        <is>
          <t>GASTOS Y COMPRAS</t>
        </is>
      </c>
      <c r="B33" s="64" t="inlineStr">
        <is>
          <t>FORMATO</t>
        </is>
      </c>
      <c r="C33" s="65" t="inlineStr">
        <is>
          <t>Montos con formato $ / Bs, fechas dd/mm/yyyy, encabezados de lote y subtotales diferenciados por color.</t>
        </is>
      </c>
    </row>
    <row r="34">
      <c r="A34" s="63" t="inlineStr">
        <is>
          <t>PRECIOS PERF ORIGINALES</t>
        </is>
      </c>
      <c r="B34" s="64" t="inlineStr">
        <is>
          <t>FÓRMULA</t>
        </is>
      </c>
      <c r="C34" s="65" t="inlineStr">
        <is>
          <t>Columnas 'Para el team (-25%)' y 'Revendedores (-15%)' eran 66 valores escritos a mano. Verifiqué que las 33 filas cuadran exactamente con Precio×0,75 y Precio×0,85 y las convertí en fórmulas contra DESC_TEAM y DESC_REVENDEDOR.</t>
        </is>
      </c>
    </row>
    <row r="35">
      <c r="A35" s="63" t="inlineStr">
        <is>
          <t>PRECIOS PERF ORIGINALES</t>
        </is>
      </c>
      <c r="B35" s="64" t="inlineStr">
        <is>
          <t>LIMPIEZA</t>
        </is>
      </c>
      <c r="C35" s="65" t="inlineStr">
        <is>
          <t>Validación de datos absurda en B2:D34 (una regla 'custom' con DATEVALUE que rechazaba fechas en columnas de precio) eliminada.</t>
        </is>
      </c>
    </row>
    <row r="36">
      <c r="A36" s="63" t="inlineStr">
        <is>
          <t>PRECIOS PERF ORIGINALES</t>
        </is>
      </c>
      <c r="B36" s="64" t="inlineStr">
        <is>
          <t>FORMATO</t>
        </is>
      </c>
      <c r="C36" s="65" t="inlineStr">
        <is>
          <t>Precios sin formato de moneda ('General') -&gt; $#,##0.00. Encabezados normalizados y tabla renombrada a 'PreciosOriginales'.</t>
        </is>
      </c>
    </row>
    <row r="37">
      <c r="A37" s="63" t="inlineStr">
        <is>
          <t>PRECIOS PERF TOP QUALITY</t>
        </is>
      </c>
      <c r="B37" s="64" t="inlineStr">
        <is>
          <t>FÓRMULA</t>
        </is>
      </c>
      <c r="C37" s="65" t="inlineStr">
        <is>
          <t>527 fórmulas con los multiplicadores 1,7 y 2,2 incrustados -&gt; =C*(1+GANANCIA_DIVISA) y =C*(1+GANANCIA_BCV). Los precios no cambian (x1,70 y x2,20); lo que cambia es que el parámetro editable ahora es el 70 % / 120 % de ganancia sobre costo, tal como lo define el negocio.</t>
        </is>
      </c>
    </row>
    <row r="38">
      <c r="A38" s="63" t="inlineStr">
        <is>
          <t>PRECIOS PERF TOP QUALITY</t>
        </is>
      </c>
      <c r="B38" s="64" t="inlineStr">
        <is>
          <t>FÓRMULA</t>
        </is>
      </c>
      <c r="C38" s="65" t="inlineStr">
        <is>
          <t>237 de 271 filas no tenían costo, así que las fórmulas devolvían $0,00 (precio real aparente = 0). Ahora devuelven blanco y quedan resaltadas en amarillo.</t>
        </is>
      </c>
    </row>
    <row r="39">
      <c r="A39" s="63" t="inlineStr">
        <is>
          <t>PRECIOS PERF TOP QUALITY</t>
        </is>
      </c>
      <c r="B39" s="64" t="inlineStr">
        <is>
          <t>ESTRUCTURA</t>
        </is>
      </c>
      <c r="C39" s="65" t="inlineStr">
        <is>
          <t>'LINEA ARABE' y ' LINEA CLÁSICA O DISENADOR' eran filas-etiqueta metidas entre los productos. Convertidas en la columna LÍNEA.</t>
        </is>
      </c>
    </row>
    <row r="40">
      <c r="A40" s="63" t="inlineStr">
        <is>
          <t>PRECIOS PERF TOP QUALITY</t>
        </is>
      </c>
      <c r="B40" s="64" t="inlineStr">
        <is>
          <t>LIMPIEZA</t>
        </is>
      </c>
      <c r="C40" s="65" t="inlineStr">
        <is>
          <t>724 filas y 22 columnas vacías descartadas: la hoja declaraba A1:Z998 con datos hasta la fila 274 y la columna D.</t>
        </is>
      </c>
    </row>
    <row r="41">
      <c r="A41" s="63" t="inlineStr">
        <is>
          <t>PRECIOS PERF TOP QUALITY</t>
        </is>
      </c>
      <c r="B41" s="64" t="inlineStr">
        <is>
          <t>LIMPIEZA</t>
        </is>
      </c>
      <c r="C41" s="65" t="inlineStr">
        <is>
          <t>55 filas fantasma (220-274 y 108) que solo contenían fórmulas sin producto ni costo: eliminadas.</t>
        </is>
      </c>
    </row>
    <row r="42">
      <c r="A42" s="63" t="inlineStr">
        <is>
          <t>PRECIOS PERF TOP QUALITY</t>
        </is>
      </c>
      <c r="B42" s="64" t="inlineStr">
        <is>
          <t>FORMATO</t>
        </is>
      </c>
      <c r="C42" s="65" t="inlineStr">
        <is>
          <t>Columna 'Precio tasa BCV' tenía formato 'Bs #,##0.00' pero el valor es en dólares (Costo × 2,2 = 26,40 para un perfume que se vende en $30). Corregido a $.</t>
        </is>
      </c>
    </row>
    <row r="43">
      <c r="A43" s="63" t="inlineStr">
        <is>
          <t>PRECIOS PERF TOP QUALITY</t>
        </is>
      </c>
      <c r="B43" s="64" t="inlineStr">
        <is>
          <t>FORMATO</t>
        </is>
      </c>
      <c r="C43" s="65" t="inlineStr">
        <is>
          <t>Encabezados fuera de A1 (estaban en la fila 3 bajo un título fusionado A1:D2) normalizados; tabla 'PreciosTopQuality' con autofiltro y paneles congelados.</t>
        </is>
      </c>
    </row>
  </sheetData>
  <mergeCells count="1">
    <mergeCell ref="A2:C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2026-08-17T17:44:10Z</dcterms:created>
  <dcterms:modified xsi:type="dcterms:W3CDTF">2026-08-17T17:44:11Z</dcterms:modified>
</cp:coreProperties>
</file>
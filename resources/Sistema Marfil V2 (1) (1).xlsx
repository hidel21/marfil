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4ea5f70b324c07" /></Relationships>
</file>

<file path=xl/workbook.xml><?xml version="1.0" encoding="utf-8"?>
<x:workbook xmlns:x="http://schemas.openxmlformats.org/spreadsheetml/2006/main">
  <x:sheets>
    <x:sheet xmlns:r="http://schemas.openxmlformats.org/officeDocument/2006/relationships" name="RESUMEN" sheetId="1" r:id="R822c752c1d294a24"/>
    <x:sheet xmlns:r="http://schemas.openxmlformats.org/officeDocument/2006/relationships" name="VENTAS" sheetId="2" r:id="R26123092cd4644cd"/>
    <x:sheet xmlns:r="http://schemas.openxmlformats.org/officeDocument/2006/relationships" name="PAGOS" sheetId="3" r:id="Rf183b186b8c64084"/>
    <x:sheet xmlns:r="http://schemas.openxmlformats.org/officeDocument/2006/relationships" name="GASTOS Y COMPRAS" sheetId="4" r:id="R3725ae87afca40ce"/>
    <x:sheet xmlns:r="http://schemas.openxmlformats.org/officeDocument/2006/relationships" name="CLIENTES" sheetId="5" r:id="R81869c88cbd848a3"/>
    <x:sheet xmlns:r="http://schemas.openxmlformats.org/officeDocument/2006/relationships" name="PRECIOS PERF TOP QUALITY" sheetId="6" r:id="R54d24a87a22341bb"/>
    <x:sheet xmlns:r="http://schemas.openxmlformats.org/officeDocument/2006/relationships" name="PRECIOS PERF ORIGINALES" sheetId="7" r:id="R2866bdad0724406c"/>
    <x:sheet xmlns:r="http://schemas.openxmlformats.org/officeDocument/2006/relationships" name="REVISAR" sheetId="8" r:id="Ra9df36b8b86b49d9"/>
    <x:sheet xmlns:r="http://schemas.openxmlformats.org/officeDocument/2006/relationships" name="AJUSTES" sheetId="9" r:id="R980b42aea6394a31"/>
    <x:sheet xmlns:r="http://schemas.openxmlformats.org/officeDocument/2006/relationships" name="GUÍA" sheetId="10" r:id="Re96b170ab35549a2"/>
    <x:sheet xmlns:r="http://schemas.openxmlformats.org/officeDocument/2006/relationships" name="FUENTES" sheetId="11" r:id="Rcd19ad7e41474a1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yyyy"/>
    <x:numFmt numFmtId="201" formatCode="0%"/>
    <x:numFmt numFmtId="202" formatCode="#,##0.00"/>
    <x:numFmt numFmtId="203" formatCode="#,##0.0000"/>
    <x:numFmt numFmtId="204" formatCode="@"/>
  </x:numFmts>
  <x:fonts count="6">
    <x:font>
      <x:sz val="11"/>
      <x:name val="Carlito"/>
    </x:font>
    <x:font>
      <x:b/>
      <x:sz val="15"/>
      <x:color rgb="FF19364B"/>
      <x:name val="Arial"/>
    </x:font>
    <x:font>
      <x:sz val="10"/>
      <x:color rgb="FF253746"/>
      <x:name val="Arial"/>
    </x:font>
    <x:font>
      <x:sz val="10"/>
      <x:color rgb="FF667985"/>
      <x:name val="Arial"/>
    </x:font>
    <x:font>
      <x:b/>
      <x:sz val="10"/>
      <x:color rgb="FFFFFFFF"/>
      <x:name val="Arial"/>
    </x:font>
    <x:font>
      <x:b/>
      <x:sz val="16"/>
      <x:color rgb="FF19364B"/>
      <x:name val="Arial"/>
    </x:font>
  </x:fonts>
  <x:fills count="6">
    <x:fill>
      <x:patternFill patternType="none"/>
    </x:fill>
    <x:fill>
      <x:patternFill patternType="gray125"/>
    </x:fill>
    <x:fill>
      <x:patternFill patternType="solid">
        <x:fgColor rgb="FFFFF4D5"/>
      </x:patternFill>
    </x:fill>
    <x:fill>
      <x:patternFill patternType="solid">
        <x:fgColor rgb="FF19364B"/>
      </x:patternFill>
    </x:fill>
    <x:fill>
      <x:patternFill patternType="solid">
        <x:fgColor rgb="FFFBE2DD"/>
      </x:patternFill>
    </x:fill>
    <x:fill>
      <x:patternFill patternType="solid">
        <x:fgColor rgb="FFFFF0CB"/>
      </x:patternFill>
    </x:fill>
  </x:fills>
  <x:borders count="1">
    <x:border/>
  </x:borders>
  <x:cellStyleXfs count="1">
    <x:xf numFmtId="0" fontId="0" fillId="0" borderId="0"/>
  </x:cellStyleXfs>
  <x:cellXfs count="36">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201" fontId="2" fillId="2" borderId="0" xfId="0" applyNumberFormat="1" applyFont="1" applyFill="1" applyBorder="1"/>
    <x:xf numFmtId="0" fontId="3" fillId="0" borderId="0" xfId="0" applyNumberFormat="1" applyFont="1" applyFill="1" applyBorder="1"/>
    <x:xf numFmtId="0" fontId="2"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202" fontId="2" fillId="2" borderId="0" xfId="0" applyNumberFormat="1" applyFont="1" applyFill="1" applyBorder="1"/>
    <x:xf numFmtId="202" fontId="2" fillId="0" borderId="0" xfId="0" applyNumberFormat="1" applyFont="1" applyFill="1" applyBorder="1"/>
    <x:xf numFmtId="200" fontId="2" fillId="0" borderId="0" xfId="0" applyNumberFormat="1" applyFont="1" applyFill="1" applyBorder="1"/>
    <x:xf numFmtId="203" fontId="2" fillId="2" borderId="0" xfId="0" applyNumberFormat="1" applyFont="1" applyFill="1" applyBorder="1"/>
    <x:xf numFmtId="204" fontId="2" fillId="2" borderId="0" xfId="0" applyNumberFormat="1" applyFont="1" applyFill="1" applyBorder="1"/>
    <x:xf numFmtId="0" fontId="2" fillId="0" borderId="0" xfId="0" applyNumberFormat="1" applyFont="1" applyFill="1" applyBorder="1" applyAlignment="1">
      <x:alignment wrapText="1"/>
    </x:xf>
    <x:xf numFmtId="0" fontId="5" fillId="0" borderId="0" xfId="0" applyNumberFormat="1" applyFont="1" applyFill="1" applyBorder="1"/>
    <x:xf numFmtId="0" fontId="2" fillId="4" borderId="0" xfId="0" applyNumberFormat="1" applyFont="1" applyFill="1" applyBorder="1"/>
    <x:xf numFmtId="202" fontId="2" fillId="4" borderId="0" xfId="0" applyNumberFormat="1" applyFont="1" applyFill="1" applyBorder="1"/>
    <x:xf numFmtId="0" fontId="2" fillId="5" borderId="0" xfId="0" applyNumberFormat="1" applyFont="1" applyFill="1" applyBorder="1"/>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2"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202" fontId="2" fillId="2" borderId="0" xfId="0" applyNumberFormat="1" applyFont="1" applyFill="1" applyBorder="1" applyAlignment="1">
      <x:alignment vertical="center"/>
    </x:xf>
    <x:xf numFmtId="202"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203" fontId="2" fillId="2" borderId="0" xfId="0" applyNumberFormat="1" applyFont="1" applyFill="1" applyBorder="1" applyAlignment="1">
      <x:alignment vertical="center"/>
    </x:xf>
    <x:xf numFmtId="204" fontId="2" fillId="2"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201"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cellXfs>
  <x:cellStyles count="1">
    <x:cellStyle name="Normal" xfId="0"/>
  </x:cellStyles>
  <x:dxfs count="31">
    <x:dxf>
      <x:fill>
        <x:patternFill>
          <x:bgColor rgb="FFFFF0CB"/>
        </x:patternFill>
      </x:fill>
    </x:dxf>
    <x:dxf>
      <x:fill>
        <x:patternFill>
          <x:bgColor rgb="FFFBE2DD"/>
        </x:patternFill>
      </x:fill>
    </x:dxf>
    <x:dxf>
      <x:fill>
        <x:patternFill>
          <x:bgColor rgb="FFFFF0CB"/>
        </x:patternFill>
      </x:fill>
    </x:dxf>
    <x:dxf>
      <x:fill>
        <x:patternFill>
          <x:bgColor rgb="FFE2F0E9"/>
        </x:patternFill>
      </x:fill>
    </x:dxf>
    <x:dxf>
      <x:fill>
        <x:patternFill>
          <x:bgColor rgb="FFFFF0CB"/>
        </x:patternFill>
      </x:fill>
    </x:dxf>
    <x:dxf>
      <x:fill>
        <x:patternFill>
          <x:bgColor rgb="FFFFF0CB"/>
        </x:patternFill>
      </x:fill>
    </x:dxf>
    <x:dxf>
      <x:fill>
        <x:patternFill>
          <x:bgColor rgb="FFFBE2DD"/>
        </x:patternFill>
      </x:fill>
    </x:dxf>
    <x:dxf>
      <x:fill>
        <x:patternFill>
          <x:bgColor rgb="FFFBE2DD"/>
        </x:patternFill>
      </x:fill>
    </x:dxf>
    <x:dxf>
      <x:fill>
        <x:patternFill>
          <x:bgColor rgb="FFFFF0CB"/>
        </x:patternFill>
      </x:fill>
    </x:dxf>
    <x:dxf>
      <x:fill>
        <x:patternFill>
          <x:bgColor rgb="FFE2F0E9"/>
        </x:patternFill>
      </x:fill>
    </x:dxf>
    <x:dxf>
      <x:fill>
        <x:patternFill>
          <x:bgColor rgb="FFFFF0CB"/>
        </x:patternFill>
      </x:fill>
    </x:dxf>
    <x:dxf>
      <x:fill>
        <x:patternFill>
          <x:bgColor rgb="FFFFF0CB"/>
        </x:patternFill>
      </x:fill>
    </x:dxf>
    <x:dxf>
      <x:fill>
        <x:patternFill>
          <x:bgColor rgb="FFFBE2DD"/>
        </x:patternFill>
      </x:fill>
    </x:dxf>
    <x:dxf>
      <x:fill>
        <x:patternFill>
          <x:bgColor rgb="FFFBE2DD"/>
        </x:patternFill>
      </x:fill>
    </x:dxf>
    <x:dxf>
      <x:fill>
        <x:patternFill>
          <x:bgColor rgb="FFFFF0CB"/>
        </x:patternFill>
      </x:fill>
    </x:dxf>
    <x:dxf>
      <x:fill>
        <x:patternFill>
          <x:bgColor rgb="FFE2F0E9"/>
        </x:patternFill>
      </x:fill>
    </x:dxf>
    <x:dxf>
      <x:fill>
        <x:patternFill>
          <x:bgColor rgb="FFFFF0CB"/>
        </x:patternFill>
      </x:fill>
    </x:dxf>
    <x:dxf>
      <x:fill>
        <x:patternFill>
          <x:bgColor rgb="FFFFF0CB"/>
        </x:patternFill>
      </x:fill>
    </x:dxf>
    <x:dxf>
      <x:fill>
        <x:patternFill>
          <x:bgColor rgb="FFFBE2DD"/>
        </x:patternFill>
      </x:fill>
    </x:dxf>
    <x:dxf>
      <x:fill>
        <x:patternFill>
          <x:bgColor rgb="FFFBE2DD"/>
        </x:patternFill>
      </x:fill>
    </x:dxf>
    <x:dxf>
      <x:fill>
        <x:patternFill>
          <x:bgColor rgb="FFFFF0CB"/>
        </x:patternFill>
      </x:fill>
    </x:dxf>
    <x:dxf>
      <x:fill>
        <x:patternFill>
          <x:bgColor rgb="FFE2F0E9"/>
        </x:patternFill>
      </x:fill>
    </x:dxf>
    <x:dxf>
      <x:fill>
        <x:patternFill>
          <x:bgColor rgb="FFFFF0CB"/>
        </x:patternFill>
      </x:fill>
    </x:dxf>
    <x:dxf>
      <x:fill>
        <x:patternFill>
          <x:bgColor rgb="FFFFF0CB"/>
        </x:patternFill>
      </x:fill>
    </x:dxf>
    <x:dxf>
      <x:fill>
        <x:patternFill>
          <x:bgColor rgb="FFFBE2DD"/>
        </x:patternFill>
      </x:fill>
    </x:dxf>
    <x:dxf>
      <x:fill>
        <x:patternFill>
          <x:bgColor rgb="FFFBE2DD"/>
        </x:patternFill>
      </x:fill>
    </x:dxf>
    <x:dxf>
      <x:fill>
        <x:patternFill>
          <x:bgColor rgb="FFFFF0CB"/>
        </x:patternFill>
      </x:fill>
    </x:dxf>
    <x:dxf>
      <x:fill>
        <x:patternFill>
          <x:bgColor rgb="FFE2F0E9"/>
        </x:patternFill>
      </x:fill>
    </x:dxf>
    <x:dxf>
      <x:fill>
        <x:patternFill>
          <x:bgColor rgb="FFFFF0CB"/>
        </x:patternFill>
      </x:fill>
    </x:dxf>
    <x:dxf>
      <x:fill>
        <x:patternFill>
          <x:bgColor rgb="FFFFF0CB"/>
        </x:patternFill>
      </x:fill>
    </x:dxf>
    <x:dxf>
      <x:fill>
        <x:patternFill>
          <x:bgColor rgb="FFFBE2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b821e7008b440f" /><Relationship Type="http://schemas.openxmlformats.org/officeDocument/2006/relationships/theme" Target="/xl/theme/theme1.xml" Id="R84aced93328d45a6" /><Relationship Type="http://schemas.openxmlformats.org/officeDocument/2006/relationships/sharedStrings" Target="/xl/sharedStrings.xml" Id="R0b033c9339344b7e" /><Relationship Type="http://schemas.openxmlformats.org/officeDocument/2006/relationships/worksheet" Target="/xl/worksheets/sheet1.xml" Id="R822c752c1d294a24" /><Relationship Type="http://schemas.openxmlformats.org/officeDocument/2006/relationships/worksheet" Target="/xl/worksheets/sheet2.xml" Id="R26123092cd4644cd" /><Relationship Type="http://schemas.openxmlformats.org/officeDocument/2006/relationships/worksheet" Target="/xl/worksheets/sheet3.xml" Id="Rf183b186b8c64084" /><Relationship Type="http://schemas.openxmlformats.org/officeDocument/2006/relationships/worksheet" Target="/xl/worksheets/sheet4.xml" Id="R3725ae87afca40ce" /><Relationship Type="http://schemas.openxmlformats.org/officeDocument/2006/relationships/worksheet" Target="/xl/worksheets/sheet5.xml" Id="R81869c88cbd848a3" /><Relationship Type="http://schemas.openxmlformats.org/officeDocument/2006/relationships/worksheet" Target="/xl/worksheets/sheet6.xml" Id="R54d24a87a22341bb" /><Relationship Type="http://schemas.openxmlformats.org/officeDocument/2006/relationships/worksheet" Target="/xl/worksheets/sheet7.xml" Id="R2866bdad0724406c" /><Relationship Type="http://schemas.openxmlformats.org/officeDocument/2006/relationships/worksheet" Target="/xl/worksheets/sheet8.xml" Id="Ra9df36b8b86b49d9" /><Relationship Type="http://schemas.openxmlformats.org/officeDocument/2006/relationships/worksheet" Target="/xl/worksheets/sheet9.xml" Id="R980b42aea6394a31" /><Relationship Type="http://schemas.openxmlformats.org/officeDocument/2006/relationships/worksheet" Target="/xl/worksheets/sheet10.xml" Id="Re96b170ab35549a2" /><Relationship Type="http://schemas.openxmlformats.org/officeDocument/2006/relationships/worksheet" Target="/xl/worksheets/sheet11.xml" Id="Rcd19ad7e41474a1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c12854f9915455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Operaciones por estado</a:t>
            </a:r>
          </a:p>
        </c:rich>
      </c:tx>
      <c:overlay val="0"/>
    </c:title>
    <c:plotArea>
      <c:barChart>
        <c:barDir val="col"/>
        <c:varyColors val="0"/>
        <c:ser>
          <c:idx val="0"/>
          <c:order val="0"/>
          <c:tx>
            <c:v>Operaciones</c:v>
          </c:tx>
          <c:spPr>
            <a:solidFill xmlns:a="http://schemas.openxmlformats.org/drawingml/2006/main">
              <a:srgbClr val="527F96"/>
            </a:solidFill>
          </c:spPr>
          <c:cat>
            <c:strRef>
              <c:f>'RESUMEN'!$A$6:$A$9</c:f>
              <c:strCache>
                <c:ptCount val="0"/>
              </c:strCache>
            </c:strRef>
          </c:cat>
          <c:val>
            <c:numRef>
              <c:f>'RESUMEN'!$B$6:$B$9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13</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12854f9915455a"/>
        </a:graphicData>
      </a:graphic>
    </xdr:graphicFrame>
    <xdr:clientData/>
  </xdr:twoCellAnchor>
</xdr:wsDr>
</file>

<file path=xl/tables/table1.xml><?xml version="1.0" encoding="utf-8"?>
<x:table xmlns:x="http://schemas.openxmlformats.org/spreadsheetml/2006/main" id="3" name="T_VENTAS" displayName="T_VENTAS" ref="A4:T254" headerRowCount="1" totalsRowCount="0" totalsRowShown="0">
  <x:tableColumns count="20">
    <x:tableColumn id="1" name="ID venta"/>
    <x:tableColumn id="2" name="Fecha venta"/>
    <x:tableColumn id="3" name="Cliente"/>
    <x:tableColumn id="4" name="Producto"/>
    <x:tableColumn id="5" name="Precio pactado $"/>
    <x:tableColumn id="6" name="Base del precio"/>
    <x:tableColumn id="7" name="Cobros aplicados $"/>
    <x:tableColumn id="8" name="Saldo $ ref."/>
    <x:tableColumn id="9" name="Estado"/>
    <x:tableColumn id="10" name="Días vencidos"/>
    <x:tableColumn id="11" name="Costo histórico $"/>
    <x:tableColumn id="12" name="Vendedor"/>
    <x:tableColumn id="13" name="Plazo días"/>
    <x:tableColumn id="14" name="Vencimiento"/>
    <x:tableColumn id="15" name="Fecha cierre confirmado"/>
    <x:tableColumn id="16" name="Tratamiento"/>
    <x:tableColumn id="17" name="Observaciones"/>
    <x:tableColumn id="18" name="Origen"/>
    <x:tableColumn id="19" name="Cobros por conciliar"/>
    <x:tableColumn id="20" name="Diferencia al cierre $"/>
  </x:tableColumns>
  <x:tableStyleInfo name="TableStyleLight9" showFirstColumn="0" showLastColumn="0" showRowStripes="1" showColumnStripes="0"/>
</x:table>
</file>

<file path=xl/tables/table2.xml><?xml version="1.0" encoding="utf-8"?>
<x:table xmlns:x="http://schemas.openxmlformats.org/spreadsheetml/2006/main" id="4" name="T_PAGOS" displayName="T_PAGOS" ref="A4:Q504" headerRowCount="1" totalsRowCount="0" totalsRowShown="0">
  <x:tableColumns count="17">
    <x:tableColumn id="1" name="ID pago"/>
    <x:tableColumn id="2" name="Fecha cobro"/>
    <x:tableColumn id="3" name="ID venta"/>
    <x:tableColumn id="4" name="Cliente"/>
    <x:tableColumn id="5" name="Producto"/>
    <x:tableColumn id="6" name="Método"/>
    <x:tableColumn id="7" name="Recibido Bs"/>
    <x:tableColumn id="8" name="Equivalente acordado $"/>
    <x:tableColumn id="9" name="Base"/>
    <x:tableColumn id="10" name="Tasa Bs / $"/>
    <x:tableColumn id="11" name="Abono aplicable $"/>
    <x:tableColumn id="12" name="Referencia"/>
    <x:tableColumn id="13" name="Concepto"/>
    <x:tableColumn id="14" name="Tratamiento"/>
    <x:tableColumn id="15" name="Observaciones"/>
    <x:tableColumn id="16" name="Origen"/>
    <x:tableColumn id="17" name="Control"/>
  </x:tableColumns>
  <x:tableStyleInfo name="TableStyleLight9" showFirstColumn="0" showLastColumn="0" showRowStripes="1" showColumnStripes="0"/>
</x:table>
</file>

<file path=xl/tables/table3.xml><?xml version="1.0" encoding="utf-8"?>
<x:table xmlns:x="http://schemas.openxmlformats.org/spreadsheetml/2006/main" id="5" name="T_GASTOSYCOMPRAS" displayName="T_GASTOSYCOMPRAS" ref="A4:L204" headerRowCount="1" totalsRowCount="0" totalsRowShown="0">
  <x:tableColumns count="12">
    <x:tableColumn id="1" name="ID egreso"/>
    <x:tableColumn id="2" name="Fecha"/>
    <x:tableColumn id="3" name="Tipo"/>
    <x:tableColumn id="4" name="Concepto / lote"/>
    <x:tableColumn id="5" name="Importe $ ref."/>
    <x:tableColumn id="6" name="Importe Bs"/>
    <x:tableColumn id="7" name="Base"/>
    <x:tableColumn id="8" name="Método"/>
    <x:tableColumn id="9" name="Tratamiento"/>
    <x:tableColumn id="10" name="Control"/>
    <x:tableColumn id="11" name="Observaciones"/>
    <x:tableColumn id="12" name="Origen"/>
  </x:tableColumns>
  <x:tableStyleInfo name="TableStyleLight9" showFirstColumn="0" showLastColumn="0" showRowStripes="1" showColumnStripes="0"/>
</x:table>
</file>

<file path=xl/tables/table4.xml><?xml version="1.0" encoding="utf-8"?>
<x:table xmlns:x="http://schemas.openxmlformats.org/spreadsheetml/2006/main" id="6" name="T_CLIENTES" displayName="T_CLIENTES" ref="A4:J154" headerRowCount="1" totalsRowCount="0" totalsRowShown="0">
  <x:tableColumns count="10">
    <x:tableColumn id="1" name="Cliente"/>
    <x:tableColumn id="2" name="Ventas"/>
    <x:tableColumn id="3" name="Saldo BCV $ ref."/>
    <x:tableColumn id="4" name="Saldo USDT $"/>
    <x:tableColumn id="5" name="Saldo Divisa $"/>
    <x:tableColumn id="6" name="Saldo sin base $"/>
    <x:tableColumn id="7" name="Vencido $ ref."/>
    <x:tableColumn id="8" name="Ventas por conciliar"/>
    <x:tableColumn id="9" name="Estado"/>
    <x:tableColumn id="10" name="Nombre único"/>
  </x:tableColumns>
  <x:tableStyleInfo name="TableStyleLight9" showFirstColumn="0" showLastColumn="0" showRowStripes="1" showColumnStripes="0"/>
</x:table>
</file>

<file path=xl/tables/table5.xml><?xml version="1.0" encoding="utf-8"?>
<x:table xmlns:x="http://schemas.openxmlformats.org/spreadsheetml/2006/main" id="1" name="T_PRECIOSPERFTOPQUALITY" displayName="T_PRECIOSPERFTOPQUALITY" ref="A4:H199" headerRowCount="1" totalsRowCount="0" totalsRowShown="0">
  <x:tableColumns count="8">
    <x:tableColumn id="1" name="Código"/>
    <x:tableColumn id="2" name="Producto"/>
    <x:tableColumn id="3" name="Línea"/>
    <x:tableColumn id="4" name="Costo $"/>
    <x:tableColumn id="5" name="Divisa / USDT $"/>
    <x:tableColumn id="6" name="Referencia BCV $"/>
    <x:tableColumn id="7" name="Observación"/>
    <x:tableColumn id="8" name="Fuente"/>
  </x:tableColumns>
  <x:tableStyleInfo name="TableStyleLight9" showFirstColumn="0" showLastColumn="0" showRowStripes="1" showColumnStripes="0"/>
</x:table>
</file>

<file path=xl/tables/table6.xml><?xml version="1.0" encoding="utf-8"?>
<x:table xmlns:x="http://schemas.openxmlformats.org/spreadsheetml/2006/main" id="2" name="T_PRECIOSPERFORIGINALES" displayName="T_PRECIOSPERFORIGINALES" ref="A4:F37" headerRowCount="1" totalsRowCount="0" totalsRowShown="0">
  <x:tableColumns count="6">
    <x:tableColumn id="1" name="Código"/>
    <x:tableColumn id="2" name="Producto original"/>
    <x:tableColumn id="3" name="Precio original $"/>
    <x:tableColumn id="4" name="Team $"/>
    <x:tableColumn id="5" name="Revendedor $"/>
    <x:tableColumn id="6" name="Fuente"/>
  </x:tableColumns>
  <x:tableStyleInfo name="TableStyleLight9" showFirstColumn="0" showLastColumn="0" showRowStripes="1" showColumnStripes="0"/>
</x:table>
</file>

<file path=xl/tables/table7.xml><?xml version="1.0" encoding="utf-8"?>
<x:table xmlns:x="http://schemas.openxmlformats.org/spreadsheetml/2006/main" id="7" name="T_REVISAR" displayName="T_REVISAR" ref="A4:H59" headerRowCount="1" totalsRowCount="0" totalsRowShown="0">
  <x:tableColumns count="8">
    <x:tableColumn id="1" name="ID revisión"/>
    <x:tableColumn id="2" name="Tema"/>
    <x:tableColumn id="3" name="Registro"/>
    <x:tableColumn id="4" name="Hallazgo"/>
    <x:tableColumn id="5" name="Acción necesaria"/>
    <x:tableColumn id="6" name="Fuente"/>
    <x:tableColumn id="7" name="Estado revisión"/>
    <x:tableColumn id="8" name="Respuesta / soporte"/>
  </x:tableColumns>
  <x:tableStyleInfo name="TableStyleLight9" showFirstColumn="0" showLastColumn="0" showRowStripes="1" showColumnStripes="0"/>
</x:table>
</file>

<file path=xl/tables/table8.xml><?xml version="1.0" encoding="utf-8"?>
<x:table xmlns:x="http://schemas.openxmlformats.org/spreadsheetml/2006/main" id="9" name="T_GUA" displayName="T_GUA" ref="A4:B22" headerRowCount="1" totalsRowCount="0" totalsRowShown="0">
  <x:tableColumns count="2">
    <x:tableColumn id="1" name="Paso / regla"/>
    <x:tableColumn id="2" name="Instrucción"/>
  </x:tableColumns>
  <x:tableStyleInfo name="TableStyleLight9" showFirstColumn="0" showLastColumn="0" showRowStripes="1" showColumnStripes="0"/>
</x:table>
</file>

<file path=xl/tables/table9.xml><?xml version="1.0" encoding="utf-8"?>
<x:table xmlns:x="http://schemas.openxmlformats.org/spreadsheetml/2006/main" id="8" name="T_FUENTES" displayName="T_FUENTES" ref="A4:F1114" headerRowCount="1" totalsRowCount="0" totalsRowShown="0">
  <x:tableColumns count="6">
    <x:tableColumn id="1" name="Tipo fuente"/>
    <x:tableColumn id="2" name="Referencia"/>
    <x:tableColumn id="3" name="Fecha mensaje"/>
    <x:tableColumn id="4" name="Texto / datos originales"/>
    <x:tableColumn id="5" name="Tratamiento aplicado"/>
    <x:tableColumn id="6" name="Registro destino"/>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b658b1914354d44" /></Relationships>
</file>

<file path=xl/worksheets/_rels/sheet2.xml.rels>&#65279;<?xml version="1.0" encoding="utf-8"?><Relationships xmlns="http://schemas.openxmlformats.org/package/2006/relationships"><Relationship Type="http://schemas.openxmlformats.org/officeDocument/2006/relationships/table" Target="/xl/tables/table1.xml" Id="R8571e637cfe14ddd" /></Relationships>
</file>

<file path=xl/worksheets/_rels/sheet3.xml.rels>&#65279;<?xml version="1.0" encoding="utf-8"?><Relationships xmlns="http://schemas.openxmlformats.org/package/2006/relationships"><Relationship Type="http://schemas.openxmlformats.org/officeDocument/2006/relationships/table" Target="/xl/tables/table2.xml" Id="Ra7964adfaebc47df" /></Relationships>
</file>

<file path=xl/worksheets/_rels/sheet4.xml.rels>&#65279;<?xml version="1.0" encoding="utf-8"?><Relationships xmlns="http://schemas.openxmlformats.org/package/2006/relationships"><Relationship Type="http://schemas.openxmlformats.org/officeDocument/2006/relationships/table" Target="/xl/tables/table3.xml" Id="R4d8397b6efb740e4" /></Relationships>
</file>

<file path=xl/worksheets/_rels/sheet5.xml.rels>&#65279;<?xml version="1.0" encoding="utf-8"?><Relationships xmlns="http://schemas.openxmlformats.org/package/2006/relationships"><Relationship Type="http://schemas.openxmlformats.org/officeDocument/2006/relationships/table" Target="/xl/tables/table4.xml" Id="Rb0a08a57b9b6493c" /></Relationships>
</file>

<file path=xl/worksheets/_rels/sheet6.xml.rels>&#65279;<?xml version="1.0" encoding="utf-8"?><Relationships xmlns="http://schemas.openxmlformats.org/package/2006/relationships"><Relationship Type="http://schemas.openxmlformats.org/officeDocument/2006/relationships/table" Target="/xl/tables/table5.xml" Id="R8fe12a94e9524efa" /></Relationships>
</file>

<file path=xl/worksheets/_rels/sheet7.xml.rels>&#65279;<?xml version="1.0" encoding="utf-8"?><Relationships xmlns="http://schemas.openxmlformats.org/package/2006/relationships"><Relationship Type="http://schemas.openxmlformats.org/officeDocument/2006/relationships/table" Target="/xl/tables/table6.xml" Id="Rb28e9010a83d4b11" /></Relationships>
</file>

<file path=xl/worksheets/_rels/sheet8.xml.rels>&#65279;<?xml version="1.0" encoding="utf-8"?><Relationships xmlns="http://schemas.openxmlformats.org/package/2006/relationships"><Relationship Type="http://schemas.openxmlformats.org/officeDocument/2006/relationships/table" Target="/xl/tables/table7.xml" Id="R3482cbc6ac0e448b" /></Relationships>
</file>

<file path=xl/worksheets/_rels/sheet10.xml.rels>&#65279;<?xml version="1.0" encoding="utf-8"?><Relationships xmlns="http://schemas.openxmlformats.org/package/2006/relationships"><Relationship Type="http://schemas.openxmlformats.org/officeDocument/2006/relationships/table" Target="/xl/tables/table8.xml" Id="R8cb4c971fe794211" /></Relationships>
</file>

<file path=xl/worksheets/_rels/sheet11.xml.rels>&#65279;<?xml version="1.0" encoding="utf-8"?><Relationships xmlns="http://schemas.openxmlformats.org/package/2006/relationships"><Relationship Type="http://schemas.openxmlformats.org/officeDocument/2006/relationships/table" Target="/xl/tables/table9.xml" Id="R112b8ad5865a435b" /></Relationships>
</file>

<file path=xl/worksheets/sheet1.xml><?xml version="1.0" encoding="utf-8"?>
<x:worksheet xmlns:x="http://schemas.openxmlformats.org/spreadsheetml/2006/main">
  <x:sheetPr>
    <x:tabColor rgb="FF19364B"/>
  </x:sheetPr>
  <x:sheetViews>
    <x:sheetView showGridLines="0" workbookViewId="0"/>
  </x:sheetViews>
  <x:sheetFormatPr defaultRowHeight="15"/>
  <x:cols>
    <x:col min="1" max="1" width="34" hidden="0" customWidth="1"/>
    <x:col min="2" max="2" width="23" hidden="0" customWidth="1"/>
    <x:col min="3" max="3" width="25" hidden="0" customWidth="1"/>
    <x:col min="4" max="4" width="2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x:c r="A1" s="2"/>
      <x:c r="B1" s="2"/>
      <x:c r="C1" s="2"/>
      <x:c r="D1" s="2"/>
      <x:c r="E1" s="2"/>
      <x:c r="F1" s="2"/>
      <x:c r="G1" s="2"/>
      <x:c r="H1" s="2"/>
      <x:c r="I1" s="2"/>
      <x:c r="J1" s="2"/>
      <x:c r="K1" s="2"/>
      <x:c r="L1" s="2"/>
    </x:row>
    <x:row r="2">
      <x:c r="A2" s="18" t="str">
        <x:v>MARFIL · Ventas, cobros y cartera</x:v>
      </x:c>
      <x:c r="B2" s="2"/>
      <x:c r="C2" s="2"/>
      <x:c r="D2" s="2"/>
      <x:c r="E2" s="2"/>
      <x:c r="F2" s="2"/>
      <x:c r="G2" s="2"/>
      <x:c r="H2" s="2"/>
      <x:c r="I2" s="2"/>
      <x:c r="J2" s="2"/>
      <x:c r="K2" s="2"/>
      <x:c r="L2" s="2"/>
    </x:row>
    <x:row r="3">
      <x:c r="A3" s="2" t="str">
        <x:v>Fecha de corte</x:v>
      </x:c>
      <x:c r="B3" s="14" t="n">
        <x:f>'AJUSTES'!$B$4</x:f>
        <x:v>46289</x:v>
      </x:c>
      <x:c r="C3" s="2"/>
      <x:c r="D3" s="2" t="str">
        <x:v>Plazo general</x:v>
      </x:c>
      <x:c r="E3" s="2" t="n">
        <x:f>'AJUSTES'!B5</x:f>
        <x:v>30</x:v>
      </x:c>
      <x:c r="F3" s="2" t="str">
        <x:v>días</x:v>
      </x:c>
      <x:c r="G3" s="2"/>
      <x:c r="H3" s="2"/>
      <x:c r="I3" s="2"/>
      <x:c r="J3" s="2"/>
      <x:c r="K3" s="2"/>
      <x:c r="L3" s="2"/>
    </x:row>
    <x:row r="4">
      <x:c r="A4" s="2"/>
      <x:c r="B4" s="2"/>
      <x:c r="C4" s="2"/>
      <x:c r="D4" s="2"/>
      <x:c r="E4" s="2"/>
      <x:c r="F4" s="2"/>
      <x:c r="G4" s="2"/>
      <x:c r="H4" s="2"/>
      <x:c r="I4" s="2"/>
      <x:c r="J4" s="2"/>
      <x:c r="K4" s="2"/>
      <x:c r="L4" s="2"/>
    </x:row>
    <x:row r="5" ht="34" customHeight="1">
      <x:c r="A5" s="9" t="str">
        <x:v>Estado de ventas</x:v>
      </x:c>
      <x:c r="B5" s="9" t="str">
        <x:v>Operaciones</x:v>
      </x:c>
      <x:c r="C5" s="9" t="str">
        <x:v>Saldo $ de referencia</x:v>
      </x:c>
      <x:c r="D5" s="2"/>
      <x:c r="E5" s="2"/>
      <x:c r="F5" s="2"/>
      <x:c r="G5" s="2"/>
      <x:c r="H5" s="2"/>
      <x:c r="I5" s="2"/>
      <x:c r="J5" s="2"/>
      <x:c r="K5" s="2"/>
      <x:c r="L5" s="2"/>
    </x:row>
    <x:row r="6" ht="27" customHeight="1">
      <x:c r="A6" s="2" t="str">
        <x:v>Pagado</x:v>
      </x:c>
      <x:c r="B6" s="2" t="n">
        <x:f>COUNTIFS('VENTAS'!$I$5:$I$254,A6)</x:f>
        <x:v>34</x:v>
      </x:c>
      <x:c r="C6" s="13" t="n">
        <x:f>SUMIFS('VENTAS'!$H$5:$H$254,'VENTAS'!$I$5:$I$254,A6)</x:f>
        <x:v>0</x:v>
      </x:c>
      <x:c r="D6" s="2"/>
      <x:c r="E6" s="2"/>
      <x:c r="F6" s="2"/>
      <x:c r="G6" s="2"/>
      <x:c r="H6" s="2"/>
      <x:c r="I6" s="2"/>
      <x:c r="J6" s="2"/>
      <x:c r="K6" s="2"/>
      <x:c r="L6" s="2"/>
    </x:row>
    <x:row r="7" ht="27" customHeight="1">
      <x:c r="A7" s="2" t="str">
        <x:v>Vigente</x:v>
      </x:c>
      <x:c r="B7" s="2" t="n">
        <x:f>COUNTIFS('VENTAS'!$I$5:$I$254,A7)</x:f>
        <x:v>9</x:v>
      </x:c>
      <x:c r="C7" s="13" t="n">
        <x:f>SUMIFS('VENTAS'!$H$5:$H$254,'VENTAS'!$I$5:$I$254,A7)</x:f>
        <x:v>114.5</x:v>
      </x:c>
      <x:c r="D7" s="2"/>
      <x:c r="E7" s="2"/>
      <x:c r="F7" s="2"/>
      <x:c r="G7" s="2"/>
      <x:c r="H7" s="2"/>
      <x:c r="I7" s="2"/>
      <x:c r="J7" s="2"/>
      <x:c r="K7" s="2"/>
      <x:c r="L7" s="2"/>
    </x:row>
    <x:row r="8" ht="27" customHeight="1">
      <x:c r="A8" s="19" t="str">
        <x:v>Moroso</x:v>
      </x:c>
      <x:c r="B8" s="19" t="n">
        <x:f>COUNTIFS('VENTAS'!$I$5:$I$254,A8)</x:f>
        <x:v>10</x:v>
      </x:c>
      <x:c r="C8" s="20" t="n">
        <x:f>SUMIFS('VENTAS'!$H$5:$H$254,'VENTAS'!$I$5:$I$254,A8)</x:f>
        <x:v>178</x:v>
      </x:c>
      <x:c r="D8" s="2"/>
      <x:c r="E8" s="2"/>
      <x:c r="F8" s="2"/>
      <x:c r="G8" s="2"/>
      <x:c r="H8" s="2"/>
      <x:c r="I8" s="2"/>
      <x:c r="J8" s="2"/>
      <x:c r="K8" s="2"/>
      <x:c r="L8" s="2"/>
    </x:row>
    <x:row r="9" ht="27" customHeight="1">
      <x:c r="A9" s="21" t="str">
        <x:v>Por conciliar</x:v>
      </x:c>
      <x:c r="B9" s="21" t="n">
        <x:f>COUNTIFS('VENTAS'!$I$5:$I$254,A9)</x:f>
        <x:v>22</x:v>
      </x:c>
      <x:c r="C9" s="21" t="str">
        <x:f>"No determinado"</x:f>
        <x:v>No determinado</x:v>
      </x:c>
      <x:c r="D9" s="2"/>
      <x:c r="E9" s="2"/>
      <x:c r="F9" s="2"/>
      <x:c r="G9" s="2"/>
      <x:c r="H9" s="2"/>
      <x:c r="I9" s="2"/>
      <x:c r="J9" s="2"/>
      <x:c r="K9" s="2"/>
      <x:c r="L9" s="2"/>
    </x:row>
    <x:row r="10" ht="27" customHeight="1">
      <x:c r="A10" s="2"/>
      <x:c r="B10" s="2"/>
      <x:c r="C10" s="2"/>
      <x:c r="D10" s="2"/>
      <x:c r="E10" s="2"/>
      <x:c r="F10" s="2"/>
      <x:c r="G10" s="2"/>
      <x:c r="H10" s="2"/>
      <x:c r="I10" s="2"/>
      <x:c r="J10" s="2"/>
      <x:c r="K10" s="2"/>
      <x:c r="L10" s="2"/>
    </x:row>
    <x:row r="11" ht="27" customHeight="1">
      <x:c r="A11" s="9" t="str">
        <x:v>Base del precio</x:v>
      </x:c>
      <x:c r="B11" s="9" t="str">
        <x:v>Venta pactada $ ref.</x:v>
      </x:c>
      <x:c r="C11" s="9" t="str">
        <x:v>Saldo $ ref.</x:v>
      </x:c>
      <x:c r="D11" s="9" t="str">
        <x:v>Vencido $ ref.</x:v>
      </x:c>
      <x:c r="E11" s="2"/>
      <x:c r="F11" s="2"/>
      <x:c r="G11" s="2"/>
      <x:c r="H11" s="2"/>
      <x:c r="I11" s="2"/>
      <x:c r="J11" s="2"/>
      <x:c r="K11" s="2"/>
      <x:c r="L11" s="2"/>
    </x:row>
    <x:row r="12" ht="27" customHeight="1">
      <x:c r="A12" s="2" t="str">
        <x:v>BCV</x:v>
      </x:c>
      <x:c r="B12" s="13" t="n">
        <x:f>SUMIFS('VENTAS'!$E$5:$E$254,'VENTAS'!$F$5:$F$254,A12,'VENTAS'!$P$5:$P$254,"Incluir",'VENTAS'!$B$5:$B$254,"&lt;="&amp;'AJUSTES'!$B$4)</x:f>
        <x:v>1001</x:v>
      </x:c>
      <x:c r="C12" s="13" t="n">
        <x:f>SUMIFS('VENTAS'!$H$5:$H$254,'VENTAS'!$F$5:$F$254,A12)</x:f>
        <x:v>123</x:v>
      </x:c>
      <x:c r="D12" s="13" t="n">
        <x:f>SUMIFS('VENTAS'!$H$5:$H$254,'VENTAS'!$F$5:$F$254,A12,'VENTAS'!$I$5:$I$254,"Moroso")</x:f>
        <x:v>107</x:v>
      </x:c>
      <x:c r="E12" s="2"/>
      <x:c r="F12" s="2"/>
      <x:c r="G12" s="2"/>
      <x:c r="H12" s="2"/>
      <x:c r="I12" s="2"/>
      <x:c r="J12" s="2"/>
      <x:c r="K12" s="2"/>
      <x:c r="L12" s="2"/>
    </x:row>
    <x:row r="13" ht="27" customHeight="1">
      <x:c r="A13" s="2" t="str">
        <x:v>USDT</x:v>
      </x:c>
      <x:c r="B13" s="13" t="n">
        <x:f>SUMIFS('VENTAS'!$E$5:$E$254,'VENTAS'!$F$5:$F$254,A13,'VENTAS'!$P$5:$P$254,"Incluir",'VENTAS'!$B$5:$B$254,"&lt;="&amp;'AJUSTES'!$B$4)</x:f>
        <x:v>139.5</x:v>
      </x:c>
      <x:c r="C13" s="13" t="n">
        <x:f>SUMIFS('VENTAS'!$H$5:$H$254,'VENTAS'!$F$5:$F$254,A13)</x:f>
        <x:v>81.5</x:v>
      </x:c>
      <x:c r="D13" s="13" t="n">
        <x:f>SUMIFS('VENTAS'!$H$5:$H$254,'VENTAS'!$F$5:$F$254,A13,'VENTAS'!$I$5:$I$254,"Moroso")</x:f>
        <x:v>0</x:v>
      </x:c>
      <x:c r="E13" s="2"/>
      <x:c r="F13" s="2"/>
      <x:c r="G13" s="2"/>
      <x:c r="H13" s="2"/>
      <x:c r="I13" s="2"/>
      <x:c r="J13" s="2"/>
      <x:c r="K13" s="2"/>
      <x:c r="L13" s="2"/>
    </x:row>
    <x:row r="14" ht="27" customHeight="1">
      <x:c r="A14" s="2" t="str">
        <x:v>Divisa</x:v>
      </x:c>
      <x:c r="B14" s="13" t="n">
        <x:f>SUMIFS('VENTAS'!$E$5:$E$254,'VENTAS'!$F$5:$F$254,A14,'VENTAS'!$P$5:$P$254,"Incluir",'VENTAS'!$B$5:$B$254,"&lt;="&amp;'AJUSTES'!$B$4)</x:f>
        <x:v>62</x:v>
      </x:c>
      <x:c r="C14" s="13" t="n">
        <x:f>SUMIFS('VENTAS'!$H$5:$H$254,'VENTAS'!$F$5:$F$254,A14)</x:f>
        <x:v>0</x:v>
      </x:c>
      <x:c r="D14" s="13" t="n">
        <x:f>SUMIFS('VENTAS'!$H$5:$H$254,'VENTAS'!$F$5:$F$254,A14,'VENTAS'!$I$5:$I$254,"Moroso")</x:f>
        <x:v>0</x:v>
      </x:c>
      <x:c r="E14" s="2"/>
      <x:c r="F14" s="2"/>
      <x:c r="G14" s="2"/>
      <x:c r="H14" s="2"/>
      <x:c r="I14" s="2"/>
      <x:c r="J14" s="2"/>
      <x:c r="K14" s="2"/>
      <x:c r="L14" s="2"/>
    </x:row>
    <x:row r="15" ht="27" customHeight="1">
      <x:c r="A15" s="2" t="str">
        <x:v>Sin confirmar</x:v>
      </x:c>
      <x:c r="B15" s="13" t="n">
        <x:f>SUMIFS('VENTAS'!$E$5:$E$254,'VENTAS'!$F$5:$F$254,A15,'VENTAS'!$P$5:$P$254,"Incluir",'VENTAS'!$B$5:$B$254,"&lt;="&amp;'AJUSTES'!$B$4)</x:f>
        <x:v>88</x:v>
      </x:c>
      <x:c r="C15" s="13" t="n">
        <x:f>SUMIFS('VENTAS'!$H$5:$H$254,'VENTAS'!$F$5:$F$254,A15)</x:f>
        <x:v>88</x:v>
      </x:c>
      <x:c r="D15" s="13" t="n">
        <x:f>SUMIFS('VENTAS'!$H$5:$H$254,'VENTAS'!$F$5:$F$254,A15,'VENTAS'!$I$5:$I$254,"Moroso")</x:f>
        <x:v>71</x:v>
      </x:c>
      <x:c r="E15" s="2"/>
      <x:c r="F15" s="2"/>
      <x:c r="G15" s="2"/>
      <x:c r="H15" s="2"/>
      <x:c r="I15" s="2"/>
      <x:c r="J15" s="2"/>
      <x:c r="K15" s="2"/>
      <x:c r="L15" s="2"/>
    </x:row>
    <x:row r="16" ht="27" customHeight="1">
      <x:c r="A16" s="2"/>
      <x:c r="B16" s="2"/>
      <x:c r="C16" s="2"/>
      <x:c r="D16" s="2"/>
      <x:c r="E16" s="2"/>
      <x:c r="F16" s="2"/>
      <x:c r="G16" s="2"/>
      <x:c r="H16" s="2"/>
      <x:c r="I16" s="2"/>
      <x:c r="J16" s="2"/>
      <x:c r="K16" s="2"/>
      <x:c r="L16" s="2"/>
    </x:row>
    <x:row r="17" ht="27" customHeight="1">
      <x:c r="A17" s="9" t="str">
        <x:v>Cobros y egresos conocidos</x:v>
      </x:c>
      <x:c r="B17" s="9" t="str">
        <x:v>Importe / cantidad</x:v>
      </x:c>
      <x:c r="C17" s="9"/>
      <x:c r="D17" s="2"/>
      <x:c r="E17" s="2"/>
      <x:c r="F17" s="2"/>
      <x:c r="G17" s="2"/>
      <x:c r="H17" s="2"/>
      <x:c r="I17" s="2"/>
      <x:c r="J17" s="2"/>
      <x:c r="K17" s="2"/>
      <x:c r="L17" s="2"/>
    </x:row>
    <x:row r="18" ht="27" customHeight="1">
      <x:c r="A18" s="2" t="str">
        <x:v>Cobros registrados en Bs</x:v>
      </x:c>
      <x:c r="B18" s="13" t="n">
        <x:f>SUMIFS('PAGOS'!$G$5:$G$504,'PAGOS'!$N$5:$N$504,"Incluir",'PAGOS'!$B$5:$B$504,"&lt;="&amp;'AJUSTES'!$B$4)</x:f>
        <x:v>732873.57</x:v>
      </x:c>
      <x:c r="C18" s="2"/>
      <x:c r="D18" s="2"/>
      <x:c r="E18" s="2"/>
      <x:c r="F18" s="2"/>
      <x:c r="G18" s="2"/>
      <x:c r="H18" s="2"/>
      <x:c r="I18" s="2"/>
      <x:c r="J18" s="2"/>
      <x:c r="K18" s="2"/>
      <x:c r="L18" s="2"/>
    </x:row>
    <x:row r="19" ht="27" customHeight="1">
      <x:c r="A19" s="2" t="str">
        <x:v>Cobros en efectivo USD</x:v>
      </x:c>
      <x:c r="B19" s="13" t="n">
        <x:f>SUMIFS('PAGOS'!$H$5:$H$504,'PAGOS'!$F$5:$F$504,"Efectivo",'PAGOS'!$N$5:$N$504,"Incluir",'PAGOS'!$B$5:$B$504,"&lt;="&amp;'AJUSTES'!$B$4)</x:f>
        <x:v>58</x:v>
      </x:c>
      <x:c r="C19" s="2"/>
      <x:c r="D19" s="2"/>
      <x:c r="E19" s="2"/>
      <x:c r="F19" s="2"/>
      <x:c r="G19" s="2"/>
      <x:c r="H19" s="2"/>
      <x:c r="I19" s="2"/>
      <x:c r="J19" s="2"/>
      <x:c r="K19" s="2"/>
      <x:c r="L19" s="2"/>
    </x:row>
    <x:row r="20" ht="27" customHeight="1">
      <x:c r="A20" s="2" t="str">
        <x:v>Pagos sin equivalente $</x:v>
      </x:c>
      <x:c r="B20" s="2" t="n">
        <x:f>COUNTIFS('PAGOS'!$Q$5:$Q$504,"Falta equivalente")</x:f>
        <x:v>7</x:v>
      </x:c>
      <x:c r="C20" s="2"/>
      <x:c r="D20" s="2"/>
      <x:c r="E20" s="2"/>
      <x:c r="F20" s="2"/>
      <x:c r="G20" s="2"/>
      <x:c r="H20" s="2"/>
      <x:c r="I20" s="2"/>
      <x:c r="J20" s="2"/>
      <x:c r="K20" s="2"/>
      <x:c r="L20" s="2"/>
    </x:row>
    <x:row r="21" ht="27" customHeight="1">
      <x:c r="A21" s="2" t="str">
        <x:v>Compras registradas</x:v>
      </x:c>
      <x:c r="B21" s="2" t="n">
        <x:f>COUNTIFS('GASTOS Y COMPRAS'!$C$5:$C$204,"Compra",'GASTOS Y COMPRAS'!$D$5:$D$204,"&lt;&gt;")</x:f>
        <x:v>13</x:v>
      </x:c>
      <x:c r="C21" s="2"/>
      <x:c r="D21" s="2"/>
      <x:c r="E21" s="2"/>
      <x:c r="F21" s="2"/>
      <x:c r="G21" s="2"/>
      <x:c r="H21" s="2"/>
      <x:c r="I21" s="2"/>
      <x:c r="J21" s="2"/>
      <x:c r="K21" s="2"/>
      <x:c r="L21" s="2"/>
    </x:row>
    <x:row r="22" ht="27" customHeight="1">
      <x:c r="A22" s="2" t="str">
        <x:v>Gastos registrados</x:v>
      </x:c>
      <x:c r="B22" s="2" t="n">
        <x:f>COUNTIFS('GASTOS Y COMPRAS'!$C$5:$C$204,"Gasto",'GASTOS Y COMPRAS'!$D$5:$D$204,"&lt;&gt;")</x:f>
        <x:v>7</x:v>
      </x:c>
      <x:c r="C22" s="2"/>
      <x:c r="D22" s="2"/>
      <x:c r="E22" s="2"/>
      <x:c r="F22" s="2"/>
      <x:c r="G22" s="2"/>
      <x:c r="H22" s="2"/>
      <x:c r="I22" s="2"/>
      <x:c r="J22" s="2"/>
      <x:c r="K22" s="2"/>
      <x:c r="L22" s="2"/>
    </x:row>
    <x:row r="23" ht="27" customHeight="1">
      <x:c r="A23" s="2" t="str">
        <x:v>Egresos sin monto</x:v>
      </x:c>
      <x:c r="B23" s="2" t="n">
        <x:f>COUNTIFS('GASTOS Y COMPRAS'!$J$5:$J$204,"Falta monto")</x:f>
        <x:v>3</x:v>
      </x:c>
      <x:c r="C23" s="2"/>
      <x:c r="D23" s="2"/>
      <x:c r="E23" s="2"/>
      <x:c r="F23" s="2"/>
      <x:c r="G23" s="2"/>
      <x:c r="H23" s="2"/>
      <x:c r="I23" s="2"/>
      <x:c r="J23" s="2"/>
      <x:c r="K23" s="2"/>
      <x:c r="L23" s="2"/>
    </x:row>
    <x:row r="24" ht="27" customHeight="1">
      <x:c r="A24" s="2" t="str">
        <x:v>Revisiones pendientes</x:v>
      </x:c>
      <x:c r="B24" s="2" t="n">
        <x:f>COUNTIFS('REVISAR'!$G$5:$G$59,"Pendiente")</x:f>
        <x:v>54</x:v>
      </x:c>
      <x:c r="C24" s="2"/>
      <x:c r="D24" s="2"/>
      <x:c r="E24" s="2"/>
      <x:c r="F24" s="2"/>
      <x:c r="G24" s="2"/>
      <x:c r="H24" s="2"/>
      <x:c r="I24" s="2"/>
      <x:c r="J24" s="2"/>
      <x:c r="K24" s="2"/>
      <x:c r="L24" s="2"/>
    </x:row>
    <x:row r="25">
      <x:c r="A25" s="2"/>
      <x:c r="B25" s="2"/>
      <x:c r="C25" s="2"/>
      <x:c r="D25" s="2"/>
      <x:c r="E25" s="2"/>
      <x:c r="F25" s="2"/>
      <x:c r="G25" s="2"/>
      <x:c r="H25" s="2"/>
      <x:c r="I25" s="2"/>
      <x:c r="J25" s="2"/>
      <x:c r="K25" s="2"/>
      <x:c r="L25" s="2"/>
    </x:row>
    <x:row r="26">
      <x:c r="A26" s="2"/>
      <x:c r="B26" s="2"/>
      <x:c r="C26" s="2"/>
      <x:c r="D26" s="2"/>
      <x:c r="E26" s="2"/>
      <x:c r="F26" s="2"/>
      <x:c r="G26" s="2"/>
      <x:c r="H26" s="2"/>
      <x:c r="I26" s="2"/>
      <x:c r="J26" s="2"/>
      <x:c r="K26" s="2"/>
      <x:c r="L26" s="2"/>
    </x:row>
    <x:row r="27">
      <x:c r="A27" s="2" t="str">
        <x:v>Para trabajar</x:v>
      </x:c>
      <x:c r="B27" s="2"/>
      <x:c r="C27" s="2"/>
      <x:c r="D27" s="2"/>
      <x:c r="E27" s="2"/>
      <x:c r="F27" s="2"/>
      <x:c r="G27" s="2"/>
      <x:c r="H27" s="2"/>
      <x:c r="I27" s="2"/>
      <x:c r="J27" s="2"/>
      <x:c r="K27" s="2"/>
      <x:c r="L27" s="2"/>
    </x:row>
    <x:row r="28">
      <x:c r="A28" s="2" t="str">
        <x:v>1. VENTAS: registrar venta y precio acordado.</x:v>
      </x:c>
      <x:c r="B28" s="2"/>
      <x:c r="C28" s="2"/>
      <x:c r="D28" s="2"/>
      <x:c r="E28" s="2"/>
      <x:c r="F28" s="2"/>
      <x:c r="G28" s="2"/>
      <x:c r="H28" s="2"/>
      <x:c r="I28" s="2"/>
      <x:c r="J28" s="2"/>
      <x:c r="K28" s="2"/>
      <x:c r="L28" s="2"/>
    </x:row>
    <x:row r="29">
      <x:c r="A29" s="2" t="str">
        <x:v>2. PAGOS: cargar inicial o cuota con el ID de venta.</x:v>
      </x:c>
      <x:c r="B29" s="2"/>
      <x:c r="C29" s="2"/>
      <x:c r="D29" s="2"/>
      <x:c r="E29" s="2"/>
      <x:c r="F29" s="2"/>
      <x:c r="G29" s="2"/>
      <x:c r="H29" s="2"/>
      <x:c r="I29" s="2"/>
      <x:c r="J29" s="2"/>
      <x:c r="K29" s="2"/>
      <x:c r="L29" s="2"/>
    </x:row>
    <x:row r="30">
      <x:c r="A30" s="2" t="str">
        <x:v>3. CLIENTES: filtrar Moroso o Por conciliar.</x:v>
      </x:c>
      <x:c r="B30" s="2"/>
      <x:c r="C30" s="2"/>
      <x:c r="D30" s="2"/>
      <x:c r="E30" s="2"/>
      <x:c r="F30" s="2"/>
      <x:c r="G30" s="2"/>
      <x:c r="H30" s="2"/>
      <x:c r="I30" s="2"/>
      <x:c r="J30" s="2"/>
      <x:c r="K30" s="2"/>
      <x:c r="L30" s="2"/>
    </x:row>
    <x:row r="31">
      <x:c r="A31" s="2"/>
      <x:c r="B31" s="2"/>
      <x:c r="C31" s="2"/>
      <x:c r="D31" s="2"/>
      <x:c r="E31" s="2"/>
      <x:c r="F31" s="2"/>
      <x:c r="G31" s="2"/>
      <x:c r="H31" s="2"/>
      <x:c r="I31" s="2"/>
      <x:c r="J31" s="2"/>
      <x:c r="K31" s="2"/>
      <x:c r="L31" s="2"/>
    </x:row>
    <x:row r="32">
      <x:c r="A32" s="2" t="str">
        <x:v>Los saldos dudosos no se incluyen en el monto de cartera vencida.</x:v>
      </x:c>
      <x:c r="B32" s="2"/>
      <x:c r="C32" s="2"/>
      <x:c r="D32" s="2"/>
      <x:c r="E32" s="2"/>
      <x:c r="F32" s="2"/>
      <x:c r="G32" s="2"/>
      <x:c r="H32" s="2"/>
      <x:c r="I32" s="2"/>
      <x:c r="J32" s="2"/>
      <x:c r="K32" s="2"/>
      <x:c r="L32" s="2"/>
    </x:row>
    <x:row r="33">
      <x:c r="A33" s="2" t="str">
        <x:v>Cobros en Bs y equivalentes en dólares describen el mismo pago. No se suman entre sí.</x:v>
      </x:c>
      <x:c r="B33" s="2"/>
      <x:c r="C33" s="2"/>
      <x:c r="D33" s="2"/>
      <x:c r="E33" s="2"/>
      <x:c r="F33" s="2"/>
      <x:c r="G33" s="2"/>
      <x:c r="H33" s="2"/>
      <x:c r="I33" s="2"/>
      <x:c r="J33" s="2"/>
      <x:c r="K33" s="2"/>
      <x:c r="L33" s="2"/>
    </x:row>
    <x:row r="34">
      <x:c r="A34" s="2" t="str">
        <x:v>Sin caja: publicidad en producto y consumo de muestras. No se consideran otra salida de dinero.</x:v>
      </x:c>
      <x:c r="B34" s="2"/>
      <x:c r="C34" s="2"/>
      <x:c r="D34" s="2"/>
      <x:c r="E34" s="2"/>
      <x:c r="F34" s="2"/>
      <x:c r="G34" s="2"/>
      <x:c r="H34" s="2"/>
      <x:c r="I34" s="2"/>
      <x:c r="J34" s="2"/>
      <x:c r="K34" s="2"/>
      <x:c r="L34" s="2"/>
    </x:row>
    <x:row r="35">
      <x:c r="A35" s="2"/>
      <x:c r="B35" s="2"/>
      <x:c r="C35" s="2"/>
      <x:c r="D35" s="2"/>
      <x:c r="E35" s="2"/>
      <x:c r="F35" s="2"/>
      <x:c r="G35" s="2"/>
      <x:c r="H35" s="2"/>
      <x:c r="I35" s="2"/>
      <x:c r="J35" s="2"/>
      <x:c r="K35" s="2"/>
      <x:c r="L35" s="2"/>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x:c r="A38" s="2"/>
      <x:c r="B38" s="2"/>
      <x:c r="C38" s="2"/>
      <x:c r="D38" s="2"/>
      <x:c r="E38" s="2"/>
      <x:c r="F38" s="2"/>
      <x:c r="G38" s="2"/>
      <x:c r="H38" s="2"/>
      <x:c r="I38" s="2"/>
      <x:c r="J38" s="2"/>
      <x:c r="K38" s="2"/>
      <x:c r="L38" s="2"/>
    </x:row>
    <x:row r="39">
      <x:c r="A39" s="2"/>
      <x:c r="B39" s="2"/>
      <x:c r="C39" s="2"/>
      <x:c r="D39" s="2"/>
      <x:c r="E39" s="2"/>
      <x:c r="F39" s="2"/>
      <x:c r="G39" s="2"/>
      <x:c r="H39" s="2"/>
      <x:c r="I39" s="2"/>
      <x:c r="J39" s="2"/>
      <x:c r="K39" s="2"/>
      <x:c r="L39" s="2"/>
    </x:row>
    <x:row r="40">
      <x:c r="A40" s="2"/>
      <x:c r="B40" s="2"/>
      <x:c r="C40" s="2"/>
      <x:c r="D40" s="2"/>
      <x:c r="E40" s="2"/>
      <x:c r="F40" s="2"/>
      <x:c r="G40" s="2"/>
      <x:c r="H40" s="2"/>
      <x:c r="I40" s="2"/>
      <x:c r="J40" s="2"/>
      <x:c r="K40" s="2"/>
      <x:c r="L40" s="2"/>
    </x:row>
  </x:sheetData>
  <x:pageMargins left="0.7" right="0.7" top="0.75" bottom="0.75" header="0.3" footer="0.3"/>
  <x:drawing xmlns:r="http://schemas.openxmlformats.org/officeDocument/2006/relationships" r:id="Rcb658b1914354d44"/>
</x:worksheet>
</file>

<file path=xl/worksheets/sheet2.xml><?xml version="1.0" encoding="utf-8"?>
<x:worksheet xmlns:x="http://schemas.openxmlformats.org/spreadsheetml/2006/main">
  <x:sheetPr>
    <x:tabColor rgb="FF527F96"/>
  </x:sheetPr>
  <x:sheetViews>
    <x:sheetView showGridLines="0" workbookViewId="0">
      <x:pane xSplit="3" ySplit="4" topLeftCell="D5" activePane="bottomRight" state="frozen"/>
    </x:sheetView>
  </x:sheetViews>
  <x:sheetFormatPr defaultRowHeight="15"/>
  <x:cols>
    <x:col min="1" max="1" width="13" hidden="0" customWidth="1"/>
    <x:col min="2" max="2" width="15" hidden="0" customWidth="1"/>
    <x:col min="3" max="3" width="24" hidden="0" customWidth="1"/>
    <x:col min="4" max="4" width="32" hidden="0" customWidth="1"/>
    <x:col min="5" max="5" width="17" hidden="0" customWidth="1"/>
    <x:col min="6" max="6" width="18" hidden="0" customWidth="1"/>
    <x:col min="7" max="7" width="18" hidden="0" customWidth="1"/>
    <x:col min="8" max="8" width="16" hidden="0" customWidth="1"/>
    <x:col min="9" max="9" width="21" hidden="0" customWidth="1"/>
    <x:col min="10" max="10" width="16" hidden="0" customWidth="1"/>
    <x:col min="11" max="11" width="18" hidden="0" customWidth="1"/>
    <x:col min="12" max="12" width="18" hidden="0" customWidth="1"/>
    <x:col min="13" max="13" width="14" hidden="0" customWidth="1"/>
    <x:col min="14" max="14" width="15" hidden="0" customWidth="1"/>
    <x:col min="15" max="15" width="20" hidden="0" customWidth="1"/>
    <x:col min="16" max="16" width="18" hidden="0" customWidth="1"/>
    <x:col min="17" max="17" width="67" hidden="0" customWidth="1"/>
    <x:col min="18" max="18" width="48" hidden="0" customWidth="1"/>
    <x:col min="19" max="19" width="20" hidden="0" customWidth="1"/>
    <x:col min="20" max="20" width="23" hidden="0" customWidth="1"/>
  </x:cols>
  <x:sheetData>
    <x:row r="1">
      <x:c r="A1" s="22"/>
      <x:c r="B1" s="22"/>
      <x:c r="C1" s="22"/>
      <x:c r="D1" s="22"/>
      <x:c r="E1" s="22"/>
      <x:c r="F1" s="22"/>
      <x:c r="G1" s="22"/>
      <x:c r="H1" s="22"/>
      <x:c r="I1" s="22"/>
      <x:c r="J1" s="22"/>
      <x:c r="K1" s="22"/>
      <x:c r="L1" s="22"/>
      <x:c r="M1" s="22"/>
      <x:c r="N1" s="22"/>
      <x:c r="O1" s="22"/>
      <x:c r="P1" s="22"/>
      <x:c r="Q1" s="22"/>
      <x:c r="R1" s="22"/>
      <x:c r="S1" s="22"/>
      <x:c r="T1" s="22"/>
    </x:row>
    <x:row r="2">
      <x:c r="A2" s="23" t="str">
        <x:v>Ventas y saldos</x:v>
      </x:c>
      <x:c r="B2" s="22"/>
      <x:c r="C2" s="22"/>
      <x:c r="D2" s="22"/>
      <x:c r="E2" s="22"/>
      <x:c r="F2" s="22"/>
      <x:c r="G2" s="22"/>
      <x:c r="H2" s="22"/>
      <x:c r="I2" s="22"/>
      <x:c r="J2" s="22"/>
      <x:c r="K2" s="22"/>
      <x:c r="L2" s="22"/>
      <x:c r="M2" s="22"/>
      <x:c r="N2" s="22"/>
      <x:c r="O2" s="22"/>
      <x:c r="P2" s="22"/>
      <x:c r="Q2" s="22"/>
      <x:c r="R2" s="22"/>
      <x:c r="S2" s="22"/>
      <x:c r="T2" s="22"/>
    </x:row>
    <x:row r="3">
      <x:c r="A3" s="24" t="str">
        <x:v>Amarillo = captura. Registre cada inicial y cuota en PAGOS con el ID de venta. Filtre ESTADO para cobrar.</x:v>
      </x:c>
      <x:c r="B3" s="22"/>
      <x:c r="C3" s="22"/>
      <x:c r="D3" s="22"/>
      <x:c r="E3" s="22"/>
      <x:c r="F3" s="22"/>
      <x:c r="G3" s="22"/>
      <x:c r="H3" s="22"/>
      <x:c r="I3" s="22"/>
      <x:c r="J3" s="22"/>
      <x:c r="K3" s="22"/>
      <x:c r="L3" s="22"/>
      <x:c r="M3" s="22"/>
      <x:c r="N3" s="22"/>
      <x:c r="O3" s="22"/>
      <x:c r="P3" s="22"/>
      <x:c r="Q3" s="22"/>
      <x:c r="R3" s="22"/>
      <x:c r="S3" s="22"/>
      <x:c r="T3" s="22"/>
    </x:row>
    <x:row r="4" ht="34" customHeight="1">
      <x:c r="A4" s="11" t="str">
        <x:v>ID venta</x:v>
      </x:c>
      <x:c r="B4" s="11" t="str">
        <x:v>Fecha venta</x:v>
      </x:c>
      <x:c r="C4" s="11" t="str">
        <x:v>Cliente</x:v>
      </x:c>
      <x:c r="D4" s="11" t="str">
        <x:v>Producto</x:v>
      </x:c>
      <x:c r="E4" s="11" t="str">
        <x:v>Precio pactado $</x:v>
      </x:c>
      <x:c r="F4" s="11" t="str">
        <x:v>Base del precio</x:v>
      </x:c>
      <x:c r="G4" s="11" t="str">
        <x:v>Cobros aplicados $</x:v>
      </x:c>
      <x:c r="H4" s="11" t="str">
        <x:v>Saldo $ ref.</x:v>
      </x:c>
      <x:c r="I4" s="11" t="str">
        <x:v>Estado</x:v>
      </x:c>
      <x:c r="J4" s="11" t="str">
        <x:v>Días vencidos</x:v>
      </x:c>
      <x:c r="K4" s="11" t="str">
        <x:v>Costo histórico $</x:v>
      </x:c>
      <x:c r="L4" s="11" t="str">
        <x:v>Vendedor</x:v>
      </x:c>
      <x:c r="M4" s="11" t="str">
        <x:v>Plazo días</x:v>
      </x:c>
      <x:c r="N4" s="11" t="str">
        <x:v>Vencimiento</x:v>
      </x:c>
      <x:c r="O4" s="11" t="str">
        <x:v>Fecha cierre confirmado</x:v>
      </x:c>
      <x:c r="P4" s="11" t="str">
        <x:v>Tratamiento</x:v>
      </x:c>
      <x:c r="Q4" s="11" t="str">
        <x:v>Observaciones</x:v>
      </x:c>
      <x:c r="R4" s="11" t="str">
        <x:v>Origen</x:v>
      </x:c>
      <x:c r="S4" s="11" t="str">
        <x:v>Cobros por conciliar</x:v>
      </x:c>
      <x:c r="T4" s="11" t="str">
        <x:v>Diferencia al cierre $</x:v>
      </x:c>
    </x:row>
    <x:row r="5" ht="25" customHeight="1">
      <x:c r="A5" s="22" t="str">
        <x:v>V-001</x:v>
      </x:c>
      <x:c r="B5" s="25" t="n">
        <x:v>46214</x:v>
      </x:c>
      <x:c r="C5" s="26" t="str">
        <x:v>Fernanda</x:v>
      </x:c>
      <x:c r="D5" s="26" t="str">
        <x:v>Yara Fem</x:v>
      </x:c>
      <x:c r="E5" s="27" t="n">
        <x:v>30</x:v>
      </x:c>
      <x:c r="F5" s="26" t="str">
        <x:v>BCV</x:v>
      </x:c>
      <x:c r="G5" s="28" t="n">
        <x:f>IF(C5="","",SUMIFS('PAGOS'!$K$5:$K$504,'PAGOS'!$C$5:$C$504,A5,'PAGOS'!$Q$5:$Q$504,"Aplicar",'PAGOS'!$B$5:$B$504,"&lt;="&amp;'AJUSTES'!$B$4))</x:f>
        <x:v>30</x:v>
      </x:c>
      <x:c r="H5" s="28" t="n">
        <x:f>IF(C5="","",IF(AND(ISNUMBER(O5),O5&lt;='AJUSTES'!$B$4),0,IF(OR(P5&lt;&gt;"Incluir",NOT(ISNUMBER(E5)),B5="",B5&gt;'AJUSTES'!$B$4,S5&gt;0),"",MAX(0,ROUND(E5-G5,2)))))</x:f>
        <x:v>0</x:v>
      </x:c>
      <x:c r="I5" s="22" t="str">
        <x:f>IF(C5="","",IF(P5="Anulada","Anulada",IF(B5&gt;'AJUSTES'!$B$4,"Posterior al corte",IF(NOT(ISNUMBER(H5)),"Por conciliar",IF(H5&lt;='AJUSTES'!$B$10,"Pagado",IF(J5&gt;0,"Moroso","Vigente"))))))</x:f>
        <x:v>Pagado</x:v>
      </x:c>
      <x:c r="J5" s="22" t="n">
        <x:f>IF(OR(C5="",NOT(ISNUMBER(H5)),NOT(ISNUMBER(N5))),"",IF(H5&gt;'AJUSTES'!$B$10,MAX(0,'AJUSTES'!$B$4-N5),0))</x:f>
        <x:v>0</x:v>
      </x:c>
      <x:c r="K5" s="27" t="n">
        <x:v>13</x:v>
      </x:c>
      <x:c r="L5" s="26" t="str">
        <x:v>Gregory</x:v>
      </x:c>
      <x:c r="M5" s="26" t="n">
        <x:v>30</x:v>
      </x:c>
      <x:c r="N5" s="29" t="n">
        <x:f>IF(OR(NOT(ISNUMBER(B5)),NOT(ISNUMBER(M5))),"",B5+M5)</x:f>
        <x:v>46244</x:v>
      </x:c>
      <x:c r="O5" s="25" t="n">
        <x:v>46252</x:v>
      </x:c>
      <x:c r="P5" s="26" t="str">
        <x:v>Incluir</x:v>
      </x:c>
      <x:c r="Q5" s="22" t="str">
        <x:v> Cierre explícito en M-0247.</x:v>
      </x:c>
      <x:c r="R5" s="22" t="str">
        <x:v>Excel VENTAS!fila 4</x:v>
      </x:c>
      <x:c r="S5" s="22" t="n">
        <x:f>IF(C5="","",COUNTIFS('PAGOS'!$C$5:$C$504,A5,'PAGOS'!$B$5:$B$504,"&gt;0",'PAGOS'!$B$5:$B$504,"&lt;="&amp;'AJUSTES'!$B$4,'PAGOS'!$N$5:$N$504,"Incluir",'PAGOS'!$Q$5:$Q$504,"&lt;&gt;Aplicar"))</x:f>
        <x:v>0</x:v>
      </x:c>
      <x:c r="T5" s="28" t="n">
        <x:f>IF(AND(C5&lt;&gt;"",ISNUMBER(O5),O5&lt;='AJUSTES'!$B$4,ISNUMBER(E5)),ROUND(E5-G5,2),"")</x:f>
        <x:v>0</x:v>
      </x:c>
    </x:row>
    <x:row r="6" ht="25" customHeight="1">
      <x:c r="A6" s="22" t="str">
        <x:v>V-002</x:v>
      </x:c>
      <x:c r="B6" s="25" t="n">
        <x:v>46193</x:v>
      </x:c>
      <x:c r="C6" s="26" t="str">
        <x:v>Ángel</x:v>
      </x:c>
      <x:c r="D6" s="26" t="str">
        <x:v>Bharara King</x:v>
      </x:c>
      <x:c r="E6" s="27" t="n">
        <x:v>42</x:v>
      </x:c>
      <x:c r="F6" s="26" t="str">
        <x:v>BCV</x:v>
      </x:c>
      <x:c r="G6" s="28" t="n">
        <x:f>IF(C6="","",SUMIFS('PAGOS'!$K$5:$K$504,'PAGOS'!$C$5:$C$504,A6,'PAGOS'!$Q$5:$Q$504,"Aplicar",'PAGOS'!$B$5:$B$504,"&lt;="&amp;'AJUSTES'!$B$4))</x:f>
        <x:v>21</x:v>
      </x:c>
      <x:c r="H6" s="28" t="n">
        <x:f>IF(C6="","",IF(AND(ISNUMBER(O6),O6&lt;='AJUSTES'!$B$4),0,IF(OR(P6&lt;&gt;"Incluir",NOT(ISNUMBER(E6)),B6="",B6&gt;'AJUSTES'!$B$4,S6&gt;0),"",MAX(0,ROUND(E6-G6,2)))))</x:f>
        <x:v>0</x:v>
      </x:c>
      <x:c r="I6" s="22" t="str">
        <x:f>IF(C6="","",IF(P6="Anulada","Anulada",IF(B6&gt;'AJUSTES'!$B$4,"Posterior al corte",IF(NOT(ISNUMBER(H6)),"Por conciliar",IF(H6&lt;='AJUSTES'!$B$10,"Pagado",IF(J6&gt;0,"Moroso","Vigente"))))))</x:f>
        <x:v>Pagado</x:v>
      </x:c>
      <x:c r="J6" s="22" t="n">
        <x:f>IF(OR(C6="",NOT(ISNUMBER(H6)),NOT(ISNUMBER(N6))),"",IF(H6&gt;'AJUSTES'!$B$10,MAX(0,'AJUSTES'!$B$4-N6),0))</x:f>
        <x:v>0</x:v>
      </x:c>
      <x:c r="K6" s="27" t="n">
        <x:v>20</x:v>
      </x:c>
      <x:c r="L6" s="26" t="str">
        <x:v>Gregory</x:v>
      </x:c>
      <x:c r="M6" s="26" t="n">
        <x:v>30</x:v>
      </x:c>
      <x:c r="N6" s="29" t="n">
        <x:f>IF(OR(NOT(ISNUMBER(B6)),NOT(ISNUMBER(M6))),"",B6+M6)</x:f>
        <x:v>46223</x:v>
      </x:c>
      <x:c r="O6" s="25" t="n">
        <x:v>46235</x:v>
      </x:c>
      <x:c r="P6" s="26" t="str">
        <x:v>Incluir</x:v>
      </x:c>
      <x:c r="Q6" s="22" t="str">
        <x:v> Cierre YA PAGO en CONTROL. Cierre explícito en M-0130. Cierre confirmado, equivalente conocido 21; diferencia 21 por conciliar, sin crear efectivo.</x:v>
      </x:c>
      <x:c r="R6" s="22" t="str">
        <x:v>Excel VENTAS!fila 5</x:v>
      </x:c>
      <x:c r="S6" s="22" t="n">
        <x:f>IF(C6="","",COUNTIFS('PAGOS'!$C$5:$C$504,A6,'PAGOS'!$B$5:$B$504,"&gt;0",'PAGOS'!$B$5:$B$504,"&lt;="&amp;'AJUSTES'!$B$4,'PAGOS'!$N$5:$N$504,"Incluir",'PAGOS'!$Q$5:$Q$504,"&lt;&gt;Aplicar"))</x:f>
        <x:v>1</x:v>
      </x:c>
      <x:c r="T6" s="28" t="n">
        <x:f>IF(AND(C6&lt;&gt;"",ISNUMBER(O6),O6&lt;='AJUSTES'!$B$4,ISNUMBER(E6)),ROUND(E6-G6,2),"")</x:f>
        <x:v>21</x:v>
      </x:c>
    </x:row>
    <x:row r="7" ht="25" customHeight="1">
      <x:c r="A7" s="22" t="str">
        <x:v>V-003</x:v>
      </x:c>
      <x:c r="B7" s="25" t="n">
        <x:v>46193</x:v>
      </x:c>
      <x:c r="C7" s="26" t="str">
        <x:v>Amarista</x:v>
      </x:c>
      <x:c r="D7" s="26" t="str">
        <x:v>Khamrah Qahwa</x:v>
      </x:c>
      <x:c r="E7" s="27" t="n">
        <x:v>42</x:v>
      </x:c>
      <x:c r="F7" s="26" t="str">
        <x:v>BCV</x:v>
      </x:c>
      <x:c r="G7" s="28" t="n">
        <x:f>IF(C7="","",SUMIFS('PAGOS'!$K$5:$K$504,'PAGOS'!$C$5:$C$504,A7,'PAGOS'!$Q$5:$Q$504,"Aplicar",'PAGOS'!$B$5:$B$504,"&lt;="&amp;'AJUSTES'!$B$4))</x:f>
        <x:v>21</x:v>
      </x:c>
      <x:c r="H7" s="28" t="n">
        <x:f>IF(C7="","",IF(AND(ISNUMBER(O7),O7&lt;='AJUSTES'!$B$4),0,IF(OR(P7&lt;&gt;"Incluir",NOT(ISNUMBER(E7)),B7="",B7&gt;'AJUSTES'!$B$4,S7&gt;0),"",MAX(0,ROUND(E7-G7,2)))))</x:f>
        <x:v>0</x:v>
      </x:c>
      <x:c r="I7" s="22" t="str">
        <x:f>IF(C7="","",IF(P7="Anulada","Anulada",IF(B7&gt;'AJUSTES'!$B$4,"Posterior al corte",IF(NOT(ISNUMBER(H7)),"Por conciliar",IF(H7&lt;='AJUSTES'!$B$10,"Pagado",IF(J7&gt;0,"Moroso","Vigente"))))))</x:f>
        <x:v>Pagado</x:v>
      </x:c>
      <x:c r="J7" s="22" t="n">
        <x:f>IF(OR(C7="",NOT(ISNUMBER(H7)),NOT(ISNUMBER(N7))),"",IF(H7&gt;'AJUSTES'!$B$10,MAX(0,'AJUSTES'!$B$4-N7),0))</x:f>
        <x:v>0</x:v>
      </x:c>
      <x:c r="K7" s="27" t="n">
        <x:v>20</x:v>
      </x:c>
      <x:c r="L7" s="26" t="str">
        <x:v>Gregory</x:v>
      </x:c>
      <x:c r="M7" s="26" t="n">
        <x:v>30</x:v>
      </x:c>
      <x:c r="N7" s="29" t="n">
        <x:f>IF(OR(NOT(ISNUMBER(B7)),NOT(ISNUMBER(M7))),"",B7+M7)</x:f>
        <x:v>46223</x:v>
      </x:c>
      <x:c r="O7" s="25" t="n">
        <x:v>46214</x:v>
      </x:c>
      <x:c r="P7" s="26" t="str">
        <x:v>Incluir</x:v>
      </x:c>
      <x:c r="Q7" s="22" t="str">
        <x:v> Cierre YA PAGO en CONTROL. Cierre explícito en M-0054. Cierre confirmado, equivalente conocido 21; diferencia 21 por conciliar, sin crear efectivo.</x:v>
      </x:c>
      <x:c r="R7" s="22" t="str">
        <x:v>Excel VENTAS!fila 6</x:v>
      </x:c>
      <x:c r="S7" s="22" t="n">
        <x:f>IF(C7="","",COUNTIFS('PAGOS'!$C$5:$C$504,A7,'PAGOS'!$B$5:$B$504,"&gt;0",'PAGOS'!$B$5:$B$504,"&lt;="&amp;'AJUSTES'!$B$4,'PAGOS'!$N$5:$N$504,"Incluir",'PAGOS'!$Q$5:$Q$504,"&lt;&gt;Aplicar"))</x:f>
        <x:v>1</x:v>
      </x:c>
      <x:c r="T7" s="28" t="n">
        <x:f>IF(AND(C7&lt;&gt;"",ISNUMBER(O7),O7&lt;='AJUSTES'!$B$4,ISNUMBER(E7)),ROUND(E7-G7,2),"")</x:f>
        <x:v>21</x:v>
      </x:c>
    </x:row>
    <x:row r="8" ht="25" customHeight="1">
      <x:c r="A8" s="22" t="str">
        <x:v>V-004</x:v>
      </x:c>
      <x:c r="B8" s="25" t="n">
        <x:v>46206</x:v>
      </x:c>
      <x:c r="C8" s="26" t="str">
        <x:v>Ricardo</x:v>
      </x:c>
      <x:c r="D8" s="26" t="str">
        <x:v>Universe</x:v>
      </x:c>
      <x:c r="E8" s="27" t="n">
        <x:v>42</x:v>
      </x:c>
      <x:c r="F8" s="26" t="str">
        <x:v>BCV</x:v>
      </x:c>
      <x:c r="G8" s="28" t="n">
        <x:f>IF(C8="","",SUMIFS('PAGOS'!$K$5:$K$504,'PAGOS'!$C$5:$C$504,A8,'PAGOS'!$Q$5:$Q$504,"Aplicar",'PAGOS'!$B$5:$B$504,"&lt;="&amp;'AJUSTES'!$B$4))</x:f>
        <x:v>42</x:v>
      </x:c>
      <x:c r="H8" s="28" t="n">
        <x:f>IF(C8="","",IF(AND(ISNUMBER(O8),O8&lt;='AJUSTES'!$B$4),0,IF(OR(P8&lt;&gt;"Incluir",NOT(ISNUMBER(E8)),B8="",B8&gt;'AJUSTES'!$B$4,S8&gt;0),"",MAX(0,ROUND(E8-G8,2)))))</x:f>
        <x:v>0</x:v>
      </x:c>
      <x:c r="I8" s="22" t="str">
        <x:f>IF(C8="","",IF(P8="Anulada","Anulada",IF(B8&gt;'AJUSTES'!$B$4,"Posterior al corte",IF(NOT(ISNUMBER(H8)),"Por conciliar",IF(H8&lt;='AJUSTES'!$B$10,"Pagado",IF(J8&gt;0,"Moroso","Vigente"))))))</x:f>
        <x:v>Pagado</x:v>
      </x:c>
      <x:c r="J8" s="22" t="n">
        <x:f>IF(OR(C8="",NOT(ISNUMBER(H8)),NOT(ISNUMBER(N8))),"",IF(H8&gt;'AJUSTES'!$B$10,MAX(0,'AJUSTES'!$B$4-N8),0))</x:f>
        <x:v>0</x:v>
      </x:c>
      <x:c r="K8" s="27" t="n">
        <x:v>20</x:v>
      </x:c>
      <x:c r="L8" s="26" t="str">
        <x:v>Gregory</x:v>
      </x:c>
      <x:c r="M8" s="26" t="n">
        <x:v>30</x:v>
      </x:c>
      <x:c r="N8" s="29" t="n">
        <x:f>IF(OR(NOT(ISNUMBER(B8)),NOT(ISNUMBER(M8))),"",B8+M8)</x:f>
        <x:v>46236</x:v>
      </x:c>
      <x:c r="O8" s="25" t="n">
        <x:v>46239</x:v>
      </x:c>
      <x:c r="P8" s="26" t="str">
        <x:v>Incluir</x:v>
      </x:c>
      <x:c r="Q8" s="22" t="str">
        <x:v> Cierre YA PAGO en CONTROL. Cierre explícito en M-0150. Cierre explícito en M-0157. Inicial no sumada por posible duplicidad.</x:v>
      </x:c>
      <x:c r="R8" s="22" t="str">
        <x:v>Excel VENTAS!fila 7; M-0034</x:v>
      </x:c>
      <x:c r="S8" s="22" t="n">
        <x:f>IF(C8="","",COUNTIFS('PAGOS'!$C$5:$C$504,A8,'PAGOS'!$B$5:$B$504,"&gt;0",'PAGOS'!$B$5:$B$504,"&lt;="&amp;'AJUSTES'!$B$4,'PAGOS'!$N$5:$N$504,"Incluir",'PAGOS'!$Q$5:$Q$504,"&lt;&gt;Aplicar"))</x:f>
        <x:v>0</x:v>
      </x:c>
      <x:c r="T8" s="28" t="n">
        <x:f>IF(AND(C8&lt;&gt;"",ISNUMBER(O8),O8&lt;='AJUSTES'!$B$4,ISNUMBER(E8)),ROUND(E8-G8,2),"")</x:f>
        <x:v>0</x:v>
      </x:c>
    </x:row>
    <x:row r="9" ht="25" customHeight="1">
      <x:c r="A9" s="22" t="str">
        <x:v>V-005</x:v>
      </x:c>
      <x:c r="B9" s="25" t="n">
        <x:v>46195</x:v>
      </x:c>
      <x:c r="C9" s="26" t="str">
        <x:v>Belisario</x:v>
      </x:c>
      <x:c r="D9" s="26" t="str">
        <x:v>Club de Nuit Urban Elixir</x:v>
      </x:c>
      <x:c r="E9" s="27" t="n">
        <x:v>30</x:v>
      </x:c>
      <x:c r="F9" s="26" t="str">
        <x:v>BCV</x:v>
      </x:c>
      <x:c r="G9" s="28" t="n">
        <x:f>IF(C9="","",SUMIFS('PAGOS'!$K$5:$K$504,'PAGOS'!$C$5:$C$504,A9,'PAGOS'!$Q$5:$Q$504,"Aplicar",'PAGOS'!$B$5:$B$504,"&lt;="&amp;'AJUSTES'!$B$4))</x:f>
        <x:v>15</x:v>
      </x:c>
      <x:c r="H9" s="28" t="n">
        <x:f>IF(C9="","",IF(AND(ISNUMBER(O9),O9&lt;='AJUSTES'!$B$4),0,IF(OR(P9&lt;&gt;"Incluir",NOT(ISNUMBER(E9)),B9="",B9&gt;'AJUSTES'!$B$4,S9&gt;0),"",MAX(0,ROUND(E9-G9,2)))))</x:f>
        <x:v>15</x:v>
      </x:c>
      <x:c r="I9" s="22" t="str">
        <x:f>IF(C9="","",IF(P9="Anulada","Anulada",IF(B9&gt;'AJUSTES'!$B$4,"Posterior al corte",IF(NOT(ISNUMBER(H9)),"Por conciliar",IF(H9&lt;='AJUSTES'!$B$10,"Pagado",IF(J9&gt;0,"Moroso","Vigente"))))))</x:f>
        <x:v>Moroso</x:v>
      </x:c>
      <x:c r="J9" s="22" t="n">
        <x:f>IF(OR(C9="",NOT(ISNUMBER(H9)),NOT(ISNUMBER(N9))),"",IF(H9&gt;'AJUSTES'!$B$10,MAX(0,'AJUSTES'!$B$4-N9),0))</x:f>
        <x:v>64</x:v>
      </x:c>
      <x:c r="K9" s="27" t="n">
        <x:v>13</x:v>
      </x:c>
      <x:c r="L9" s="26" t="str">
        <x:v>Gregory</x:v>
      </x:c>
      <x:c r="M9" s="26" t="n">
        <x:v>30</x:v>
      </x:c>
      <x:c r="N9" s="29" t="n">
        <x:f>IF(OR(NOT(ISNUMBER(B9)),NOT(ISNUMBER(M9))),"",B9+M9)</x:f>
        <x:v>46225</x:v>
      </x:c>
      <x:c r="O9" s="25" t="str"/>
      <x:c r="P9" s="26" t="str">
        <x:v>Incluir</x:v>
      </x:c>
      <x:c r="Q9" s="22" t="str">
        <x:v> Chat de pago dice Club de Nuit; Excel precisa Urban Elixir.</x:v>
      </x:c>
      <x:c r="R9" s="22" t="str">
        <x:v>Excel VENTAS!fila 8</x:v>
      </x:c>
      <x:c r="S9" s="22" t="n">
        <x:f>IF(C9="","",COUNTIFS('PAGOS'!$C$5:$C$504,A9,'PAGOS'!$B$5:$B$504,"&gt;0",'PAGOS'!$B$5:$B$504,"&lt;="&amp;'AJUSTES'!$B$4,'PAGOS'!$N$5:$N$504,"Incluir",'PAGOS'!$Q$5:$Q$504,"&lt;&gt;Aplicar"))</x:f>
        <x:v>0</x:v>
      </x:c>
      <x:c r="T9" s="28" t="str">
        <x:f>IF(AND(C9&lt;&gt;"",ISNUMBER(O9),O9&lt;='AJUSTES'!$B$4,ISNUMBER(E9)),ROUND(E9-G9,2),"")</x:f>
      </x:c>
    </x:row>
    <x:row r="10" ht="25" customHeight="1">
      <x:c r="A10" s="22" t="str">
        <x:v>V-006</x:v>
      </x:c>
      <x:c r="B10" s="25" t="n">
        <x:v>45830</x:v>
      </x:c>
      <x:c r="C10" s="26" t="str">
        <x:v>Marbella</x:v>
      </x:c>
      <x:c r="D10" s="26" t="str">
        <x:v>Yara Moi</x:v>
      </x:c>
      <x:c r="E10" s="27" t="n">
        <x:v>30</x:v>
      </x:c>
      <x:c r="F10" s="26" t="str">
        <x:v>BCV</x:v>
      </x:c>
      <x:c r="G10" s="28" t="n">
        <x:f>IF(C10="","",SUMIFS('PAGOS'!$K$5:$K$504,'PAGOS'!$C$5:$C$504,A10,'PAGOS'!$Q$5:$Q$504,"Aplicar",'PAGOS'!$B$5:$B$504,"&lt;="&amp;'AJUSTES'!$B$4))</x:f>
        <x:v>30</x:v>
      </x:c>
      <x:c r="H10" s="28" t="n">
        <x:f>IF(C10="","",IF(AND(ISNUMBER(O10),O10&lt;='AJUSTES'!$B$4),0,IF(OR(P10&lt;&gt;"Incluir",NOT(ISNUMBER(E10)),B10="",B10&gt;'AJUSTES'!$B$4,S10&gt;0),"",MAX(0,ROUND(E10-G10,2)))))</x:f>
        <x:v>0</x:v>
      </x:c>
      <x:c r="I10" s="22" t="str">
        <x:f>IF(C10="","",IF(P10="Anulada","Anulada",IF(B10&gt;'AJUSTES'!$B$4,"Posterior al corte",IF(NOT(ISNUMBER(H10)),"Por conciliar",IF(H10&lt;='AJUSTES'!$B$10,"Pagado",IF(J10&gt;0,"Moroso","Vigente"))))))</x:f>
        <x:v>Pagado</x:v>
      </x:c>
      <x:c r="J10" s="22" t="n">
        <x:f>IF(OR(C10="",NOT(ISNUMBER(H10)),NOT(ISNUMBER(N10))),"",IF(H10&gt;'AJUSTES'!$B$10,MAX(0,'AJUSTES'!$B$4-N10),0))</x:f>
        <x:v>0</x:v>
      </x:c>
      <x:c r="K10" s="27" t="n">
        <x:v>13</x:v>
      </x:c>
      <x:c r="L10" s="26" t="str">
        <x:v>Gregory</x:v>
      </x:c>
      <x:c r="M10" s="26" t="n">
        <x:v>30</x:v>
      </x:c>
      <x:c r="N10" s="29" t="n">
        <x:f>IF(OR(NOT(ISNUMBER(B10)),NOT(ISNUMBER(M10))),"",B10+M10)</x:f>
        <x:v>45860</x:v>
      </x:c>
      <x:c r="O10" s="25" t="n">
        <x:v>46228</x:v>
      </x:c>
      <x:c r="P10" s="26" t="str">
        <x:v>Revisar</x:v>
      </x:c>
      <x:c r="Q10" s="22" t="str">
        <x:v> Cierre YA PAGO en CONTROL. Cierre explícito en M-0107. Fecha por revisar</x:v>
      </x:c>
      <x:c r="R10" s="22" t="str">
        <x:v>Excel VENTAS!fila 9</x:v>
      </x:c>
      <x:c r="S10" s="22" t="n">
        <x:f>IF(C10="","",COUNTIFS('PAGOS'!$C$5:$C$504,A10,'PAGOS'!$B$5:$B$504,"&gt;0",'PAGOS'!$B$5:$B$504,"&lt;="&amp;'AJUSTES'!$B$4,'PAGOS'!$N$5:$N$504,"Incluir",'PAGOS'!$Q$5:$Q$504,"&lt;&gt;Aplicar"))</x:f>
        <x:v>0</x:v>
      </x:c>
      <x:c r="T10" s="28" t="n">
        <x:f>IF(AND(C10&lt;&gt;"",ISNUMBER(O10),O10&lt;='AJUSTES'!$B$4,ISNUMBER(E10)),ROUND(E10-G10,2),"")</x:f>
        <x:v>0</x:v>
      </x:c>
    </x:row>
    <x:row r="11" ht="25" customHeight="1">
      <x:c r="A11" s="22" t="str">
        <x:v>V-007</x:v>
      </x:c>
      <x:c r="B11" s="25" t="n">
        <x:v>46200</x:v>
      </x:c>
      <x:c r="C11" s="26" t="str">
        <x:v>Cristhian</x:v>
      </x:c>
      <x:c r="D11" s="26" t="str">
        <x:v>Very Good Girl</x:v>
      </x:c>
      <x:c r="E11" s="27" t="n">
        <x:v>24</x:v>
      </x:c>
      <x:c r="F11" s="26" t="str">
        <x:v>BCV</x:v>
      </x:c>
      <x:c r="G11" s="28" t="n">
        <x:f>IF(C11="","",SUMIFS('PAGOS'!$K$5:$K$504,'PAGOS'!$C$5:$C$504,A11,'PAGOS'!$Q$5:$Q$504,"Aplicar",'PAGOS'!$B$5:$B$504,"&lt;="&amp;'AJUSTES'!$B$4))</x:f>
        <x:v>0</x:v>
      </x:c>
      <x:c r="H11" s="28" t="n">
        <x:f>IF(C11="","",IF(AND(ISNUMBER(O11),O11&lt;='AJUSTES'!$B$4),0,IF(OR(P11&lt;&gt;"Incluir",NOT(ISNUMBER(E11)),B11="",B11&gt;'AJUSTES'!$B$4,S11&gt;0),"",MAX(0,ROUND(E11-G11,2)))))</x:f>
        <x:v>0</x:v>
      </x:c>
      <x:c r="I11" s="22" t="str">
        <x:f>IF(C11="","",IF(P11="Anulada","Anulada",IF(B11&gt;'AJUSTES'!$B$4,"Posterior al corte",IF(NOT(ISNUMBER(H11)),"Por conciliar",IF(H11&lt;='AJUSTES'!$B$10,"Pagado",IF(J11&gt;0,"Moroso","Vigente"))))))</x:f>
        <x:v>Pagado</x:v>
      </x:c>
      <x:c r="J11" s="22" t="n">
        <x:f>IF(OR(C11="",NOT(ISNUMBER(H11)),NOT(ISNUMBER(N11))),"",IF(H11&gt;'AJUSTES'!$B$10,MAX(0,'AJUSTES'!$B$4-N11),0))</x:f>
        <x:v>0</x:v>
      </x:c>
      <x:c r="K11" s="27" t="n">
        <x:v>9.5</x:v>
      </x:c>
      <x:c r="L11" s="26" t="str">
        <x:v>Gregory</x:v>
      </x:c>
      <x:c r="M11" s="26" t="n">
        <x:v>30</x:v>
      </x:c>
      <x:c r="N11" s="29" t="n">
        <x:f>IF(OR(NOT(ISNUMBER(B11)),NOT(ISNUMBER(M11))),"",B11+M11)</x:f>
        <x:v>46230</x:v>
      </x:c>
      <x:c r="O11" s="25" t="n">
        <x:v>46207</x:v>
      </x:c>
      <x:c r="P11" s="26" t="str">
        <x:v>Incluir</x:v>
      </x:c>
      <x:c r="Q11" s="22" t="str">
        <x:v> Cierre YA PAGO en CONTROL. Cierre confirmado, equivalente conocido 0; diferencia 24 por conciliar, sin crear efectivo.</x:v>
      </x:c>
      <x:c r="R11" s="22" t="str">
        <x:v>Excel VENTAS!fila 10</x:v>
      </x:c>
      <x:c r="S11" s="22" t="n">
        <x:f>IF(C11="","",COUNTIFS('PAGOS'!$C$5:$C$504,A11,'PAGOS'!$B$5:$B$504,"&gt;0",'PAGOS'!$B$5:$B$504,"&lt;="&amp;'AJUSTES'!$B$4,'PAGOS'!$N$5:$N$504,"Incluir",'PAGOS'!$Q$5:$Q$504,"&lt;&gt;Aplicar"))</x:f>
        <x:v>2</x:v>
      </x:c>
      <x:c r="T11" s="28" t="n">
        <x:f>IF(AND(C11&lt;&gt;"",ISNUMBER(O11),O11&lt;='AJUSTES'!$B$4,ISNUMBER(E11)),ROUND(E11-G11,2),"")</x:f>
        <x:v>24</x:v>
      </x:c>
    </x:row>
    <x:row r="12" ht="25" customHeight="1">
      <x:c r="A12" s="22" t="str">
        <x:v>V-008</x:v>
      </x:c>
      <x:c r="B12" s="25" t="n">
        <x:v>46203</x:v>
      </x:c>
      <x:c r="C12" s="26" t="str">
        <x:v>Polanco</x:v>
      </x:c>
      <x:c r="D12" s="26" t="str">
        <x:v>Honor &amp; Glory</x:v>
      </x:c>
      <x:c r="E12" s="27" t="n">
        <x:v>35</x:v>
      </x:c>
      <x:c r="F12" s="26" t="str">
        <x:v>BCV</x:v>
      </x:c>
      <x:c r="G12" s="28" t="n">
        <x:f>IF(C12="","",SUMIFS('PAGOS'!$K$5:$K$504,'PAGOS'!$C$5:$C$504,A12,'PAGOS'!$Q$5:$Q$504,"Aplicar",'PAGOS'!$B$5:$B$504,"&lt;="&amp;'AJUSTES'!$B$4))</x:f>
        <x:v>35</x:v>
      </x:c>
      <x:c r="H12" s="28" t="n">
        <x:f>IF(C12="","",IF(AND(ISNUMBER(O12),O12&lt;='AJUSTES'!$B$4),0,IF(OR(P12&lt;&gt;"Incluir",NOT(ISNUMBER(E12)),B12="",B12&gt;'AJUSTES'!$B$4,S12&gt;0),"",MAX(0,ROUND(E12-G12,2)))))</x:f>
        <x:v>0</x:v>
      </x:c>
      <x:c r="I12" s="22" t="str">
        <x:f>IF(C12="","",IF(P12="Anulada","Anulada",IF(B12&gt;'AJUSTES'!$B$4,"Posterior al corte",IF(NOT(ISNUMBER(H12)),"Por conciliar",IF(H12&lt;='AJUSTES'!$B$10,"Pagado",IF(J12&gt;0,"Moroso","Vigente"))))))</x:f>
        <x:v>Pagado</x:v>
      </x:c>
      <x:c r="J12" s="22" t="n">
        <x:f>IF(OR(C12="",NOT(ISNUMBER(H12)),NOT(ISNUMBER(N12))),"",IF(H12&gt;'AJUSTES'!$B$10,MAX(0,'AJUSTES'!$B$4-N12),0))</x:f>
        <x:v>0</x:v>
      </x:c>
      <x:c r="K12" s="27" t="n">
        <x:v>12</x:v>
      </x:c>
      <x:c r="L12" s="26" t="str">
        <x:v>Gregory</x:v>
      </x:c>
      <x:c r="M12" s="26" t="n">
        <x:v>30</x:v>
      </x:c>
      <x:c r="N12" s="29" t="n">
        <x:f>IF(OR(NOT(ISNUMBER(B12)),NOT(ISNUMBER(M12))),"",B12+M12)</x:f>
        <x:v>46233</x:v>
      </x:c>
      <x:c r="O12" s="25" t="n">
        <x:v>46236</x:v>
      </x:c>
      <x:c r="P12" s="26" t="str">
        <x:v>Incluir</x:v>
      </x:c>
      <x:c r="Q12" s="22" t="str">
        <x:v> Cierre explícito en M-0136.</x:v>
      </x:c>
      <x:c r="R12" s="22" t="str">
        <x:v>Excel VENTAS!fila 11; M-0003</x:v>
      </x:c>
      <x:c r="S12" s="22" t="n">
        <x:f>IF(C12="","",COUNTIFS('PAGOS'!$C$5:$C$504,A12,'PAGOS'!$B$5:$B$504,"&gt;0",'PAGOS'!$B$5:$B$504,"&lt;="&amp;'AJUSTES'!$B$4,'PAGOS'!$N$5:$N$504,"Incluir",'PAGOS'!$Q$5:$Q$504,"&lt;&gt;Aplicar"))</x:f>
        <x:v>0</x:v>
      </x:c>
      <x:c r="T12" s="28" t="n">
        <x:f>IF(AND(C12&lt;&gt;"",ISNUMBER(O12),O12&lt;='AJUSTES'!$B$4,ISNUMBER(E12)),ROUND(E12-G12,2),"")</x:f>
        <x:v>0</x:v>
      </x:c>
    </x:row>
    <x:row r="13" ht="25" customHeight="1">
      <x:c r="A13" s="22" t="str">
        <x:v>V-009</x:v>
      </x:c>
      <x:c r="B13" s="25" t="n">
        <x:v>46203</x:v>
      </x:c>
      <x:c r="C13" s="26" t="str">
        <x:v>Norelvis</x:v>
      </x:c>
      <x:c r="D13" s="26" t="str">
        <x:v>Cloud</x:v>
      </x:c>
      <x:c r="E13" s="27" t="n">
        <x:v>30</x:v>
      </x:c>
      <x:c r="F13" s="26" t="str">
        <x:v>BCV</x:v>
      </x:c>
      <x:c r="G13" s="28" t="n">
        <x:f>IF(C13="","",SUMIFS('PAGOS'!$K$5:$K$504,'PAGOS'!$C$5:$C$504,A13,'PAGOS'!$Q$5:$Q$504,"Aplicar",'PAGOS'!$B$5:$B$504,"&lt;="&amp;'AJUSTES'!$B$4))</x:f>
        <x:v>30</x:v>
      </x:c>
      <x:c r="H13" s="28" t="n">
        <x:f>IF(C13="","",IF(AND(ISNUMBER(O13),O13&lt;='AJUSTES'!$B$4),0,IF(OR(P13&lt;&gt;"Incluir",NOT(ISNUMBER(E13)),B13="",B13&gt;'AJUSTES'!$B$4,S13&gt;0),"",MAX(0,ROUND(E13-G13,2)))))</x:f>
        <x:v>0</x:v>
      </x:c>
      <x:c r="I13" s="22" t="str">
        <x:f>IF(C13="","",IF(P13="Anulada","Anulada",IF(B13&gt;'AJUSTES'!$B$4,"Posterior al corte",IF(NOT(ISNUMBER(H13)),"Por conciliar",IF(H13&lt;='AJUSTES'!$B$10,"Pagado",IF(J13&gt;0,"Moroso","Vigente"))))))</x:f>
        <x:v>Pagado</x:v>
      </x:c>
      <x:c r="J13" s="22" t="n">
        <x:f>IF(OR(C13="",NOT(ISNUMBER(H13)),NOT(ISNUMBER(N13))),"",IF(H13&gt;'AJUSTES'!$B$10,MAX(0,'AJUSTES'!$B$4-N13),0))</x:f>
        <x:v>0</x:v>
      </x:c>
      <x:c r="K13" s="27" t="n">
        <x:v>12</x:v>
      </x:c>
      <x:c r="L13" s="26" t="str">
        <x:v>Gregory</x:v>
      </x:c>
      <x:c r="M13" s="26" t="n">
        <x:v>30</x:v>
      </x:c>
      <x:c r="N13" s="29" t="n">
        <x:f>IF(OR(NOT(ISNUMBER(B13)),NOT(ISNUMBER(M13))),"",B13+M13)</x:f>
        <x:v>46233</x:v>
      </x:c>
      <x:c r="O13" s="25" t="n">
        <x:v>46215</x:v>
      </x:c>
      <x:c r="P13" s="26" t="str">
        <x:v>Incluir</x:v>
      </x:c>
      <x:c r="Q13" s="22" t="str">
        <x:v> Se conserva precio 30; corrección aislada de 35 no asignada automáticamente. Cierre YA PAGO en CONTROL. Cierre explícito en M-0065.</x:v>
      </x:c>
      <x:c r="R13" s="22" t="str">
        <x:v>Excel VENTAS!fila 12; M-0004</x:v>
      </x:c>
      <x:c r="S13" s="22" t="n">
        <x:f>IF(C13="","",COUNTIFS('PAGOS'!$C$5:$C$504,A13,'PAGOS'!$B$5:$B$504,"&gt;0",'PAGOS'!$B$5:$B$504,"&lt;="&amp;'AJUSTES'!$B$4,'PAGOS'!$N$5:$N$504,"Incluir",'PAGOS'!$Q$5:$Q$504,"&lt;&gt;Aplicar"))</x:f>
        <x:v>0</x:v>
      </x:c>
      <x:c r="T13" s="28" t="n">
        <x:f>IF(AND(C13&lt;&gt;"",ISNUMBER(O13),O13&lt;='AJUSTES'!$B$4,ISNUMBER(E13)),ROUND(E13-G13,2),"")</x:f>
        <x:v>0</x:v>
      </x:c>
    </x:row>
    <x:row r="14" ht="25" customHeight="1">
      <x:c r="A14" s="22" t="str">
        <x:v>V-010</x:v>
      </x:c>
      <x:c r="B14" s="25" t="n">
        <x:v>46204</x:v>
      </x:c>
      <x:c r="C14" s="26" t="str">
        <x:v>Ivana</x:v>
      </x:c>
      <x:c r="D14" s="26" t="str">
        <x:v>La Bomba</x:v>
      </x:c>
      <x:c r="E14" s="27" t="n">
        <x:v>30</x:v>
      </x:c>
      <x:c r="F14" s="26" t="str">
        <x:v>BCV</x:v>
      </x:c>
      <x:c r="G14" s="28" t="n">
        <x:f>IF(C14="","",SUMIFS('PAGOS'!$K$5:$K$504,'PAGOS'!$C$5:$C$504,A14,'PAGOS'!$Q$5:$Q$504,"Aplicar",'PAGOS'!$B$5:$B$504,"&lt;="&amp;'AJUSTES'!$B$4))</x:f>
        <x:v>30</x:v>
      </x:c>
      <x:c r="H14" s="28" t="n">
        <x:f>IF(C14="","",IF(AND(ISNUMBER(O14),O14&lt;='AJUSTES'!$B$4),0,IF(OR(P14&lt;&gt;"Incluir",NOT(ISNUMBER(E14)),B14="",B14&gt;'AJUSTES'!$B$4,S14&gt;0),"",MAX(0,ROUND(E14-G14,2)))))</x:f>
        <x:v>0</x:v>
      </x:c>
      <x:c r="I14" s="22" t="str">
        <x:f>IF(C14="","",IF(P14="Anulada","Anulada",IF(B14&gt;'AJUSTES'!$B$4,"Posterior al corte",IF(NOT(ISNUMBER(H14)),"Por conciliar",IF(H14&lt;='AJUSTES'!$B$10,"Pagado",IF(J14&gt;0,"Moroso","Vigente"))))))</x:f>
        <x:v>Pagado</x:v>
      </x:c>
      <x:c r="J14" s="22" t="n">
        <x:f>IF(OR(C14="",NOT(ISNUMBER(H14)),NOT(ISNUMBER(N14))),"",IF(H14&gt;'AJUSTES'!$B$10,MAX(0,'AJUSTES'!$B$4-N14),0))</x:f>
        <x:v>0</x:v>
      </x:c>
      <x:c r="K14" s="27" t="n">
        <x:v>17</x:v>
      </x:c>
      <x:c r="L14" s="26" t="str">
        <x:v>Gregory</x:v>
      </x:c>
      <x:c r="M14" s="26" t="n">
        <x:v>30</x:v>
      </x:c>
      <x:c r="N14" s="29" t="n">
        <x:f>IF(OR(NOT(ISNUMBER(B14)),NOT(ISNUMBER(M14))),"",B14+M14)</x:f>
        <x:v>46234</x:v>
      </x:c>
      <x:c r="O14" s="25" t="n">
        <x:v>46284</x:v>
      </x:c>
      <x:c r="P14" s="26" t="str">
        <x:v>Incluir</x:v>
      </x:c>
      <x:c r="Q14" s="22" t="str">
        <x:v> Cierre explícito en M-0383.</x:v>
      </x:c>
      <x:c r="R14" s="22" t="str">
        <x:v>Excel VENTAS!fila 13; M-0006</x:v>
      </x:c>
      <x:c r="S14" s="22" t="n">
        <x:f>IF(C14="","",COUNTIFS('PAGOS'!$C$5:$C$504,A14,'PAGOS'!$B$5:$B$504,"&gt;0",'PAGOS'!$B$5:$B$504,"&lt;="&amp;'AJUSTES'!$B$4,'PAGOS'!$N$5:$N$504,"Incluir",'PAGOS'!$Q$5:$Q$504,"&lt;&gt;Aplicar"))</x:f>
        <x:v>0</x:v>
      </x:c>
      <x:c r="T14" s="28" t="n">
        <x:f>IF(AND(C14&lt;&gt;"",ISNUMBER(O14),O14&lt;='AJUSTES'!$B$4,ISNUMBER(E14)),ROUND(E14-G14,2),"")</x:f>
        <x:v>0</x:v>
      </x:c>
    </x:row>
    <x:row r="15" ht="25" customHeight="1">
      <x:c r="A15" s="22" t="str">
        <x:v>V-011</x:v>
      </x:c>
      <x:c r="B15" s="25" t="n">
        <x:v>46204</x:v>
      </x:c>
      <x:c r="C15" s="26" t="str">
        <x:v>Cristhian</x:v>
      </x:c>
      <x:c r="D15" s="26" t="str">
        <x:v>Aqua Dubai</x:v>
      </x:c>
      <x:c r="E15" s="27" t="n">
        <x:v>34</x:v>
      </x:c>
      <x:c r="F15" s="26" t="str">
        <x:v>BCV</x:v>
      </x:c>
      <x:c r="G15" s="28" t="n">
        <x:f>IF(C15="","",SUMIFS('PAGOS'!$K$5:$K$504,'PAGOS'!$C$5:$C$504,A15,'PAGOS'!$Q$5:$Q$504,"Aplicar",'PAGOS'!$B$5:$B$504,"&lt;="&amp;'AJUSTES'!$B$4))</x:f>
        <x:v>34</x:v>
      </x:c>
      <x:c r="H15" s="28" t="n">
        <x:f>IF(C15="","",IF(AND(ISNUMBER(O15),O15&lt;='AJUSTES'!$B$4),0,IF(OR(P15&lt;&gt;"Incluir",NOT(ISNUMBER(E15)),B15="",B15&gt;'AJUSTES'!$B$4,S15&gt;0),"",MAX(0,ROUND(E15-G15,2)))))</x:f>
        <x:v>0</x:v>
      </x:c>
      <x:c r="I15" s="22" t="str">
        <x:f>IF(C15="","",IF(P15="Anulada","Anulada",IF(B15&gt;'AJUSTES'!$B$4,"Posterior al corte",IF(NOT(ISNUMBER(H15)),"Por conciliar",IF(H15&lt;='AJUSTES'!$B$10,"Pagado",IF(J15&gt;0,"Moroso","Vigente"))))))</x:f>
        <x:v>Pagado</x:v>
      </x:c>
      <x:c r="J15" s="22" t="n">
        <x:f>IF(OR(C15="",NOT(ISNUMBER(H15)),NOT(ISNUMBER(N15))),"",IF(H15&gt;'AJUSTES'!$B$10,MAX(0,'AJUSTES'!$B$4-N15),0))</x:f>
        <x:v>0</x:v>
      </x:c>
      <x:c r="K15" s="27" t="n">
        <x:v>18</x:v>
      </x:c>
      <x:c r="L15" s="26" t="str">
        <x:v>Gregory</x:v>
      </x:c>
      <x:c r="M15" s="26" t="n">
        <x:v>30</x:v>
      </x:c>
      <x:c r="N15" s="29" t="n">
        <x:f>IF(OR(NOT(ISNUMBER(B15)),NOT(ISNUMBER(M15))),"",B15+M15)</x:f>
        <x:v>46234</x:v>
      </x:c>
      <x:c r="O15" s="25" t="n">
        <x:v>46227</x:v>
      </x:c>
      <x:c r="P15" s="26" t="str">
        <x:v>Incluir</x:v>
      </x:c>
      <x:c r="Q15" s="22" t="str">
        <x:v> Cierre YA PAGO en CONTROL. Cierre explícito en M-0106.</x:v>
      </x:c>
      <x:c r="R15" s="22" t="str">
        <x:v>Excel VENTAS!fila 14; M-0007</x:v>
      </x:c>
      <x:c r="S15" s="22" t="n">
        <x:f>IF(C15="","",COUNTIFS('PAGOS'!$C$5:$C$504,A15,'PAGOS'!$B$5:$B$504,"&gt;0",'PAGOS'!$B$5:$B$504,"&lt;="&amp;'AJUSTES'!$B$4,'PAGOS'!$N$5:$N$504,"Incluir",'PAGOS'!$Q$5:$Q$504,"&lt;&gt;Aplicar"))</x:f>
        <x:v>0</x:v>
      </x:c>
      <x:c r="T15" s="28" t="n">
        <x:f>IF(AND(C15&lt;&gt;"",ISNUMBER(O15),O15&lt;='AJUSTES'!$B$4,ISNUMBER(E15)),ROUND(E15-G15,2),"")</x:f>
        <x:v>0</x:v>
      </x:c>
    </x:row>
    <x:row r="16" ht="25" customHeight="1">
      <x:c r="A16" s="22" t="str">
        <x:v>V-012</x:v>
      </x:c>
      <x:c r="B16" s="25" t="n">
        <x:v>46205</x:v>
      </x:c>
      <x:c r="C16" s="26" t="str">
        <x:v>Anderson</x:v>
      </x:c>
      <x:c r="D16" s="26" t="str">
        <x:v>212Vip</x:v>
      </x:c>
      <x:c r="E16" s="27" t="n">
        <x:v>22</x:v>
      </x:c>
      <x:c r="F16" s="26" t="str">
        <x:v>BCV</x:v>
      </x:c>
      <x:c r="G16" s="28" t="n">
        <x:f>IF(C16="","",SUMIFS('PAGOS'!$K$5:$K$504,'PAGOS'!$C$5:$C$504,A16,'PAGOS'!$Q$5:$Q$504,"Aplicar",'PAGOS'!$B$5:$B$504,"&lt;="&amp;'AJUSTES'!$B$4))</x:f>
        <x:v>22</x:v>
      </x:c>
      <x:c r="H16" s="28" t="n">
        <x:f>IF(C16="","",IF(AND(ISNUMBER(O16),O16&lt;='AJUSTES'!$B$4),0,IF(OR(P16&lt;&gt;"Incluir",NOT(ISNUMBER(E16)),B16="",B16&gt;'AJUSTES'!$B$4,S16&gt;0),"",MAX(0,ROUND(E16-G16,2)))))</x:f>
        <x:v>0</x:v>
      </x:c>
      <x:c r="I16" s="22" t="str">
        <x:f>IF(C16="","",IF(P16="Anulada","Anulada",IF(B16&gt;'AJUSTES'!$B$4,"Posterior al corte",IF(NOT(ISNUMBER(H16)),"Por conciliar",IF(H16&lt;='AJUSTES'!$B$10,"Pagado",IF(J16&gt;0,"Moroso","Vigente"))))))</x:f>
        <x:v>Pagado</x:v>
      </x:c>
      <x:c r="J16" s="22" t="n">
        <x:f>IF(OR(C16="",NOT(ISNUMBER(H16)),NOT(ISNUMBER(N16))),"",IF(H16&gt;'AJUSTES'!$B$10,MAX(0,'AJUSTES'!$B$4-N16),0))</x:f>
        <x:v>0</x:v>
      </x:c>
      <x:c r="K16" s="27" t="n">
        <x:v>9.5</x:v>
      </x:c>
      <x:c r="L16" s="26" t="str">
        <x:v>Gregory</x:v>
      </x:c>
      <x:c r="M16" s="26" t="n">
        <x:v>30</x:v>
      </x:c>
      <x:c r="N16" s="29" t="n">
        <x:f>IF(OR(NOT(ISNUMBER(B16)),NOT(ISNUMBER(M16))),"",B16+M16)</x:f>
        <x:v>46235</x:v>
      </x:c>
      <x:c r="O16" s="25" t="n">
        <x:v>46231</x:v>
      </x:c>
      <x:c r="P16" s="26" t="str">
        <x:v>Incluir</x:v>
      </x:c>
      <x:c r="Q16" s="22" t="str">
        <x:v> Cierre YA PAGO en CONTROL. Cierre explícito en M-0121. Inicial no sumada por posible duplicidad.</x:v>
      </x:c>
      <x:c r="R16" s="22" t="str">
        <x:v>Excel VENTAS!fila 15; M-0014</x:v>
      </x:c>
      <x:c r="S16" s="22" t="n">
        <x:f>IF(C16="","",COUNTIFS('PAGOS'!$C$5:$C$504,A16,'PAGOS'!$B$5:$B$504,"&gt;0",'PAGOS'!$B$5:$B$504,"&lt;="&amp;'AJUSTES'!$B$4,'PAGOS'!$N$5:$N$504,"Incluir",'PAGOS'!$Q$5:$Q$504,"&lt;&gt;Aplicar"))</x:f>
        <x:v>0</x:v>
      </x:c>
      <x:c r="T16" s="28" t="n">
        <x:f>IF(AND(C16&lt;&gt;"",ISNUMBER(O16),O16&lt;='AJUSTES'!$B$4,ISNUMBER(E16)),ROUND(E16-G16,2),"")</x:f>
        <x:v>0</x:v>
      </x:c>
    </x:row>
    <x:row r="17" ht="25" customHeight="1">
      <x:c r="A17" s="22" t="str">
        <x:v>V-013</x:v>
      </x:c>
      <x:c r="B17" s="25" t="n">
        <x:v>46205</x:v>
      </x:c>
      <x:c r="C17" s="26" t="str">
        <x:v>Polanco</x:v>
      </x:c>
      <x:c r="D17" s="26" t="str">
        <x:v>Club De Nuit</x:v>
      </x:c>
      <x:c r="E17" s="27" t="n">
        <x:v>30</x:v>
      </x:c>
      <x:c r="F17" s="26" t="str">
        <x:v>BCV</x:v>
      </x:c>
      <x:c r="G17" s="28" t="n">
        <x:f>IF(C17="","",SUMIFS('PAGOS'!$K$5:$K$504,'PAGOS'!$C$5:$C$504,A17,'PAGOS'!$Q$5:$Q$504,"Aplicar",'PAGOS'!$B$5:$B$504,"&lt;="&amp;'AJUSTES'!$B$4))</x:f>
        <x:v>30</x:v>
      </x:c>
      <x:c r="H17" s="28" t="n">
        <x:f>IF(C17="","",IF(AND(ISNUMBER(O17),O17&lt;='AJUSTES'!$B$4),0,IF(OR(P17&lt;&gt;"Incluir",NOT(ISNUMBER(E17)),B17="",B17&gt;'AJUSTES'!$B$4,S17&gt;0),"",MAX(0,ROUND(E17-G17,2)))))</x:f>
        <x:v>0</x:v>
      </x:c>
      <x:c r="I17" s="22" t="str">
        <x:f>IF(C17="","",IF(P17="Anulada","Anulada",IF(B17&gt;'AJUSTES'!$B$4,"Posterior al corte",IF(NOT(ISNUMBER(H17)),"Por conciliar",IF(H17&lt;='AJUSTES'!$B$10,"Pagado",IF(J17&gt;0,"Moroso","Vigente"))))))</x:f>
        <x:v>Pagado</x:v>
      </x:c>
      <x:c r="J17" s="22" t="n">
        <x:f>IF(OR(C17="",NOT(ISNUMBER(H17)),NOT(ISNUMBER(N17))),"",IF(H17&gt;'AJUSTES'!$B$10,MAX(0,'AJUSTES'!$B$4-N17),0))</x:f>
        <x:v>0</x:v>
      </x:c>
      <x:c r="K17" s="27" t="n">
        <x:v>51</x:v>
      </x:c>
      <x:c r="L17" s="26" t="str">
        <x:v>Gregory</x:v>
      </x:c>
      <x:c r="M17" s="26" t="n">
        <x:v>30</x:v>
      </x:c>
      <x:c r="N17" s="29" t="n">
        <x:f>IF(OR(NOT(ISNUMBER(B17)),NOT(ISNUMBER(M17))),"",B17+M17)</x:f>
        <x:v>46235</x:v>
      </x:c>
      <x:c r="O17" s="25" t="n">
        <x:v>46228</x:v>
      </x:c>
      <x:c r="P17" s="26" t="str">
        <x:v>Incluir</x:v>
      </x:c>
      <x:c r="Q17" s="22" t="str">
        <x:v> Cierre YA PAGO en CONTROL. Cierre explícito en M-0108. Inicial representada en P-017. Costo por revisar</x:v>
      </x:c>
      <x:c r="R17" s="22" t="str">
        <x:v>Excel VENTAS!fila 16; M-0013</x:v>
      </x:c>
      <x:c r="S17" s="22" t="n">
        <x:f>IF(C17="","",COUNTIFS('PAGOS'!$C$5:$C$504,A17,'PAGOS'!$B$5:$B$504,"&gt;0",'PAGOS'!$B$5:$B$504,"&lt;="&amp;'AJUSTES'!$B$4,'PAGOS'!$N$5:$N$504,"Incluir",'PAGOS'!$Q$5:$Q$504,"&lt;&gt;Aplicar"))</x:f>
        <x:v>0</x:v>
      </x:c>
      <x:c r="T17" s="28" t="n">
        <x:f>IF(AND(C17&lt;&gt;"",ISNUMBER(O17),O17&lt;='AJUSTES'!$B$4,ISNUMBER(E17)),ROUND(E17-G17,2),"")</x:f>
        <x:v>0</x:v>
      </x:c>
    </x:row>
    <x:row r="18" ht="25" customHeight="1">
      <x:c r="A18" s="22" t="str">
        <x:v>V-014</x:v>
      </x:c>
      <x:c r="B18" s="25" t="n">
        <x:v>46200</x:v>
      </x:c>
      <x:c r="C18" s="26" t="str">
        <x:v>Reinel</x:v>
      </x:c>
      <x:c r="D18" s="26" t="str">
        <x:v>212 Nyc</x:v>
      </x:c>
      <x:c r="E18" s="27" t="n">
        <x:v>24</x:v>
      </x:c>
      <x:c r="F18" s="26" t="str">
        <x:v>BCV</x:v>
      </x:c>
      <x:c r="G18" s="28" t="n">
        <x:f>IF(C18="","",SUMIFS('PAGOS'!$K$5:$K$504,'PAGOS'!$C$5:$C$504,A18,'PAGOS'!$Q$5:$Q$504,"Aplicar",'PAGOS'!$B$5:$B$504,"&lt;="&amp;'AJUSTES'!$B$4))</x:f>
        <x:v>0</x:v>
      </x:c>
      <x:c r="H18" s="28" t="n">
        <x:f>IF(C18="","",IF(AND(ISNUMBER(O18),O18&lt;='AJUSTES'!$B$4),0,IF(OR(P18&lt;&gt;"Incluir",NOT(ISNUMBER(E18)),B18="",B18&gt;'AJUSTES'!$B$4,S18&gt;0),"",MAX(0,ROUND(E18-G18,2)))))</x:f>
        <x:v>0</x:v>
      </x:c>
      <x:c r="I18" s="22" t="str">
        <x:f>IF(C18="","",IF(P18="Anulada","Anulada",IF(B18&gt;'AJUSTES'!$B$4,"Posterior al corte",IF(NOT(ISNUMBER(H18)),"Por conciliar",IF(H18&lt;='AJUSTES'!$B$10,"Pagado",IF(J18&gt;0,"Moroso","Vigente"))))))</x:f>
        <x:v>Pagado</x:v>
      </x:c>
      <x:c r="J18" s="22" t="n">
        <x:f>IF(OR(C18="",NOT(ISNUMBER(H18)),NOT(ISNUMBER(N18))),"",IF(H18&gt;'AJUSTES'!$B$10,MAX(0,'AJUSTES'!$B$4-N18),0))</x:f>
        <x:v>0</x:v>
      </x:c>
      <x:c r="K18" s="27" t="n">
        <x:v>12</x:v>
      </x:c>
      <x:c r="L18" s="26" t="str">
        <x:v>Hidelberg</x:v>
      </x:c>
      <x:c r="M18" s="26" t="n">
        <x:v>30</x:v>
      </x:c>
      <x:c r="N18" s="29" t="n">
        <x:f>IF(OR(NOT(ISNUMBER(B18)),NOT(ISNUMBER(M18))),"",B18+M18)</x:f>
        <x:v>46230</x:v>
      </x:c>
      <x:c r="O18" s="25" t="n">
        <x:v>46244</x:v>
      </x:c>
      <x:c r="P18" s="26" t="str">
        <x:v>Incluir</x:v>
      </x:c>
      <x:c r="Q18" s="22" t="str">
        <x:v> Cierre explícito en M-0163. Cierre confirmado, equivalente conocido 0; diferencia 24 por conciliar, sin crear efectivo.</x:v>
      </x:c>
      <x:c r="R18" s="22" t="str">
        <x:v>Excel VENTAS!fila 17</x:v>
      </x:c>
      <x:c r="S18" s="22" t="n">
        <x:f>IF(C18="","",COUNTIFS('PAGOS'!$C$5:$C$504,A18,'PAGOS'!$B$5:$B$504,"&gt;0",'PAGOS'!$B$5:$B$504,"&lt;="&amp;'AJUSTES'!$B$4,'PAGOS'!$N$5:$N$504,"Incluir",'PAGOS'!$Q$5:$Q$504,"&lt;&gt;Aplicar"))</x:f>
        <x:v>1</x:v>
      </x:c>
      <x:c r="T18" s="28" t="n">
        <x:f>IF(AND(C18&lt;&gt;"",ISNUMBER(O18),O18&lt;='AJUSTES'!$B$4,ISNUMBER(E18)),ROUND(E18-G18,2),"")</x:f>
        <x:v>24</x:v>
      </x:c>
    </x:row>
    <x:row r="19" ht="25" customHeight="1">
      <x:c r="A19" s="22" t="str">
        <x:v>V-015</x:v>
      </x:c>
      <x:c r="B19" s="25" t="n">
        <x:v>46206</x:v>
      </x:c>
      <x:c r="C19" s="26" t="str">
        <x:v>Llovera</x:v>
      </x:c>
      <x:c r="D19" s="26" t="str">
        <x:v>Eros Men</x:v>
      </x:c>
      <x:c r="E19" s="27" t="n">
        <x:v>24</x:v>
      </x:c>
      <x:c r="F19" s="26" t="str">
        <x:v>BCV</x:v>
      </x:c>
      <x:c r="G19" s="28" t="n">
        <x:f>IF(C19="","",SUMIFS('PAGOS'!$K$5:$K$504,'PAGOS'!$C$5:$C$504,A19,'PAGOS'!$Q$5:$Q$504,"Aplicar",'PAGOS'!$B$5:$B$504,"&lt;="&amp;'AJUSTES'!$B$4))</x:f>
        <x:v>24</x:v>
      </x:c>
      <x:c r="H19" s="28" t="n">
        <x:f>IF(C19="","",IF(AND(ISNUMBER(O19),O19&lt;='AJUSTES'!$B$4),0,IF(OR(P19&lt;&gt;"Incluir",NOT(ISNUMBER(E19)),B19="",B19&gt;'AJUSTES'!$B$4,S19&gt;0),"",MAX(0,ROUND(E19-G19,2)))))</x:f>
        <x:v>0</x:v>
      </x:c>
      <x:c r="I19" s="22" t="str">
        <x:f>IF(C19="","",IF(P19="Anulada","Anulada",IF(B19&gt;'AJUSTES'!$B$4,"Posterior al corte",IF(NOT(ISNUMBER(H19)),"Por conciliar",IF(H19&lt;='AJUSTES'!$B$10,"Pagado",IF(J19&gt;0,"Moroso","Vigente"))))))</x:f>
        <x:v>Pagado</x:v>
      </x:c>
      <x:c r="J19" s="22" t="n">
        <x:f>IF(OR(C19="",NOT(ISNUMBER(H19)),NOT(ISNUMBER(N19))),"",IF(H19&gt;'AJUSTES'!$B$10,MAX(0,'AJUSTES'!$B$4-N19),0))</x:f>
        <x:v>0</x:v>
      </x:c>
      <x:c r="K19" s="27" t="n">
        <x:v>9.5</x:v>
      </x:c>
      <x:c r="L19" s="26" t="str">
        <x:v>Gregory</x:v>
      </x:c>
      <x:c r="M19" s="26" t="n">
        <x:v>30</x:v>
      </x:c>
      <x:c r="N19" s="29" t="n">
        <x:f>IF(OR(NOT(ISNUMBER(B19)),NOT(ISNUMBER(M19))),"",B19+M19)</x:f>
        <x:v>46236</x:v>
      </x:c>
      <x:c r="O19" s="25" t="n">
        <x:v>46215</x:v>
      </x:c>
      <x:c r="P19" s="26" t="str">
        <x:v>Incluir</x:v>
      </x:c>
      <x:c r="Q19" s="22" t="str">
        <x:v> Cierre YA PAGO en CONTROL. Cierre explícito en M-0064. Inicial no sumada por posible duplicidad.</x:v>
      </x:c>
      <x:c r="R19" s="22" t="str">
        <x:v>Excel VENTAS!fila 18; M-0019</x:v>
      </x:c>
      <x:c r="S19" s="22" t="n">
        <x:f>IF(C19="","",COUNTIFS('PAGOS'!$C$5:$C$504,A19,'PAGOS'!$B$5:$B$504,"&gt;0",'PAGOS'!$B$5:$B$504,"&lt;="&amp;'AJUSTES'!$B$4,'PAGOS'!$N$5:$N$504,"Incluir",'PAGOS'!$Q$5:$Q$504,"&lt;&gt;Aplicar"))</x:f>
        <x:v>0</x:v>
      </x:c>
      <x:c r="T19" s="28" t="n">
        <x:f>IF(AND(C19&lt;&gt;"",ISNUMBER(O19),O19&lt;='AJUSTES'!$B$4,ISNUMBER(E19)),ROUND(E19-G19,2),"")</x:f>
        <x:v>0</x:v>
      </x:c>
    </x:row>
    <x:row r="20" ht="25" customHeight="1">
      <x:c r="A20" s="22" t="str">
        <x:v>V-016</x:v>
      </x:c>
      <x:c r="B20" s="25" t="n">
        <x:v>46220</x:v>
      </x:c>
      <x:c r="C20" s="26" t="str">
        <x:v>Mirleidy</x:v>
      </x:c>
      <x:c r="D20" s="26" t="str">
        <x:v>360</x:v>
      </x:c>
      <x:c r="E20" s="27" t="n">
        <x:v>12</x:v>
      </x:c>
      <x:c r="F20" s="26" t="str">
        <x:v>Divisa</x:v>
      </x:c>
      <x:c r="G20" s="28" t="n">
        <x:f>IF(C20="","",SUMIFS('PAGOS'!$K$5:$K$504,'PAGOS'!$C$5:$C$504,A20,'PAGOS'!$Q$5:$Q$504,"Aplicar",'PAGOS'!$B$5:$B$504,"&lt;="&amp;'AJUSTES'!$B$4))</x:f>
        <x:v>12</x:v>
      </x:c>
      <x:c r="H20" s="28" t="n">
        <x:f>IF(C20="","",IF(AND(ISNUMBER(O20),O20&lt;='AJUSTES'!$B$4),0,IF(OR(P20&lt;&gt;"Incluir",NOT(ISNUMBER(E20)),B20="",B20&gt;'AJUSTES'!$B$4,S20&gt;0),"",MAX(0,ROUND(E20-G20,2)))))</x:f>
        <x:v>0</x:v>
      </x:c>
      <x:c r="I20" s="22" t="str">
        <x:f>IF(C20="","",IF(P20="Anulada","Anulada",IF(B20&gt;'AJUSTES'!$B$4,"Posterior al corte",IF(NOT(ISNUMBER(H20)),"Por conciliar",IF(H20&lt;='AJUSTES'!$B$10,"Pagado",IF(J20&gt;0,"Moroso","Vigente"))))))</x:f>
        <x:v>Pagado</x:v>
      </x:c>
      <x:c r="J20" s="22" t="n">
        <x:f>IF(OR(C20="",NOT(ISNUMBER(H20)),NOT(ISNUMBER(N20))),"",IF(H20&gt;'AJUSTES'!$B$10,MAX(0,'AJUSTES'!$B$4-N20),0))</x:f>
        <x:v>0</x:v>
      </x:c>
      <x:c r="K20" s="27" t="n">
        <x:v>9.5</x:v>
      </x:c>
      <x:c r="L20" s="26" t="str">
        <x:v>Gregory</x:v>
      </x:c>
      <x:c r="M20" s="26" t="n">
        <x:v>30</x:v>
      </x:c>
      <x:c r="N20" s="29" t="n">
        <x:f>IF(OR(NOT(ISNUMBER(B20)),NOT(ISNUMBER(M20))),"",B20+M20)</x:f>
        <x:v>46250</x:v>
      </x:c>
      <x:c r="O20" s="25" t="n">
        <x:v>46236</x:v>
      </x:c>
      <x:c r="P20" s="26" t="str">
        <x:v>Incluir</x:v>
      </x:c>
      <x:c r="Q20" s="22" t="str">
        <x:v> Cierre explícito en M-0141.</x:v>
      </x:c>
      <x:c r="R20" s="22" t="str">
        <x:v>Excel VENTAS!fila 19; M-0081</x:v>
      </x:c>
      <x:c r="S20" s="22" t="n">
        <x:f>IF(C20="","",COUNTIFS('PAGOS'!$C$5:$C$504,A20,'PAGOS'!$B$5:$B$504,"&gt;0",'PAGOS'!$B$5:$B$504,"&lt;="&amp;'AJUSTES'!$B$4,'PAGOS'!$N$5:$N$504,"Incluir",'PAGOS'!$Q$5:$Q$504,"&lt;&gt;Aplicar"))</x:f>
        <x:v>0</x:v>
      </x:c>
      <x:c r="T20" s="28" t="n">
        <x:f>IF(AND(C20&lt;&gt;"",ISNUMBER(O20),O20&lt;='AJUSTES'!$B$4,ISNUMBER(E20)),ROUND(E20-G20,2),"")</x:f>
        <x:v>0</x:v>
      </x:c>
    </x:row>
    <x:row r="21" ht="25" customHeight="1">
      <x:c r="A21" s="22" t="str">
        <x:v>V-017</x:v>
      </x:c>
      <x:c r="B21" s="25" t="n">
        <x:v>46220</x:v>
      </x:c>
      <x:c r="C21" s="26" t="str">
        <x:v>Mirleidy</x:v>
      </x:c>
      <x:c r="D21" s="26" t="str">
        <x:v>Asad Bourbon</x:v>
      </x:c>
      <x:c r="E21" s="27" t="n">
        <x:v>16</x:v>
      </x:c>
      <x:c r="F21" s="26" t="str">
        <x:v>Divisa</x:v>
      </x:c>
      <x:c r="G21" s="28" t="n">
        <x:f>IF(C21="","",SUMIFS('PAGOS'!$K$5:$K$504,'PAGOS'!$C$5:$C$504,A21,'PAGOS'!$Q$5:$Q$504,"Aplicar",'PAGOS'!$B$5:$B$504,"&lt;="&amp;'AJUSTES'!$B$4))</x:f>
        <x:v>16</x:v>
      </x:c>
      <x:c r="H21" s="28" t="n">
        <x:f>IF(C21="","",IF(AND(ISNUMBER(O21),O21&lt;='AJUSTES'!$B$4),0,IF(OR(P21&lt;&gt;"Incluir",NOT(ISNUMBER(E21)),B21="",B21&gt;'AJUSTES'!$B$4,S21&gt;0),"",MAX(0,ROUND(E21-G21,2)))))</x:f>
        <x:v>0</x:v>
      </x:c>
      <x:c r="I21" s="22" t="str">
        <x:f>IF(C21="","",IF(P21="Anulada","Anulada",IF(B21&gt;'AJUSTES'!$B$4,"Posterior al corte",IF(NOT(ISNUMBER(H21)),"Por conciliar",IF(H21&lt;='AJUSTES'!$B$10,"Pagado",IF(J21&gt;0,"Moroso","Vigente"))))))</x:f>
        <x:v>Pagado</x:v>
      </x:c>
      <x:c r="J21" s="22" t="n">
        <x:f>IF(OR(C21="",NOT(ISNUMBER(H21)),NOT(ISNUMBER(N21))),"",IF(H21&gt;'AJUSTES'!$B$10,MAX(0,'AJUSTES'!$B$4-N21),0))</x:f>
        <x:v>0</x:v>
      </x:c>
      <x:c r="K21" s="27" t="n">
        <x:v>13</x:v>
      </x:c>
      <x:c r="L21" s="26" t="str">
        <x:v>Gregory</x:v>
      </x:c>
      <x:c r="M21" s="26" t="n">
        <x:v>30</x:v>
      </x:c>
      <x:c r="N21" s="29" t="n">
        <x:f>IF(OR(NOT(ISNUMBER(B21)),NOT(ISNUMBER(M21))),"",B21+M21)</x:f>
        <x:v>46250</x:v>
      </x:c>
      <x:c r="O21" s="25" t="n">
        <x:v>46236</x:v>
      </x:c>
      <x:c r="P21" s="26" t="str">
        <x:v>Incluir</x:v>
      </x:c>
      <x:c r="Q21" s="22" t="str">
        <x:v> Cierre explícito en M-0142.</x:v>
      </x:c>
      <x:c r="R21" s="22" t="str">
        <x:v>Excel VENTAS!fila 20; M-0082</x:v>
      </x:c>
      <x:c r="S21" s="22" t="n">
        <x:f>IF(C21="","",COUNTIFS('PAGOS'!$C$5:$C$504,A21,'PAGOS'!$B$5:$B$504,"&gt;0",'PAGOS'!$B$5:$B$504,"&lt;="&amp;'AJUSTES'!$B$4,'PAGOS'!$N$5:$N$504,"Incluir",'PAGOS'!$Q$5:$Q$504,"&lt;&gt;Aplicar"))</x:f>
        <x:v>0</x:v>
      </x:c>
      <x:c r="T21" s="28" t="n">
        <x:f>IF(AND(C21&lt;&gt;"",ISNUMBER(O21),O21&lt;='AJUSTES'!$B$4,ISNUMBER(E21)),ROUND(E21-G21,2),"")</x:f>
        <x:v>0</x:v>
      </x:c>
    </x:row>
    <x:row r="22" ht="25" customHeight="1">
      <x:c r="A22" s="22" t="str">
        <x:v>V-018</x:v>
      </x:c>
      <x:c r="B22" s="25" t="n">
        <x:v>46231</x:v>
      </x:c>
      <x:c r="C22" s="26" t="str">
        <x:v>Polanco</x:v>
      </x:c>
      <x:c r="D22" s="26" t="str">
        <x:v>Tommy</x:v>
      </x:c>
      <x:c r="E22" s="27" t="n">
        <x:v>24</x:v>
      </x:c>
      <x:c r="F22" s="26" t="str">
        <x:v>BCV</x:v>
      </x:c>
      <x:c r="G22" s="28" t="n">
        <x:f>IF(C22="","",SUMIFS('PAGOS'!$K$5:$K$504,'PAGOS'!$C$5:$C$504,A22,'PAGOS'!$Q$5:$Q$504,"Aplicar",'PAGOS'!$B$5:$B$504,"&lt;="&amp;'AJUSTES'!$B$4))</x:f>
        <x:v>24</x:v>
      </x:c>
      <x:c r="H22" s="28" t="n">
        <x:f>IF(C22="","",IF(AND(ISNUMBER(O22),O22&lt;='AJUSTES'!$B$4),0,IF(OR(P22&lt;&gt;"Incluir",NOT(ISNUMBER(E22)),B22="",B22&gt;'AJUSTES'!$B$4,S22&gt;0),"",MAX(0,ROUND(E22-G22,2)))))</x:f>
        <x:v>0</x:v>
      </x:c>
      <x:c r="I22" s="22" t="str">
        <x:f>IF(C22="","",IF(P22="Anulada","Anulada",IF(B22&gt;'AJUSTES'!$B$4,"Posterior al corte",IF(NOT(ISNUMBER(H22)),"Por conciliar",IF(H22&lt;='AJUSTES'!$B$10,"Pagado",IF(J22&gt;0,"Moroso","Vigente"))))))</x:f>
        <x:v>Pagado</x:v>
      </x:c>
      <x:c r="J22" s="22" t="n">
        <x:f>IF(OR(C22="",NOT(ISNUMBER(H22)),NOT(ISNUMBER(N22))),"",IF(H22&gt;'AJUSTES'!$B$10,MAX(0,'AJUSTES'!$B$4-N22),0))</x:f>
        <x:v>0</x:v>
      </x:c>
      <x:c r="K22" s="27" t="n">
        <x:v>11</x:v>
      </x:c>
      <x:c r="L22" s="26" t="str">
        <x:v>Gregory</x:v>
      </x:c>
      <x:c r="M22" s="26" t="n">
        <x:v>30</x:v>
      </x:c>
      <x:c r="N22" s="29" t="n">
        <x:f>IF(OR(NOT(ISNUMBER(B22)),NOT(ISNUMBER(M22))),"",B22+M22)</x:f>
        <x:v>46261</x:v>
      </x:c>
      <x:c r="O22" s="25" t="n">
        <x:v>46237</x:v>
      </x:c>
      <x:c r="P22" s="26" t="str">
        <x:v>Incluir</x:v>
      </x:c>
      <x:c r="Q22" s="22" t="str">
        <x:v> Cierre explícito en M-0149. Inicial representada en P-029.</x:v>
      </x:c>
      <x:c r="R22" s="22" t="str">
        <x:v>Excel VENTAS!fila 21; M-0119</x:v>
      </x:c>
      <x:c r="S22" s="22" t="n">
        <x:f>IF(C22="","",COUNTIFS('PAGOS'!$C$5:$C$504,A22,'PAGOS'!$B$5:$B$504,"&gt;0",'PAGOS'!$B$5:$B$504,"&lt;="&amp;'AJUSTES'!$B$4,'PAGOS'!$N$5:$N$504,"Incluir",'PAGOS'!$Q$5:$Q$504,"&lt;&gt;Aplicar"))</x:f>
        <x:v>0</x:v>
      </x:c>
      <x:c r="T22" s="28" t="n">
        <x:f>IF(AND(C22&lt;&gt;"",ISNUMBER(O22),O22&lt;='AJUSTES'!$B$4,ISNUMBER(E22)),ROUND(E22-G22,2),"")</x:f>
        <x:v>0</x:v>
      </x:c>
    </x:row>
    <x:row r="23" ht="25" customHeight="1">
      <x:c r="A23" s="22" t="str">
        <x:v>V-019</x:v>
      </x:c>
      <x:c r="B23" s="25" t="n">
        <x:v>46232</x:v>
      </x:c>
      <x:c r="C23" s="26" t="str">
        <x:v>Belisario</x:v>
      </x:c>
      <x:c r="D23" s="26" t="str">
        <x:v>Bad Boy</x:v>
      </x:c>
      <x:c r="E23" s="27" t="n">
        <x:v>24</x:v>
      </x:c>
      <x:c r="F23" s="26" t="str">
        <x:v>Sin confirmar</x:v>
      </x:c>
      <x:c r="G23" s="28" t="n">
        <x:f>IF(C23="","",SUMIFS('PAGOS'!$K$5:$K$504,'PAGOS'!$C$5:$C$504,A23,'PAGOS'!$Q$5:$Q$504,"Aplicar",'PAGOS'!$B$5:$B$504,"&lt;="&amp;'AJUSTES'!$B$4))</x:f>
        <x:v>0</x:v>
      </x:c>
      <x:c r="H23" s="28" t="n">
        <x:f>IF(C23="","",IF(AND(ISNUMBER(O23),O23&lt;='AJUSTES'!$B$4),0,IF(OR(P23&lt;&gt;"Incluir",NOT(ISNUMBER(E23)),B23="",B23&gt;'AJUSTES'!$B$4,S23&gt;0),"",MAX(0,ROUND(E23-G23,2)))))</x:f>
        <x:v>24</x:v>
      </x:c>
      <x:c r="I23" s="22" t="str">
        <x:f>IF(C23="","",IF(P23="Anulada","Anulada",IF(B23&gt;'AJUSTES'!$B$4,"Posterior al corte",IF(NOT(ISNUMBER(H23)),"Por conciliar",IF(H23&lt;='AJUSTES'!$B$10,"Pagado",IF(J23&gt;0,"Moroso","Vigente"))))))</x:f>
        <x:v>Moroso</x:v>
      </x:c>
      <x:c r="J23" s="22" t="n">
        <x:f>IF(OR(C23="",NOT(ISNUMBER(H23)),NOT(ISNUMBER(N23))),"",IF(H23&gt;'AJUSTES'!$B$10,MAX(0,'AJUSTES'!$B$4-N23),0))</x:f>
        <x:v>27</x:v>
      </x:c>
      <x:c r="K23" s="27" t="n">
        <x:v>9.5</x:v>
      </x:c>
      <x:c r="L23" s="26" t="str">
        <x:v>Gregory</x:v>
      </x:c>
      <x:c r="M23" s="26" t="n">
        <x:v>30</x:v>
      </x:c>
      <x:c r="N23" s="29" t="n">
        <x:f>IF(OR(NOT(ISNUMBER(B23)),NOT(ISNUMBER(M23))),"",B23+M23)</x:f>
        <x:v>46262</x:v>
      </x:c>
      <x:c r="O23" s="25" t="str"/>
      <x:c r="P23" s="26" t="str">
        <x:v>Incluir</x:v>
      </x:c>
      <x:c r="Q23" s="22" t="str"/>
      <x:c r="R23" s="22" t="str">
        <x:v>Excel VENTAS!fila 22; M-0120</x:v>
      </x:c>
      <x:c r="S23" s="22" t="n">
        <x:f>IF(C23="","",COUNTIFS('PAGOS'!$C$5:$C$504,A23,'PAGOS'!$B$5:$B$504,"&gt;0",'PAGOS'!$B$5:$B$504,"&lt;="&amp;'AJUSTES'!$B$4,'PAGOS'!$N$5:$N$504,"Incluir",'PAGOS'!$Q$5:$Q$504,"&lt;&gt;Aplicar"))</x:f>
        <x:v>0</x:v>
      </x:c>
      <x:c r="T23" s="28" t="str">
        <x:f>IF(AND(C23&lt;&gt;"",ISNUMBER(O23),O23&lt;='AJUSTES'!$B$4,ISNUMBER(E23)),ROUND(E23-G23,2),"")</x:f>
      </x:c>
    </x:row>
    <x:row r="24" ht="25" customHeight="1">
      <x:c r="A24" s="22" t="str">
        <x:v>V-020</x:v>
      </x:c>
      <x:c r="B24" s="25" t="n">
        <x:v>46233</x:v>
      </x:c>
      <x:c r="C24" s="26" t="str">
        <x:v>Anderson</x:v>
      </x:c>
      <x:c r="D24" s="26" t="str">
        <x:v>Acqua di Gio</x:v>
      </x:c>
      <x:c r="E24" s="27" t="n">
        <x:v>22</x:v>
      </x:c>
      <x:c r="F24" s="26" t="str">
        <x:v>BCV</x:v>
      </x:c>
      <x:c r="G24" s="28" t="n">
        <x:f>IF(C24="","",SUMIFS('PAGOS'!$K$5:$K$504,'PAGOS'!$C$5:$C$504,A24,'PAGOS'!$Q$5:$Q$504,"Aplicar",'PAGOS'!$B$5:$B$504,"&lt;="&amp;'AJUSTES'!$B$4))</x:f>
        <x:v>7</x:v>
      </x:c>
      <x:c r="H24" s="28" t="str">
        <x:f>IF(C24="","",IF(AND(ISNUMBER(O24),O24&lt;='AJUSTES'!$B$4),0,IF(OR(P24&lt;&gt;"Incluir",NOT(ISNUMBER(E24)),B24="",B24&gt;'AJUSTES'!$B$4,S24&gt;0),"",MAX(0,ROUND(E24-G24,2)))))</x:f>
      </x:c>
      <x:c r="I24" s="22" t="str">
        <x:f>IF(C24="","",IF(P24="Anulada","Anulada",IF(B24&gt;'AJUSTES'!$B$4,"Posterior al corte",IF(NOT(ISNUMBER(H24)),"Por conciliar",IF(H24&lt;='AJUSTES'!$B$10,"Pagado",IF(J24&gt;0,"Moroso","Vigente"))))))</x:f>
        <x:v>Por conciliar</x:v>
      </x:c>
      <x:c r="J24" s="22" t="str">
        <x:f>IF(OR(C24="",NOT(ISNUMBER(H24)),NOT(ISNUMBER(N24))),"",IF(H24&gt;'AJUSTES'!$B$10,MAX(0,'AJUSTES'!$B$4-N24),0))</x:f>
      </x:c>
      <x:c r="K24" s="27" t="n">
        <x:v>9.5</x:v>
      </x:c>
      <x:c r="L24" s="26" t="str">
        <x:v>Gregory</x:v>
      </x:c>
      <x:c r="M24" s="26" t="n">
        <x:v>30</x:v>
      </x:c>
      <x:c r="N24" s="29" t="n">
        <x:f>IF(OR(NOT(ISNUMBER(B24)),NOT(ISNUMBER(M24))),"",B24+M24)</x:f>
        <x:v>46263</x:v>
      </x:c>
      <x:c r="O24" s="25" t="str"/>
      <x:c r="P24" s="26" t="str">
        <x:v>Revisar</x:v>
      </x:c>
      <x:c r="Q24" s="22" t="str">
        <x:v> Hay una solicitud de eliminar Acqua di Gio sin cliente</x:v>
      </x:c>
      <x:c r="R24" s="22" t="str">
        <x:v>Excel VENTAS!fila 23; M-0125</x:v>
      </x:c>
      <x:c r="S24" s="22" t="n">
        <x:f>IF(C24="","",COUNTIFS('PAGOS'!$C$5:$C$504,A24,'PAGOS'!$B$5:$B$504,"&gt;0",'PAGOS'!$B$5:$B$504,"&lt;="&amp;'AJUSTES'!$B$4,'PAGOS'!$N$5:$N$504,"Incluir",'PAGOS'!$Q$5:$Q$504,"&lt;&gt;Aplicar"))</x:f>
        <x:v>0</x:v>
      </x:c>
      <x:c r="T24" s="28" t="str">
        <x:f>IF(AND(C24&lt;&gt;"",ISNUMBER(O24),O24&lt;='AJUSTES'!$B$4,ISNUMBER(E24)),ROUND(E24-G24,2),"")</x:f>
      </x:c>
    </x:row>
    <x:row r="25" ht="25" customHeight="1">
      <x:c r="A25" s="22" t="str">
        <x:v>V-021</x:v>
      </x:c>
      <x:c r="B25" s="25" t="n">
        <x:v>46235</x:v>
      </x:c>
      <x:c r="C25" s="26" t="str">
        <x:v>Adolfito</x:v>
      </x:c>
      <x:c r="D25" s="26" t="str">
        <x:v>Scandal</x:v>
      </x:c>
      <x:c r="E25" s="27" t="n">
        <x:v>22</x:v>
      </x:c>
      <x:c r="F25" s="26" t="str">
        <x:v>BCV</x:v>
      </x:c>
      <x:c r="G25" s="28" t="n">
        <x:f>IF(C25="","",SUMIFS('PAGOS'!$K$5:$K$504,'PAGOS'!$C$5:$C$504,A25,'PAGOS'!$Q$5:$Q$504,"Aplicar",'PAGOS'!$B$5:$B$504,"&lt;="&amp;'AJUSTES'!$B$4))</x:f>
        <x:v>22</x:v>
      </x:c>
      <x:c r="H25" s="28" t="n">
        <x:f>IF(C25="","",IF(AND(ISNUMBER(O25),O25&lt;='AJUSTES'!$B$4),0,IF(OR(P25&lt;&gt;"Incluir",NOT(ISNUMBER(E25)),B25="",B25&gt;'AJUSTES'!$B$4,S25&gt;0),"",MAX(0,ROUND(E25-G25,2)))))</x:f>
        <x:v>0</x:v>
      </x:c>
      <x:c r="I25" s="22" t="str">
        <x:f>IF(C25="","",IF(P25="Anulada","Anulada",IF(B25&gt;'AJUSTES'!$B$4,"Posterior al corte",IF(NOT(ISNUMBER(H25)),"Por conciliar",IF(H25&lt;='AJUSTES'!$B$10,"Pagado",IF(J25&gt;0,"Moroso","Vigente"))))))</x:f>
        <x:v>Pagado</x:v>
      </x:c>
      <x:c r="J25" s="22" t="n">
        <x:f>IF(OR(C25="",NOT(ISNUMBER(H25)),NOT(ISNUMBER(N25))),"",IF(H25&gt;'AJUSTES'!$B$10,MAX(0,'AJUSTES'!$B$4-N25),0))</x:f>
        <x:v>0</x:v>
      </x:c>
      <x:c r="K25" s="27" t="n">
        <x:v>9.5</x:v>
      </x:c>
      <x:c r="L25" s="26" t="str">
        <x:v>Gregory</x:v>
      </x:c>
      <x:c r="M25" s="26" t="n">
        <x:v>30</x:v>
      </x:c>
      <x:c r="N25" s="29" t="n">
        <x:f>IF(OR(NOT(ISNUMBER(B25)),NOT(ISNUMBER(M25))),"",B25+M25)</x:f>
        <x:v>46265</x:v>
      </x:c>
      <x:c r="O25" s="25" t="n">
        <x:v>46250</x:v>
      </x:c>
      <x:c r="P25" s="26" t="str">
        <x:v>Incluir</x:v>
      </x:c>
      <x:c r="Q25" s="22" t="str">
        <x:v> Cierre explícito en M-0236.</x:v>
      </x:c>
      <x:c r="R25" s="22" t="str">
        <x:v>Excel VENTAS!fila 24; M-0128</x:v>
      </x:c>
      <x:c r="S25" s="22" t="n">
        <x:f>IF(C25="","",COUNTIFS('PAGOS'!$C$5:$C$504,A25,'PAGOS'!$B$5:$B$504,"&gt;0",'PAGOS'!$B$5:$B$504,"&lt;="&amp;'AJUSTES'!$B$4,'PAGOS'!$N$5:$N$504,"Incluir",'PAGOS'!$Q$5:$Q$504,"&lt;&gt;Aplicar"))</x:f>
        <x:v>0</x:v>
      </x:c>
      <x:c r="T25" s="28" t="n">
        <x:f>IF(AND(C25&lt;&gt;"",ISNUMBER(O25),O25&lt;='AJUSTES'!$B$4,ISNUMBER(E25)),ROUND(E25-G25,2),"")</x:f>
        <x:v>0</x:v>
      </x:c>
    </x:row>
    <x:row r="26" ht="25" customHeight="1">
      <x:c r="A26" s="22" t="str">
        <x:v>V-022</x:v>
      </x:c>
      <x:c r="B26" s="25" t="n">
        <x:v>46235</x:v>
      </x:c>
      <x:c r="C26" s="26" t="str">
        <x:v>Rafael</x:v>
      </x:c>
      <x:c r="D26" s="26" t="str">
        <x:v>Invictus</x:v>
      </x:c>
      <x:c r="E26" s="27" t="n">
        <x:v>22</x:v>
      </x:c>
      <x:c r="F26" s="26" t="str">
        <x:v>BCV</x:v>
      </x:c>
      <x:c r="G26" s="28" t="n">
        <x:f>IF(C26="","",SUMIFS('PAGOS'!$K$5:$K$504,'PAGOS'!$C$5:$C$504,A26,'PAGOS'!$Q$5:$Q$504,"Aplicar",'PAGOS'!$B$5:$B$504,"&lt;="&amp;'AJUSTES'!$B$4))</x:f>
        <x:v>22</x:v>
      </x:c>
      <x:c r="H26" s="28" t="n">
        <x:f>IF(C26="","",IF(AND(ISNUMBER(O26),O26&lt;='AJUSTES'!$B$4),0,IF(OR(P26&lt;&gt;"Incluir",NOT(ISNUMBER(E26)),B26="",B26&gt;'AJUSTES'!$B$4,S26&gt;0),"",MAX(0,ROUND(E26-G26,2)))))</x:f>
        <x:v>0</x:v>
      </x:c>
      <x:c r="I26" s="22" t="str">
        <x:f>IF(C26="","",IF(P26="Anulada","Anulada",IF(B26&gt;'AJUSTES'!$B$4,"Posterior al corte",IF(NOT(ISNUMBER(H26)),"Por conciliar",IF(H26&lt;='AJUSTES'!$B$10,"Pagado",IF(J26&gt;0,"Moroso","Vigente"))))))</x:f>
        <x:v>Pagado</x:v>
      </x:c>
      <x:c r="J26" s="22" t="n">
        <x:f>IF(OR(C26="",NOT(ISNUMBER(H26)),NOT(ISNUMBER(N26))),"",IF(H26&gt;'AJUSTES'!$B$10,MAX(0,'AJUSTES'!$B$4-N26),0))</x:f>
        <x:v>0</x:v>
      </x:c>
      <x:c r="K26" s="27" t="n">
        <x:v>9.5</x:v>
      </x:c>
      <x:c r="L26" s="26" t="str">
        <x:v>Gregory</x:v>
      </x:c>
      <x:c r="M26" s="26" t="n">
        <x:v>30</x:v>
      </x:c>
      <x:c r="N26" s="29" t="n">
        <x:f>IF(OR(NOT(ISNUMBER(B26)),NOT(ISNUMBER(M26))),"",B26+M26)</x:f>
        <x:v>46265</x:v>
      </x:c>
      <x:c r="O26" s="25" t="n">
        <x:v>46275</x:v>
      </x:c>
      <x:c r="P26" s="26" t="str">
        <x:v>Incluir</x:v>
      </x:c>
      <x:c r="Q26" s="22" t="str">
        <x:v> Cierre explícito en M-0334.</x:v>
      </x:c>
      <x:c r="R26" s="22" t="str">
        <x:v>Excel VENTAS!fila 25; M-0129</x:v>
      </x:c>
      <x:c r="S26" s="22" t="n">
        <x:f>IF(C26="","",COUNTIFS('PAGOS'!$C$5:$C$504,A26,'PAGOS'!$B$5:$B$504,"&gt;0",'PAGOS'!$B$5:$B$504,"&lt;="&amp;'AJUSTES'!$B$4,'PAGOS'!$N$5:$N$504,"Incluir",'PAGOS'!$Q$5:$Q$504,"&lt;&gt;Aplicar"))</x:f>
        <x:v>0</x:v>
      </x:c>
      <x:c r="T26" s="28" t="n">
        <x:f>IF(AND(C26&lt;&gt;"",ISNUMBER(O26),O26&lt;='AJUSTES'!$B$4,ISNUMBER(E26)),ROUND(E26-G26,2),"")</x:f>
        <x:v>0</x:v>
      </x:c>
    </x:row>
    <x:row r="27" ht="25" customHeight="1">
      <x:c r="A27" s="22" t="str">
        <x:v>V-023</x:v>
      </x:c>
      <x:c r="B27" s="25" t="n">
        <x:v>46242</x:v>
      </x:c>
      <x:c r="C27" s="26" t="str">
        <x:v>Ricardo</x:v>
      </x:c>
      <x:c r="D27" s="26" t="str">
        <x:v>Acqua di Gio</x:v>
      </x:c>
      <x:c r="E27" s="27" t="n">
        <x:v>24</x:v>
      </x:c>
      <x:c r="F27" s="26" t="str">
        <x:v>BCV</x:v>
      </x:c>
      <x:c r="G27" s="28" t="n">
        <x:f>IF(C27="","",SUMIFS('PAGOS'!$K$5:$K$504,'PAGOS'!$C$5:$C$504,A27,'PAGOS'!$Q$5:$Q$504,"Aplicar",'PAGOS'!$B$5:$B$504,"&lt;="&amp;'AJUSTES'!$B$4))</x:f>
        <x:v>20</x:v>
      </x:c>
      <x:c r="H27" s="28" t="str">
        <x:f>IF(C27="","",IF(AND(ISNUMBER(O27),O27&lt;='AJUSTES'!$B$4),0,IF(OR(P27&lt;&gt;"Incluir",NOT(ISNUMBER(E27)),B27="",B27&gt;'AJUSTES'!$B$4,S27&gt;0),"",MAX(0,ROUND(E27-G27,2)))))</x:f>
      </x:c>
      <x:c r="I27" s="22" t="str">
        <x:f>IF(C27="","",IF(P27="Anulada","Anulada",IF(B27&gt;'AJUSTES'!$B$4,"Posterior al corte",IF(NOT(ISNUMBER(H27)),"Por conciliar",IF(H27&lt;='AJUSTES'!$B$10,"Pagado",IF(J27&gt;0,"Moroso","Vigente"))))))</x:f>
        <x:v>Por conciliar</x:v>
      </x:c>
      <x:c r="J27" s="22" t="str">
        <x:f>IF(OR(C27="",NOT(ISNUMBER(H27)),NOT(ISNUMBER(N27))),"",IF(H27&gt;'AJUSTES'!$B$10,MAX(0,'AJUSTES'!$B$4-N27),0))</x:f>
      </x:c>
      <x:c r="K27" s="27" t="n">
        <x:v>12</x:v>
      </x:c>
      <x:c r="L27" s="26" t="str">
        <x:v>Gregory</x:v>
      </x:c>
      <x:c r="M27" s="26" t="n">
        <x:v>30</x:v>
      </x:c>
      <x:c r="N27" s="29" t="n">
        <x:f>IF(OR(NOT(ISNUMBER(B27)),NOT(ISNUMBER(M27))),"",B27+M27)</x:f>
        <x:v>46272</x:v>
      </x:c>
      <x:c r="O27" s="25" t="str"/>
      <x:c r="P27" s="26" t="str">
        <x:v>Revisar</x:v>
      </x:c>
      <x:c r="Q27" s="22" t="str">
        <x:v> Hay una solicitud de eliminar Acqua di Gio sin cliente</x:v>
      </x:c>
      <x:c r="R27" s="22" t="str">
        <x:v>Excel VENTAS!fila 26; M-0153</x:v>
      </x:c>
      <x:c r="S27" s="22" t="n">
        <x:f>IF(C27="","",COUNTIFS('PAGOS'!$C$5:$C$504,A27,'PAGOS'!$B$5:$B$504,"&gt;0",'PAGOS'!$B$5:$B$504,"&lt;="&amp;'AJUSTES'!$B$4,'PAGOS'!$N$5:$N$504,"Incluir",'PAGOS'!$Q$5:$Q$504,"&lt;&gt;Aplicar"))</x:f>
        <x:v>0</x:v>
      </x:c>
      <x:c r="T27" s="28" t="str">
        <x:f>IF(AND(C27&lt;&gt;"",ISNUMBER(O27),O27&lt;='AJUSTES'!$B$4,ISNUMBER(E27)),ROUND(E27-G27,2),"")</x:f>
      </x:c>
    </x:row>
    <x:row r="28" ht="25" customHeight="1">
      <x:c r="A28" s="22" t="str">
        <x:v>V-024</x:v>
      </x:c>
      <x:c r="B28" s="25" t="n">
        <x:v>46242</x:v>
      </x:c>
      <x:c r="C28" s="26" t="str">
        <x:v>Melany</x:v>
      </x:c>
      <x:c r="D28" s="26" t="str">
        <x:v>Cloud</x:v>
      </x:c>
      <x:c r="E28" s="27" t="n">
        <x:v>24</x:v>
      </x:c>
      <x:c r="F28" s="26" t="str">
        <x:v>BCV</x:v>
      </x:c>
      <x:c r="G28" s="28" t="n">
        <x:f>IF(C28="","",SUMIFS('PAGOS'!$K$5:$K$504,'PAGOS'!$C$5:$C$504,A28,'PAGOS'!$Q$5:$Q$504,"Aplicar",'PAGOS'!$B$5:$B$504,"&lt;="&amp;'AJUSTES'!$B$4))</x:f>
        <x:v>10</x:v>
      </x:c>
      <x:c r="H28" s="28" t="n">
        <x:f>IF(C28="","",IF(AND(ISNUMBER(O28),O28&lt;='AJUSTES'!$B$4),0,IF(OR(P28&lt;&gt;"Incluir",NOT(ISNUMBER(E28)),B28="",B28&gt;'AJUSTES'!$B$4,S28&gt;0),"",MAX(0,ROUND(E28-G28,2)))))</x:f>
        <x:v>14</x:v>
      </x:c>
      <x:c r="I28" s="22" t="str">
        <x:f>IF(C28="","",IF(P28="Anulada","Anulada",IF(B28&gt;'AJUSTES'!$B$4,"Posterior al corte",IF(NOT(ISNUMBER(H28)),"Por conciliar",IF(H28&lt;='AJUSTES'!$B$10,"Pagado",IF(J28&gt;0,"Moroso","Vigente"))))))</x:f>
        <x:v>Moroso</x:v>
      </x:c>
      <x:c r="J28" s="22" t="n">
        <x:f>IF(OR(C28="",NOT(ISNUMBER(H28)),NOT(ISNUMBER(N28))),"",IF(H28&gt;'AJUSTES'!$B$10,MAX(0,'AJUSTES'!$B$4-N28),0))</x:f>
        <x:v>17</x:v>
      </x:c>
      <x:c r="K28" s="27" t="n">
        <x:v>12</x:v>
      </x:c>
      <x:c r="L28" s="26" t="str">
        <x:v>Gregory</x:v>
      </x:c>
      <x:c r="M28" s="26" t="n">
        <x:v>30</x:v>
      </x:c>
      <x:c r="N28" s="29" t="n">
        <x:f>IF(OR(NOT(ISNUMBER(B28)),NOT(ISNUMBER(M28))),"",B28+M28)</x:f>
        <x:v>46272</x:v>
      </x:c>
      <x:c r="O28" s="25" t="str"/>
      <x:c r="P28" s="26" t="str">
        <x:v>Incluir</x:v>
      </x:c>
      <x:c r="Q28" s="22" t="str"/>
      <x:c r="R28" s="22" t="str">
        <x:v>Excel VENTAS!fila 27; M-0154</x:v>
      </x:c>
      <x:c r="S28" s="22" t="n">
        <x:f>IF(C28="","",COUNTIFS('PAGOS'!$C$5:$C$504,A28,'PAGOS'!$B$5:$B$504,"&gt;0",'PAGOS'!$B$5:$B$504,"&lt;="&amp;'AJUSTES'!$B$4,'PAGOS'!$N$5:$N$504,"Incluir",'PAGOS'!$Q$5:$Q$504,"&lt;&gt;Aplicar"))</x:f>
        <x:v>0</x:v>
      </x:c>
      <x:c r="T28" s="28" t="str">
        <x:f>IF(AND(C28&lt;&gt;"",ISNUMBER(O28),O28&lt;='AJUSTES'!$B$4,ISNUMBER(E28)),ROUND(E28-G28,2),"")</x:f>
      </x:c>
    </x:row>
    <x:row r="29" ht="25" customHeight="1">
      <x:c r="A29" s="22" t="str">
        <x:v>V-025</x:v>
      </x:c>
      <x:c r="B29" s="25" t="n">
        <x:v>46242</x:v>
      </x:c>
      <x:c r="C29" s="26" t="str">
        <x:v>Gregor</x:v>
      </x:c>
      <x:c r="D29" s="26" t="str">
        <x:v>Bharara Blue</x:v>
      </x:c>
      <x:c r="E29" s="27" t="n">
        <x:v>18</x:v>
      </x:c>
      <x:c r="F29" s="26" t="str">
        <x:v>Sin confirmar</x:v>
      </x:c>
      <x:c r="G29" s="28" t="n">
        <x:f>IF(C29="","",SUMIFS('PAGOS'!$K$5:$K$504,'PAGOS'!$C$5:$C$504,A29,'PAGOS'!$Q$5:$Q$504,"Aplicar",'PAGOS'!$B$5:$B$504,"&lt;="&amp;'AJUSTES'!$B$4))</x:f>
        <x:v>0</x:v>
      </x:c>
      <x:c r="H29" s="28" t="str">
        <x:f>IF(C29="","",IF(AND(ISNUMBER(O29),O29&lt;='AJUSTES'!$B$4),0,IF(OR(P29&lt;&gt;"Incluir",NOT(ISNUMBER(E29)),B29="",B29&gt;'AJUSTES'!$B$4,S29&gt;0),"",MAX(0,ROUND(E29-G29,2)))))</x:f>
      </x:c>
      <x:c r="I29" s="22" t="str">
        <x:f>IF(C29="","",IF(P29="Anulada","Anulada",IF(B29&gt;'AJUSTES'!$B$4,"Posterior al corte",IF(NOT(ISNUMBER(H29)),"Por conciliar",IF(H29&lt;='AJUSTES'!$B$10,"Pagado",IF(J29&gt;0,"Moroso","Vigente"))))))</x:f>
        <x:v>Por conciliar</x:v>
      </x:c>
      <x:c r="J29" s="22" t="str">
        <x:f>IF(OR(C29="",NOT(ISNUMBER(H29)),NOT(ISNUMBER(N29))),"",IF(H29&gt;'AJUSTES'!$B$10,MAX(0,'AJUSTES'!$B$4-N29),0))</x:f>
      </x:c>
      <x:c r="K29" s="27" t="n">
        <x:v>18</x:v>
      </x:c>
      <x:c r="L29" s="26" t="str">
        <x:v>Gregor</x:v>
      </x:c>
      <x:c r="M29" s="26" t="n">
        <x:v>30</x:v>
      </x:c>
      <x:c r="N29" s="29" t="n">
        <x:f>IF(OR(NOT(ISNUMBER(B29)),NOT(ISNUMBER(M29))),"",B29+M29)</x:f>
        <x:v>46272</x:v>
      </x:c>
      <x:c r="O29" s="25" t="str"/>
      <x:c r="P29" s="26" t="str">
        <x:v>Revisar</x:v>
      </x:c>
      <x:c r="Q29" s="22" t="str">
        <x:v>Precio anotado como «18.GM» Gregor declaró cuentas pagadas, falta detalle</x:v>
      </x:c>
      <x:c r="R29" s="22" t="str">
        <x:v>Excel VENTAS!fila 28; M-0155</x:v>
      </x:c>
      <x:c r="S29" s="22" t="n">
        <x:f>IF(C29="","",COUNTIFS('PAGOS'!$C$5:$C$504,A29,'PAGOS'!$B$5:$B$504,"&gt;0",'PAGOS'!$B$5:$B$504,"&lt;="&amp;'AJUSTES'!$B$4,'PAGOS'!$N$5:$N$504,"Incluir",'PAGOS'!$Q$5:$Q$504,"&lt;&gt;Aplicar"))</x:f>
        <x:v>0</x:v>
      </x:c>
      <x:c r="T29" s="28" t="str">
        <x:f>IF(AND(C29&lt;&gt;"",ISNUMBER(O29),O29&lt;='AJUSTES'!$B$4,ISNUMBER(E29)),ROUND(E29-G29,2),"")</x:f>
      </x:c>
    </x:row>
    <x:row r="30" ht="25" customHeight="1">
      <x:c r="A30" s="22" t="str">
        <x:v>V-026</x:v>
      </x:c>
      <x:c r="B30" s="25" t="n">
        <x:v>46242</x:v>
      </x:c>
      <x:c r="C30" s="26" t="str">
        <x:v>Hidelberg</x:v>
      </x:c>
      <x:c r="D30" s="26" t="str">
        <x:v>Tommy</x:v>
      </x:c>
      <x:c r="E30" s="27" t="n">
        <x:v>12</x:v>
      </x:c>
      <x:c r="F30" s="26" t="str">
        <x:v>Sin confirmar</x:v>
      </x:c>
      <x:c r="G30" s="28" t="n">
        <x:f>IF(C30="","",SUMIFS('PAGOS'!$K$5:$K$504,'PAGOS'!$C$5:$C$504,A30,'PAGOS'!$Q$5:$Q$504,"Aplicar",'PAGOS'!$B$5:$B$504,"&lt;="&amp;'AJUSTES'!$B$4))</x:f>
        <x:v>0</x:v>
      </x:c>
      <x:c r="H30" s="28" t="n">
        <x:f>IF(C30="","",IF(AND(ISNUMBER(O30),O30&lt;='AJUSTES'!$B$4),0,IF(OR(P30&lt;&gt;"Incluir",NOT(ISNUMBER(E30)),B30="",B30&gt;'AJUSTES'!$B$4,S30&gt;0),"",MAX(0,ROUND(E30-G30,2)))))</x:f>
        <x:v>12</x:v>
      </x:c>
      <x:c r="I30" s="22" t="str">
        <x:f>IF(C30="","",IF(P30="Anulada","Anulada",IF(B30&gt;'AJUSTES'!$B$4,"Posterior al corte",IF(NOT(ISNUMBER(H30)),"Por conciliar",IF(H30&lt;='AJUSTES'!$B$10,"Pagado",IF(J30&gt;0,"Moroso","Vigente"))))))</x:f>
        <x:v>Moroso</x:v>
      </x:c>
      <x:c r="J30" s="22" t="n">
        <x:f>IF(OR(C30="",NOT(ISNUMBER(H30)),NOT(ISNUMBER(N30))),"",IF(H30&gt;'AJUSTES'!$B$10,MAX(0,'AJUSTES'!$B$4-N30),0))</x:f>
        <x:v>17</x:v>
      </x:c>
      <x:c r="K30" s="27" t="n">
        <x:v>12</x:v>
      </x:c>
      <x:c r="L30" s="26" t="str">
        <x:v>Hidelberg</x:v>
      </x:c>
      <x:c r="M30" s="26" t="n">
        <x:v>30</x:v>
      </x:c>
      <x:c r="N30" s="29" t="n">
        <x:f>IF(OR(NOT(ISNUMBER(B30)),NOT(ISNUMBER(M30))),"",B30+M30)</x:f>
        <x:v>46272</x:v>
      </x:c>
      <x:c r="O30" s="25" t="str"/>
      <x:c r="P30" s="26" t="str">
        <x:v>Incluir</x:v>
      </x:c>
      <x:c r="Q30" s="22" t="str">
        <x:v>Precio anotado como «12.GM»</x:v>
      </x:c>
      <x:c r="R30" s="22" t="str">
        <x:v>Excel VENTAS!fila 29; M-0156</x:v>
      </x:c>
      <x:c r="S30" s="22" t="n">
        <x:f>IF(C30="","",COUNTIFS('PAGOS'!$C$5:$C$504,A30,'PAGOS'!$B$5:$B$504,"&gt;0",'PAGOS'!$B$5:$B$504,"&lt;="&amp;'AJUSTES'!$B$4,'PAGOS'!$N$5:$N$504,"Incluir",'PAGOS'!$Q$5:$Q$504,"&lt;&gt;Aplicar"))</x:f>
        <x:v>0</x:v>
      </x:c>
      <x:c r="T30" s="28" t="str">
        <x:f>IF(AND(C30&lt;&gt;"",ISNUMBER(O30),O30&lt;='AJUSTES'!$B$4,ISNUMBER(E30)),ROUND(E30-G30,2),"")</x:f>
      </x:c>
    </x:row>
    <x:row r="31" ht="25" customHeight="1">
      <x:c r="A31" s="22" t="str">
        <x:v>V-027</x:v>
      </x:c>
      <x:c r="B31" s="25" t="n">
        <x:v>46243</x:v>
      </x:c>
      <x:c r="C31" s="26" t="str">
        <x:v>Juan Herrade</x:v>
      </x:c>
      <x:c r="D31" s="26" t="str">
        <x:v>Sauvage Dior</x:v>
      </x:c>
      <x:c r="E31" s="27" t="n">
        <x:v>22</x:v>
      </x:c>
      <x:c r="F31" s="26" t="str">
        <x:v>BCV</x:v>
      </x:c>
      <x:c r="G31" s="28" t="n">
        <x:f>IF(C31="","",SUMIFS('PAGOS'!$K$5:$K$504,'PAGOS'!$C$5:$C$504,A31,'PAGOS'!$Q$5:$Q$504,"Aplicar",'PAGOS'!$B$5:$B$504,"&lt;="&amp;'AJUSTES'!$B$4))</x:f>
        <x:v>20</x:v>
      </x:c>
      <x:c r="H31" s="28" t="n">
        <x:f>IF(C31="","",IF(AND(ISNUMBER(O31),O31&lt;='AJUSTES'!$B$4),0,IF(OR(P31&lt;&gt;"Incluir",NOT(ISNUMBER(E31)),B31="",B31&gt;'AJUSTES'!$B$4,S31&gt;0),"",MAX(0,ROUND(E31-G31,2)))))</x:f>
        <x:v>2</x:v>
      </x:c>
      <x:c r="I31" s="22" t="str">
        <x:f>IF(C31="","",IF(P31="Anulada","Anulada",IF(B31&gt;'AJUSTES'!$B$4,"Posterior al corte",IF(NOT(ISNUMBER(H31)),"Por conciliar",IF(H31&lt;='AJUSTES'!$B$10,"Pagado",IF(J31&gt;0,"Moroso","Vigente"))))))</x:f>
        <x:v>Moroso</x:v>
      </x:c>
      <x:c r="J31" s="22" t="n">
        <x:f>IF(OR(C31="",NOT(ISNUMBER(H31)),NOT(ISNUMBER(N31))),"",IF(H31&gt;'AJUSTES'!$B$10,MAX(0,'AJUSTES'!$B$4-N31),0))</x:f>
        <x:v>16</x:v>
      </x:c>
      <x:c r="K31" s="27" t="n">
        <x:v>12</x:v>
      </x:c>
      <x:c r="L31" s="26" t="str">
        <x:v>Gregory</x:v>
      </x:c>
      <x:c r="M31" s="26" t="n">
        <x:v>30</x:v>
      </x:c>
      <x:c r="N31" s="29" t="n">
        <x:f>IF(OR(NOT(ISNUMBER(B31)),NOT(ISNUMBER(M31))),"",B31+M31)</x:f>
        <x:v>46273</x:v>
      </x:c>
      <x:c r="O31" s="25" t="str"/>
      <x:c r="P31" s="26" t="str">
        <x:v>Incluir</x:v>
      </x:c>
      <x:c r="Q31" s="22" t="str"/>
      <x:c r="R31" s="22" t="str">
        <x:v>Excel VENTAS!fila 30; M-0159</x:v>
      </x:c>
      <x:c r="S31" s="22" t="n">
        <x:f>IF(C31="","",COUNTIFS('PAGOS'!$C$5:$C$504,A31,'PAGOS'!$B$5:$B$504,"&gt;0",'PAGOS'!$B$5:$B$504,"&lt;="&amp;'AJUSTES'!$B$4,'PAGOS'!$N$5:$N$504,"Incluir",'PAGOS'!$Q$5:$Q$504,"&lt;&gt;Aplicar"))</x:f>
        <x:v>0</x:v>
      </x:c>
      <x:c r="T31" s="28" t="str">
        <x:f>IF(AND(C31&lt;&gt;"",ISNUMBER(O31),O31&lt;='AJUSTES'!$B$4,ISNUMBER(E31)),ROUND(E31-G31,2),"")</x:f>
      </x:c>
    </x:row>
    <x:row r="32" ht="25" customHeight="1">
      <x:c r="A32" s="22" t="str">
        <x:v>V-028</x:v>
      </x:c>
      <x:c r="B32" s="25" t="n">
        <x:v>46243</x:v>
      </x:c>
      <x:c r="C32" s="26" t="str">
        <x:v>Juan Herrade</x:v>
      </x:c>
      <x:c r="D32" s="26" t="str">
        <x:v>Swiss Army</x:v>
      </x:c>
      <x:c r="E32" s="27" t="n">
        <x:v>22</x:v>
      </x:c>
      <x:c r="F32" s="26" t="str">
        <x:v>BCV</x:v>
      </x:c>
      <x:c r="G32" s="28" t="n">
        <x:f>IF(C32="","",SUMIFS('PAGOS'!$K$5:$K$504,'PAGOS'!$C$5:$C$504,A32,'PAGOS'!$Q$5:$Q$504,"Aplicar",'PAGOS'!$B$5:$B$504,"&lt;="&amp;'AJUSTES'!$B$4))</x:f>
        <x:v>0</x:v>
      </x:c>
      <x:c r="H32" s="28" t="n">
        <x:f>IF(C32="","",IF(AND(ISNUMBER(O32),O32&lt;='AJUSTES'!$B$4),0,IF(OR(P32&lt;&gt;"Incluir",NOT(ISNUMBER(E32)),B32="",B32&gt;'AJUSTES'!$B$4,S32&gt;0),"",MAX(0,ROUND(E32-G32,2)))))</x:f>
        <x:v>22</x:v>
      </x:c>
      <x:c r="I32" s="22" t="str">
        <x:f>IF(C32="","",IF(P32="Anulada","Anulada",IF(B32&gt;'AJUSTES'!$B$4,"Posterior al corte",IF(NOT(ISNUMBER(H32)),"Por conciliar",IF(H32&lt;='AJUSTES'!$B$10,"Pagado",IF(J32&gt;0,"Moroso","Vigente"))))))</x:f>
        <x:v>Moroso</x:v>
      </x:c>
      <x:c r="J32" s="22" t="n">
        <x:f>IF(OR(C32="",NOT(ISNUMBER(H32)),NOT(ISNUMBER(N32))),"",IF(H32&gt;'AJUSTES'!$B$10,MAX(0,'AJUSTES'!$B$4-N32),0))</x:f>
        <x:v>16</x:v>
      </x:c>
      <x:c r="K32" s="27" t="n">
        <x:v>9.5</x:v>
      </x:c>
      <x:c r="L32" s="26" t="str">
        <x:v>Gregory</x:v>
      </x:c>
      <x:c r="M32" s="26" t="n">
        <x:v>30</x:v>
      </x:c>
      <x:c r="N32" s="29" t="n">
        <x:f>IF(OR(NOT(ISNUMBER(B32)),NOT(ISNUMBER(M32))),"",B32+M32)</x:f>
        <x:v>46273</x:v>
      </x:c>
      <x:c r="O32" s="25" t="str"/>
      <x:c r="P32" s="26" t="str">
        <x:v>Incluir</x:v>
      </x:c>
      <x:c r="Q32" s="22" t="str"/>
      <x:c r="R32" s="22" t="str">
        <x:v>Excel VENTAS!fila 31; M-0160</x:v>
      </x:c>
      <x:c r="S32" s="22" t="n">
        <x:f>IF(C32="","",COUNTIFS('PAGOS'!$C$5:$C$504,A32,'PAGOS'!$B$5:$B$504,"&gt;0",'PAGOS'!$B$5:$B$504,"&lt;="&amp;'AJUSTES'!$B$4,'PAGOS'!$N$5:$N$504,"Incluir",'PAGOS'!$Q$5:$Q$504,"&lt;&gt;Aplicar"))</x:f>
        <x:v>0</x:v>
      </x:c>
      <x:c r="T32" s="28" t="str">
        <x:f>IF(AND(C32&lt;&gt;"",ISNUMBER(O32),O32&lt;='AJUSTES'!$B$4,ISNUMBER(E32)),ROUND(E32-G32,2),"")</x:f>
      </x:c>
    </x:row>
    <x:row r="33" ht="25" customHeight="1">
      <x:c r="A33" s="22" t="str">
        <x:v>V-029</x:v>
      </x:c>
      <x:c r="B33" s="25" t="n">
        <x:v>46243</x:v>
      </x:c>
      <x:c r="C33" s="26" t="str">
        <x:v>Ricardo Palacios</x:v>
      </x:c>
      <x:c r="D33" s="26" t="str">
        <x:v>Eros Flame</x:v>
      </x:c>
      <x:c r="E33" s="27" t="n">
        <x:v>22</x:v>
      </x:c>
      <x:c r="F33" s="26" t="str">
        <x:v>BCV</x:v>
      </x:c>
      <x:c r="G33" s="28" t="n">
        <x:f>IF(C33="","",SUMIFS('PAGOS'!$K$5:$K$504,'PAGOS'!$C$5:$C$504,A33,'PAGOS'!$Q$5:$Q$504,"Aplicar",'PAGOS'!$B$5:$B$504,"&lt;="&amp;'AJUSTES'!$B$4))</x:f>
        <x:v>0</x:v>
      </x:c>
      <x:c r="H33" s="28" t="str">
        <x:f>IF(C33="","",IF(AND(ISNUMBER(O33),O33&lt;='AJUSTES'!$B$4),0,IF(OR(P33&lt;&gt;"Incluir",NOT(ISNUMBER(E33)),B33="",B33&gt;'AJUSTES'!$B$4,S33&gt;0),"",MAX(0,ROUND(E33-G33,2)))))</x:f>
      </x:c>
      <x:c r="I33" s="22" t="str">
        <x:f>IF(C33="","",IF(P33="Anulada","Anulada",IF(B33&gt;'AJUSTES'!$B$4,"Posterior al corte",IF(NOT(ISNUMBER(H33)),"Por conciliar",IF(H33&lt;='AJUSTES'!$B$10,"Pagado",IF(J33&gt;0,"Moroso","Vigente"))))))</x:f>
        <x:v>Por conciliar</x:v>
      </x:c>
      <x:c r="J33" s="22" t="str">
        <x:f>IF(OR(C33="",NOT(ISNUMBER(H33)),NOT(ISNUMBER(N33))),"",IF(H33&gt;'AJUSTES'!$B$10,MAX(0,'AJUSTES'!$B$4-N33),0))</x:f>
      </x:c>
      <x:c r="K33" s="27" t="n">
        <x:v>12</x:v>
      </x:c>
      <x:c r="L33" s="26" t="str">
        <x:v>Gregor</x:v>
      </x:c>
      <x:c r="M33" s="26" t="n">
        <x:v>30</x:v>
      </x:c>
      <x:c r="N33" s="29" t="n">
        <x:f>IF(OR(NOT(ISNUMBER(B33)),NOT(ISNUMBER(M33))),"",B33+M33)</x:f>
        <x:v>46273</x:v>
      </x:c>
      <x:c r="O33" s="25" t="str"/>
      <x:c r="P33" s="26" t="str">
        <x:v>Revisar</x:v>
      </x:c>
      <x:c r="Q33" s="22" t="str">
        <x:v> Gregor declaró cuentas pagadas, falta detalle</x:v>
      </x:c>
      <x:c r="R33" s="22" t="str">
        <x:v>Excel VENTAS!fila 32; M-0161</x:v>
      </x:c>
      <x:c r="S33" s="22" t="n">
        <x:f>IF(C33="","",COUNTIFS('PAGOS'!$C$5:$C$504,A33,'PAGOS'!$B$5:$B$504,"&gt;0",'PAGOS'!$B$5:$B$504,"&lt;="&amp;'AJUSTES'!$B$4,'PAGOS'!$N$5:$N$504,"Incluir",'PAGOS'!$Q$5:$Q$504,"&lt;&gt;Aplicar"))</x:f>
        <x:v>0</x:v>
      </x:c>
      <x:c r="T33" s="28" t="str">
        <x:f>IF(AND(C33&lt;&gt;"",ISNUMBER(O33),O33&lt;='AJUSTES'!$B$4,ISNUMBER(E33)),ROUND(E33-G33,2),"")</x:f>
      </x:c>
    </x:row>
    <x:row r="34" ht="25" customHeight="1">
      <x:c r="A34" s="22" t="str">
        <x:v>V-030</x:v>
      </x:c>
      <x:c r="B34" s="25" t="n">
        <x:v>46243</x:v>
      </x:c>
      <x:c r="C34" s="26" t="str">
        <x:v>Ricardo Palacios</x:v>
      </x:c>
      <x:c r="D34" s="26" t="str">
        <x:v>Mandarin Sky</x:v>
      </x:c>
      <x:c r="E34" s="27" t="n">
        <x:v>30</x:v>
      </x:c>
      <x:c r="F34" s="26" t="str">
        <x:v>BCV</x:v>
      </x:c>
      <x:c r="G34" s="28" t="n">
        <x:f>IF(C34="","",SUMIFS('PAGOS'!$K$5:$K$504,'PAGOS'!$C$5:$C$504,A34,'PAGOS'!$Q$5:$Q$504,"Aplicar",'PAGOS'!$B$5:$B$504,"&lt;="&amp;'AJUSTES'!$B$4))</x:f>
        <x:v>0</x:v>
      </x:c>
      <x:c r="H34" s="28" t="str">
        <x:f>IF(C34="","",IF(AND(ISNUMBER(O34),O34&lt;='AJUSTES'!$B$4),0,IF(OR(P34&lt;&gt;"Incluir",NOT(ISNUMBER(E34)),B34="",B34&gt;'AJUSTES'!$B$4,S34&gt;0),"",MAX(0,ROUND(E34-G34,2)))))</x:f>
      </x:c>
      <x:c r="I34" s="22" t="str">
        <x:f>IF(C34="","",IF(P34="Anulada","Anulada",IF(B34&gt;'AJUSTES'!$B$4,"Posterior al corte",IF(NOT(ISNUMBER(H34)),"Por conciliar",IF(H34&lt;='AJUSTES'!$B$10,"Pagado",IF(J34&gt;0,"Moroso","Vigente"))))))</x:f>
        <x:v>Por conciliar</x:v>
      </x:c>
      <x:c r="J34" s="22" t="str">
        <x:f>IF(OR(C34="",NOT(ISNUMBER(H34)),NOT(ISNUMBER(N34))),"",IF(H34&gt;'AJUSTES'!$B$10,MAX(0,'AJUSTES'!$B$4-N34),0))</x:f>
      </x:c>
      <x:c r="K34" s="27" t="n">
        <x:v>15</x:v>
      </x:c>
      <x:c r="L34" s="26" t="str">
        <x:v>Gregor</x:v>
      </x:c>
      <x:c r="M34" s="26" t="n">
        <x:v>30</x:v>
      </x:c>
      <x:c r="N34" s="29" t="n">
        <x:f>IF(OR(NOT(ISNUMBER(B34)),NOT(ISNUMBER(M34))),"",B34+M34)</x:f>
        <x:v>46273</x:v>
      </x:c>
      <x:c r="O34" s="25" t="str"/>
      <x:c r="P34" s="26" t="str">
        <x:v>Revisar</x:v>
      </x:c>
      <x:c r="Q34" s="22" t="str">
        <x:v> Precio Excel 22; chat 30.0. Gregor declaró cuentas pagadas, falta detalle</x:v>
      </x:c>
      <x:c r="R34" s="22" t="str">
        <x:v>Excel VENTAS!fila 33; M-0162</x:v>
      </x:c>
      <x:c r="S34" s="22" t="n">
        <x:f>IF(C34="","",COUNTIFS('PAGOS'!$C$5:$C$504,A34,'PAGOS'!$B$5:$B$504,"&gt;0",'PAGOS'!$B$5:$B$504,"&lt;="&amp;'AJUSTES'!$B$4,'PAGOS'!$N$5:$N$504,"Incluir",'PAGOS'!$Q$5:$Q$504,"&lt;&gt;Aplicar"))</x:f>
        <x:v>0</x:v>
      </x:c>
      <x:c r="T34" s="28" t="str">
        <x:f>IF(AND(C34&lt;&gt;"",ISNUMBER(O34),O34&lt;='AJUSTES'!$B$4,ISNUMBER(E34)),ROUND(E34-G34,2),"")</x:f>
      </x:c>
    </x:row>
    <x:row r="35" ht="25" customHeight="1">
      <x:c r="A35" s="22" t="str">
        <x:v>V-031</x:v>
      </x:c>
      <x:c r="B35" s="25" t="n">
        <x:v>46244</x:v>
      </x:c>
      <x:c r="C35" s="26" t="str">
        <x:v>Jeferson Mejías</x:v>
      </x:c>
      <x:c r="D35" s="26" t="str">
        <x:v>Bharara King</x:v>
      </x:c>
      <x:c r="E35" s="27" t="n">
        <x:v>42</x:v>
      </x:c>
      <x:c r="F35" s="26" t="str">
        <x:v>BCV</x:v>
      </x:c>
      <x:c r="G35" s="28" t="n">
        <x:f>IF(C35="","",SUMIFS('PAGOS'!$K$5:$K$504,'PAGOS'!$C$5:$C$504,A35,'PAGOS'!$Q$5:$Q$504,"Aplicar",'PAGOS'!$B$5:$B$504,"&lt;="&amp;'AJUSTES'!$B$4))</x:f>
        <x:v>0</x:v>
      </x:c>
      <x:c r="H35" s="28" t="n">
        <x:f>IF(C35="","",IF(AND(ISNUMBER(O35),O35&lt;='AJUSTES'!$B$4),0,IF(OR(P35&lt;&gt;"Incluir",NOT(ISNUMBER(E35)),B35="",B35&gt;'AJUSTES'!$B$4,S35&gt;0),"",MAX(0,ROUND(E35-G35,2)))))</x:f>
        <x:v>42</x:v>
      </x:c>
      <x:c r="I35" s="22" t="str">
        <x:f>IF(C35="","",IF(P35="Anulada","Anulada",IF(B35&gt;'AJUSTES'!$B$4,"Posterior al corte",IF(NOT(ISNUMBER(H35)),"Por conciliar",IF(H35&lt;='AJUSTES'!$B$10,"Pagado",IF(J35&gt;0,"Moroso","Vigente"))))))</x:f>
        <x:v>Moroso</x:v>
      </x:c>
      <x:c r="J35" s="22" t="n">
        <x:f>IF(OR(C35="",NOT(ISNUMBER(H35)),NOT(ISNUMBER(N35))),"",IF(H35&gt;'AJUSTES'!$B$10,MAX(0,'AJUSTES'!$B$4-N35),0))</x:f>
        <x:v>15</x:v>
      </x:c>
      <x:c r="K35" s="27" t="n">
        <x:v>20</x:v>
      </x:c>
      <x:c r="L35" s="26" t="str">
        <x:v>Hidelberg</x:v>
      </x:c>
      <x:c r="M35" s="26" t="n">
        <x:v>30</x:v>
      </x:c>
      <x:c r="N35" s="29" t="n">
        <x:f>IF(OR(NOT(ISNUMBER(B35)),NOT(ISNUMBER(M35))),"",B35+M35)</x:f>
        <x:v>46274</x:v>
      </x:c>
      <x:c r="O35" s="25" t="str"/>
      <x:c r="P35" s="26" t="str">
        <x:v>Incluir</x:v>
      </x:c>
      <x:c r="Q35" s="22" t="str"/>
      <x:c r="R35" s="22" t="str">
        <x:v>Excel VENTAS!fila 34; M-0171</x:v>
      </x:c>
      <x:c r="S35" s="22" t="n">
        <x:f>IF(C35="","",COUNTIFS('PAGOS'!$C$5:$C$504,A35,'PAGOS'!$B$5:$B$504,"&gt;0",'PAGOS'!$B$5:$B$504,"&lt;="&amp;'AJUSTES'!$B$4,'PAGOS'!$N$5:$N$504,"Incluir",'PAGOS'!$Q$5:$Q$504,"&lt;&gt;Aplicar"))</x:f>
        <x:v>0</x:v>
      </x:c>
      <x:c r="T35" s="28" t="str">
        <x:f>IF(AND(C35&lt;&gt;"",ISNUMBER(O35),O35&lt;='AJUSTES'!$B$4,ISNUMBER(E35)),ROUND(E35-G35,2),"")</x:f>
      </x:c>
    </x:row>
    <x:row r="36" ht="25" customHeight="1">
      <x:c r="A36" s="22" t="str">
        <x:v>V-032</x:v>
      </x:c>
      <x:c r="B36" s="25" t="n">
        <x:v>46245</x:v>
      </x:c>
      <x:c r="C36" s="26" t="str">
        <x:v>Apostol</x:v>
      </x:c>
      <x:c r="D36" s="26" t="str">
        <x:v>Sauvage Dior</x:v>
      </x:c>
      <x:c r="E36" s="27" t="n">
        <x:v>24</x:v>
      </x:c>
      <x:c r="F36" s="26" t="str">
        <x:v>BCV</x:v>
      </x:c>
      <x:c r="G36" s="28" t="n">
        <x:f>IF(C36="","",SUMIFS('PAGOS'!$K$5:$K$504,'PAGOS'!$C$5:$C$504,A36,'PAGOS'!$Q$5:$Q$504,"Aplicar",'PAGOS'!$B$5:$B$504,"&lt;="&amp;'AJUSTES'!$B$4))</x:f>
        <x:v>12</x:v>
      </x:c>
      <x:c r="H36" s="28" t="n">
        <x:f>IF(C36="","",IF(AND(ISNUMBER(O36),O36&lt;='AJUSTES'!$B$4),0,IF(OR(P36&lt;&gt;"Incluir",NOT(ISNUMBER(E36)),B36="",B36&gt;'AJUSTES'!$B$4,S36&gt;0),"",MAX(0,ROUND(E36-G36,2)))))</x:f>
        <x:v>12</x:v>
      </x:c>
      <x:c r="I36" s="22" t="str">
        <x:f>IF(C36="","",IF(P36="Anulada","Anulada",IF(B36&gt;'AJUSTES'!$B$4,"Posterior al corte",IF(NOT(ISNUMBER(H36)),"Por conciliar",IF(H36&lt;='AJUSTES'!$B$10,"Pagado",IF(J36&gt;0,"Moroso","Vigente"))))))</x:f>
        <x:v>Moroso</x:v>
      </x:c>
      <x:c r="J36" s="22" t="n">
        <x:f>IF(OR(C36="",NOT(ISNUMBER(H36)),NOT(ISNUMBER(N36))),"",IF(H36&gt;'AJUSTES'!$B$10,MAX(0,'AJUSTES'!$B$4-N36),0))</x:f>
        <x:v>14</x:v>
      </x:c>
      <x:c r="K36" s="27" t="n">
        <x:v>12</x:v>
      </x:c>
      <x:c r="L36" s="26" t="str">
        <x:v>Gregory</x:v>
      </x:c>
      <x:c r="M36" s="26" t="n">
        <x:v>30</x:v>
      </x:c>
      <x:c r="N36" s="29" t="n">
        <x:f>IF(OR(NOT(ISNUMBER(B36)),NOT(ISNUMBER(M36))),"",B36+M36)</x:f>
        <x:v>46275</x:v>
      </x:c>
      <x:c r="O36" s="25" t="str"/>
      <x:c r="P36" s="26" t="str">
        <x:v>Incluir</x:v>
      </x:c>
      <x:c r="Q36" s="22" t="str"/>
      <x:c r="R36" s="22" t="str">
        <x:v>Excel VENTAS!fila 35; M-0172</x:v>
      </x:c>
      <x:c r="S36" s="22" t="n">
        <x:f>IF(C36="","",COUNTIFS('PAGOS'!$C$5:$C$504,A36,'PAGOS'!$B$5:$B$504,"&gt;0",'PAGOS'!$B$5:$B$504,"&lt;="&amp;'AJUSTES'!$B$4,'PAGOS'!$N$5:$N$504,"Incluir",'PAGOS'!$Q$5:$Q$504,"&lt;&gt;Aplicar"))</x:f>
        <x:v>0</x:v>
      </x:c>
      <x:c r="T36" s="28" t="str">
        <x:f>IF(AND(C36&lt;&gt;"",ISNUMBER(O36),O36&lt;='AJUSTES'!$B$4,ISNUMBER(E36)),ROUND(E36-G36,2),"")</x:f>
      </x:c>
    </x:row>
    <x:row r="37" ht="25" customHeight="1">
      <x:c r="A37" s="22" t="str">
        <x:v>V-033</x:v>
      </x:c>
      <x:c r="B37" s="25" t="n">
        <x:v>46244</x:v>
      </x:c>
      <x:c r="C37" s="26" t="str">
        <x:v>Hade Mirleidy</x:v>
      </x:c>
      <x:c r="D37" s="26" t="str">
        <x:v>Yara Elixir</x:v>
      </x:c>
      <x:c r="E37" s="27" t="n">
        <x:v>24</x:v>
      </x:c>
      <x:c r="F37" s="26" t="str">
        <x:v>BCV</x:v>
      </x:c>
      <x:c r="G37" s="28" t="n">
        <x:f>IF(C37="","",SUMIFS('PAGOS'!$K$5:$K$504,'PAGOS'!$C$5:$C$504,A37,'PAGOS'!$Q$5:$Q$504,"Aplicar",'PAGOS'!$B$5:$B$504,"&lt;="&amp;'AJUSTES'!$B$4))</x:f>
        <x:v>0</x:v>
      </x:c>
      <x:c r="H37" s="28" t="str">
        <x:f>IF(C37="","",IF(AND(ISNUMBER(O37),O37&lt;='AJUSTES'!$B$4),0,IF(OR(P37&lt;&gt;"Incluir",NOT(ISNUMBER(E37)),B37="",B37&gt;'AJUSTES'!$B$4,S37&gt;0),"",MAX(0,ROUND(E37-G37,2)))))</x:f>
      </x:c>
      <x:c r="I37" s="22" t="str">
        <x:f>IF(C37="","",IF(P37="Anulada","Anulada",IF(B37&gt;'AJUSTES'!$B$4,"Posterior al corte",IF(NOT(ISNUMBER(H37)),"Por conciliar",IF(H37&lt;='AJUSTES'!$B$10,"Pagado",IF(J37&gt;0,"Moroso","Vigente"))))))</x:f>
        <x:v>Por conciliar</x:v>
      </x:c>
      <x:c r="J37" s="22" t="str">
        <x:f>IF(OR(C37="",NOT(ISNUMBER(H37)),NOT(ISNUMBER(N37))),"",IF(H37&gt;'AJUSTES'!$B$10,MAX(0,'AJUSTES'!$B$4-N37),0))</x:f>
      </x:c>
      <x:c r="K37" s="27" t="n">
        <x:v>12</x:v>
      </x:c>
      <x:c r="L37" s="26" t="str">
        <x:v>Gregor</x:v>
      </x:c>
      <x:c r="M37" s="26" t="n">
        <x:v>30</x:v>
      </x:c>
      <x:c r="N37" s="29" t="n">
        <x:f>IF(OR(NOT(ISNUMBER(B37)),NOT(ISNUMBER(M37))),"",B37+M37)</x:f>
        <x:v>46274</x:v>
      </x:c>
      <x:c r="O37" s="25" t="str"/>
      <x:c r="P37" s="26" t="str">
        <x:v>Revisar</x:v>
      </x:c>
      <x:c r="Q37" s="22" t="str">
        <x:v> Gregor declaró cuentas pagadas, falta detalle</x:v>
      </x:c>
      <x:c r="R37" s="22" t="str">
        <x:v>Excel VENTAS!fila 36; M-0180</x:v>
      </x:c>
      <x:c r="S37" s="22" t="n">
        <x:f>IF(C37="","",COUNTIFS('PAGOS'!$C$5:$C$504,A37,'PAGOS'!$B$5:$B$504,"&gt;0",'PAGOS'!$B$5:$B$504,"&lt;="&amp;'AJUSTES'!$B$4,'PAGOS'!$N$5:$N$504,"Incluir",'PAGOS'!$Q$5:$Q$504,"&lt;&gt;Aplicar"))</x:f>
        <x:v>0</x:v>
      </x:c>
      <x:c r="T37" s="28" t="str">
        <x:f>IF(AND(C37&lt;&gt;"",ISNUMBER(O37),O37&lt;='AJUSTES'!$B$4,ISNUMBER(E37)),ROUND(E37-G37,2),"")</x:f>
      </x:c>
    </x:row>
    <x:row r="38" ht="25" customHeight="1">
      <x:c r="A38" s="22" t="str">
        <x:v>V-034</x:v>
      </x:c>
      <x:c r="B38" s="25" t="n">
        <x:v>46244</x:v>
      </x:c>
      <x:c r="C38" s="26" t="str">
        <x:v>Luis Sequera</x:v>
      </x:c>
      <x:c r="D38" s="26" t="str">
        <x:v>Mandarin Sky</x:v>
      </x:c>
      <x:c r="E38" s="27" t="n">
        <x:v>32</x:v>
      </x:c>
      <x:c r="F38" s="26" t="str">
        <x:v>BCV</x:v>
      </x:c>
      <x:c r="G38" s="28" t="n">
        <x:f>IF(C38="","",SUMIFS('PAGOS'!$K$5:$K$504,'PAGOS'!$C$5:$C$504,A38,'PAGOS'!$Q$5:$Q$504,"Aplicar",'PAGOS'!$B$5:$B$504,"&lt;="&amp;'AJUSTES'!$B$4))</x:f>
        <x:v>0</x:v>
      </x:c>
      <x:c r="H38" s="28" t="str">
        <x:f>IF(C38="","",IF(AND(ISNUMBER(O38),O38&lt;='AJUSTES'!$B$4),0,IF(OR(P38&lt;&gt;"Incluir",NOT(ISNUMBER(E38)),B38="",B38&gt;'AJUSTES'!$B$4,S38&gt;0),"",MAX(0,ROUND(E38-G38,2)))))</x:f>
      </x:c>
      <x:c r="I38" s="22" t="str">
        <x:f>IF(C38="","",IF(P38="Anulada","Anulada",IF(B38&gt;'AJUSTES'!$B$4,"Posterior al corte",IF(NOT(ISNUMBER(H38)),"Por conciliar",IF(H38&lt;='AJUSTES'!$B$10,"Pagado",IF(J38&gt;0,"Moroso","Vigente"))))))</x:f>
        <x:v>Por conciliar</x:v>
      </x:c>
      <x:c r="J38" s="22" t="str">
        <x:f>IF(OR(C38="",NOT(ISNUMBER(H38)),NOT(ISNUMBER(N38))),"",IF(H38&gt;'AJUSTES'!$B$10,MAX(0,'AJUSTES'!$B$4-N38),0))</x:f>
      </x:c>
      <x:c r="K38" s="27" t="n">
        <x:v>15</x:v>
      </x:c>
      <x:c r="L38" s="26" t="str">
        <x:v>Gregor</x:v>
      </x:c>
      <x:c r="M38" s="26" t="n">
        <x:v>30</x:v>
      </x:c>
      <x:c r="N38" s="29" t="n">
        <x:f>IF(OR(NOT(ISNUMBER(B38)),NOT(ISNUMBER(M38))),"",B38+M38)</x:f>
        <x:v>46274</x:v>
      </x:c>
      <x:c r="O38" s="25" t="str"/>
      <x:c r="P38" s="26" t="str">
        <x:v>Revisar</x:v>
      </x:c>
      <x:c r="Q38" s="22" t="str">
        <x:v> Gregor declaró cuentas pagadas, falta detalle</x:v>
      </x:c>
      <x:c r="R38" s="22" t="str">
        <x:v>Excel VENTAS!fila 37; M-0181</x:v>
      </x:c>
      <x:c r="S38" s="22" t="n">
        <x:f>IF(C38="","",COUNTIFS('PAGOS'!$C$5:$C$504,A38,'PAGOS'!$B$5:$B$504,"&gt;0",'PAGOS'!$B$5:$B$504,"&lt;="&amp;'AJUSTES'!$B$4,'PAGOS'!$N$5:$N$504,"Incluir",'PAGOS'!$Q$5:$Q$504,"&lt;&gt;Aplicar"))</x:f>
        <x:v>0</x:v>
      </x:c>
      <x:c r="T38" s="28" t="str">
        <x:f>IF(AND(C38&lt;&gt;"",ISNUMBER(O38),O38&lt;='AJUSTES'!$B$4,ISNUMBER(E38)),ROUND(E38-G38,2),"")</x:f>
      </x:c>
    </x:row>
    <x:row r="39" ht="25" customHeight="1">
      <x:c r="A39" s="22" t="str">
        <x:v>V-035</x:v>
      </x:c>
      <x:c r="B39" s="25" t="n">
        <x:v>46246</x:v>
      </x:c>
      <x:c r="C39" s="26" t="str">
        <x:v>Ricardo Gomez</x:v>
      </x:c>
      <x:c r="D39" s="26" t="str">
        <x:v>Club de Nuit Intense</x:v>
      </x:c>
      <x:c r="E39" s="27" t="n">
        <x:v>19</x:v>
      </x:c>
      <x:c r="F39" s="26" t="str">
        <x:v>USDT</x:v>
      </x:c>
      <x:c r="G39" s="28" t="n">
        <x:f>IF(C39="","",SUMIFS('PAGOS'!$K$5:$K$504,'PAGOS'!$C$5:$C$504,A39,'PAGOS'!$Q$5:$Q$504,"Aplicar",'PAGOS'!$B$5:$B$504,"&lt;="&amp;'AJUSTES'!$B$4))</x:f>
        <x:v>19</x:v>
      </x:c>
      <x:c r="H39" s="28" t="n">
        <x:f>IF(C39="","",IF(AND(ISNUMBER(O39),O39&lt;='AJUSTES'!$B$4),0,IF(OR(P39&lt;&gt;"Incluir",NOT(ISNUMBER(E39)),B39="",B39&gt;'AJUSTES'!$B$4,S39&gt;0),"",MAX(0,ROUND(E39-G39,2)))))</x:f>
        <x:v>0</x:v>
      </x:c>
      <x:c r="I39" s="22" t="str">
        <x:f>IF(C39="","",IF(P39="Anulada","Anulada",IF(B39&gt;'AJUSTES'!$B$4,"Posterior al corte",IF(NOT(ISNUMBER(H39)),"Por conciliar",IF(H39&lt;='AJUSTES'!$B$10,"Pagado",IF(J39&gt;0,"Moroso","Vigente"))))))</x:f>
        <x:v>Pagado</x:v>
      </x:c>
      <x:c r="J39" s="22" t="n">
        <x:f>IF(OR(C39="",NOT(ISNUMBER(H39)),NOT(ISNUMBER(N39))),"",IF(H39&gt;'AJUSTES'!$B$10,MAX(0,'AJUSTES'!$B$4-N39),0))</x:f>
        <x:v>0</x:v>
      </x:c>
      <x:c r="K39" s="27" t="n">
        <x:v>15</x:v>
      </x:c>
      <x:c r="L39" s="26" t="str">
        <x:v>Gregory</x:v>
      </x:c>
      <x:c r="M39" s="26" t="n">
        <x:v>30</x:v>
      </x:c>
      <x:c r="N39" s="29" t="n">
        <x:f>IF(OR(NOT(ISNUMBER(B39)),NOT(ISNUMBER(M39))),"",B39+M39)</x:f>
        <x:v>46276</x:v>
      </x:c>
      <x:c r="O39" s="25" t="n">
        <x:v>46252</x:v>
      </x:c>
      <x:c r="P39" s="26" t="str">
        <x:v>Incluir</x:v>
      </x:c>
      <x:c r="Q39" s="22" t="str">
        <x:v>Precio anotado como «19 usdt P.M» Cierre explícito en M-0248. Inicial representada en P-036.</x:v>
      </x:c>
      <x:c r="R39" s="22" t="str">
        <x:v>Excel VENTAS!fila 38; M-0209</x:v>
      </x:c>
      <x:c r="S39" s="22" t="n">
        <x:f>IF(C39="","",COUNTIFS('PAGOS'!$C$5:$C$504,A39,'PAGOS'!$B$5:$B$504,"&gt;0",'PAGOS'!$B$5:$B$504,"&lt;="&amp;'AJUSTES'!$B$4,'PAGOS'!$N$5:$N$504,"Incluir",'PAGOS'!$Q$5:$Q$504,"&lt;&gt;Aplicar"))</x:f>
        <x:v>0</x:v>
      </x:c>
      <x:c r="T39" s="28" t="n">
        <x:f>IF(AND(C39&lt;&gt;"",ISNUMBER(O39),O39&lt;='AJUSTES'!$B$4,ISNUMBER(E39)),ROUND(E39-G39,2),"")</x:f>
        <x:v>0</x:v>
      </x:c>
    </x:row>
    <x:row r="40" ht="25" customHeight="1">
      <x:c r="A40" s="22" t="str">
        <x:v>V-036</x:v>
      </x:c>
      <x:c r="B40" s="25" t="n">
        <x:v>46247</x:v>
      </x:c>
      <x:c r="C40" s="26" t="str">
        <x:v>Cristhian Gonzales</x:v>
      </x:c>
      <x:c r="D40" s="26" t="str">
        <x:v>9PM Rebel Original</x:v>
      </x:c>
      <x:c r="E40" s="27" t="n">
        <x:v>70</x:v>
      </x:c>
      <x:c r="F40" s="26" t="str">
        <x:v>BCV</x:v>
      </x:c>
      <x:c r="G40" s="28" t="n">
        <x:f>IF(C40="","",SUMIFS('PAGOS'!$K$5:$K$504,'PAGOS'!$C$5:$C$504,A40,'PAGOS'!$Q$5:$Q$504,"Aplicar",'PAGOS'!$B$5:$B$504,"&lt;="&amp;'AJUSTES'!$B$4))</x:f>
        <x:v>70</x:v>
      </x:c>
      <x:c r="H40" s="28" t="n">
        <x:f>IF(C40="","",IF(AND(ISNUMBER(O40),O40&lt;='AJUSTES'!$B$4),0,IF(OR(P40&lt;&gt;"Incluir",NOT(ISNUMBER(E40)),B40="",B40&gt;'AJUSTES'!$B$4,S40&gt;0),"",MAX(0,ROUND(E40-G40,2)))))</x:f>
        <x:v>0</x:v>
      </x:c>
      <x:c r="I40" s="22" t="str">
        <x:f>IF(C40="","",IF(P40="Anulada","Anulada",IF(B40&gt;'AJUSTES'!$B$4,"Posterior al corte",IF(NOT(ISNUMBER(H40)),"Por conciliar",IF(H40&lt;='AJUSTES'!$B$10,"Pagado",IF(J40&gt;0,"Moroso","Vigente"))))))</x:f>
        <x:v>Pagado</x:v>
      </x:c>
      <x:c r="J40" s="22" t="n">
        <x:f>IF(OR(C40="",NOT(ISNUMBER(H40)),NOT(ISNUMBER(N40))),"",IF(H40&gt;'AJUSTES'!$B$10,MAX(0,'AJUSTES'!$B$4-N40),0))</x:f>
        <x:v>0</x:v>
      </x:c>
      <x:c r="K40" s="27" t="n">
        <x:v>50</x:v>
      </x:c>
      <x:c r="L40" s="26" t="str">
        <x:v>Gregory</x:v>
      </x:c>
      <x:c r="M40" s="26" t="n">
        <x:v>30</x:v>
      </x:c>
      <x:c r="N40" s="29" t="n">
        <x:f>IF(OR(NOT(ISNUMBER(B40)),NOT(ISNUMBER(M40))),"",B40+M40)</x:f>
        <x:v>46277</x:v>
      </x:c>
      <x:c r="O40" s="25" t="n">
        <x:v>46283</x:v>
      </x:c>
      <x:c r="P40" s="26" t="str">
        <x:v>Incluir</x:v>
      </x:c>
      <x:c r="Q40" s="22" t="str">
        <x:v> Cierre explícito en M-0381.</x:v>
      </x:c>
      <x:c r="R40" s="22" t="str">
        <x:v>Excel VENTAS!fila 39; M-0208</x:v>
      </x:c>
      <x:c r="S40" s="22" t="n">
        <x:f>IF(C40="","",COUNTIFS('PAGOS'!$C$5:$C$504,A40,'PAGOS'!$B$5:$B$504,"&gt;0",'PAGOS'!$B$5:$B$504,"&lt;="&amp;'AJUSTES'!$B$4,'PAGOS'!$N$5:$N$504,"Incluir",'PAGOS'!$Q$5:$Q$504,"&lt;&gt;Aplicar"))</x:f>
        <x:v>0</x:v>
      </x:c>
      <x:c r="T40" s="28" t="n">
        <x:f>IF(AND(C40&lt;&gt;"",ISNUMBER(O40),O40&lt;='AJUSTES'!$B$4,ISNUMBER(E40)),ROUND(E40-G40,2),"")</x:f>
        <x:v>0</x:v>
      </x:c>
    </x:row>
    <x:row r="41" ht="25" customHeight="1">
      <x:c r="A41" s="22" t="str">
        <x:v>V-037</x:v>
      </x:c>
      <x:c r="B41" s="25" t="n">
        <x:v>46249</x:v>
      </x:c>
      <x:c r="C41" s="26" t="str">
        <x:v>Ricardo Gomez</x:v>
      </x:c>
      <x:c r="D41" s="26" t="str">
        <x:v>Acqua di Gio</x:v>
      </x:c>
      <x:c r="E41" s="27" t="n">
        <x:v>16</x:v>
      </x:c>
      <x:c r="F41" s="26" t="str">
        <x:v>USDT</x:v>
      </x:c>
      <x:c r="G41" s="28" t="n">
        <x:f>IF(C41="","",SUMIFS('PAGOS'!$K$5:$K$504,'PAGOS'!$C$5:$C$504,A41,'PAGOS'!$Q$5:$Q$504,"Aplicar",'PAGOS'!$B$5:$B$504,"&lt;="&amp;'AJUSTES'!$B$4))</x:f>
        <x:v>0</x:v>
      </x:c>
      <x:c r="H41" s="28" t="str">
        <x:f>IF(C41="","",IF(AND(ISNUMBER(O41),O41&lt;='AJUSTES'!$B$4),0,IF(OR(P41&lt;&gt;"Incluir",NOT(ISNUMBER(E41)),B41="",B41&gt;'AJUSTES'!$B$4,S41&gt;0),"",MAX(0,ROUND(E41-G41,2)))))</x:f>
      </x:c>
      <x:c r="I41" s="22" t="str">
        <x:f>IF(C41="","",IF(P41="Anulada","Anulada",IF(B41&gt;'AJUSTES'!$B$4,"Posterior al corte",IF(NOT(ISNUMBER(H41)),"Por conciliar",IF(H41&lt;='AJUSTES'!$B$10,"Pagado",IF(J41&gt;0,"Moroso","Vigente"))))))</x:f>
        <x:v>Por conciliar</x:v>
      </x:c>
      <x:c r="J41" s="22" t="str">
        <x:f>IF(OR(C41="",NOT(ISNUMBER(H41)),NOT(ISNUMBER(N41))),"",IF(H41&gt;'AJUSTES'!$B$10,MAX(0,'AJUSTES'!$B$4-N41),0))</x:f>
      </x:c>
      <x:c r="K41" s="27" t="n">
        <x:v>13</x:v>
      </x:c>
      <x:c r="L41" s="26" t="str">
        <x:v>Gregory</x:v>
      </x:c>
      <x:c r="M41" s="26" t="n">
        <x:v>30</x:v>
      </x:c>
      <x:c r="N41" s="29" t="n">
        <x:f>IF(OR(NOT(ISNUMBER(B41)),NOT(ISNUMBER(M41))),"",B41+M41)</x:f>
        <x:v>46279</x:v>
      </x:c>
      <x:c r="O41" s="25" t="str"/>
      <x:c r="P41" s="26" t="str">
        <x:v>Revisar</x:v>
      </x:c>
      <x:c r="Q41" s="22" t="str">
        <x:v>Precio anotado como «16 P.M» Hay una solicitud de eliminar Acqua di Gio sin cliente</x:v>
      </x:c>
      <x:c r="R41" s="22" t="str">
        <x:v>Excel VENTAS!fila 40; M-0220</x:v>
      </x:c>
      <x:c r="S41" s="22" t="n">
        <x:f>IF(C41="","",COUNTIFS('PAGOS'!$C$5:$C$504,A41,'PAGOS'!$B$5:$B$504,"&gt;0",'PAGOS'!$B$5:$B$504,"&lt;="&amp;'AJUSTES'!$B$4,'PAGOS'!$N$5:$N$504,"Incluir",'PAGOS'!$Q$5:$Q$504,"&lt;&gt;Aplicar"))</x:f>
        <x:v>0</x:v>
      </x:c>
      <x:c r="T41" s="28" t="str">
        <x:f>IF(AND(C41&lt;&gt;"",ISNUMBER(O41),O41&lt;='AJUSTES'!$B$4,ISNUMBER(E41)),ROUND(E41-G41,2),"")</x:f>
      </x:c>
    </x:row>
    <x:row r="42" ht="25" customHeight="1">
      <x:c r="A42" s="22" t="str">
        <x:v>V-038</x:v>
      </x:c>
      <x:c r="B42" s="25" t="n">
        <x:v>46249</x:v>
      </x:c>
      <x:c r="C42" s="26" t="str">
        <x:v>Gabriel Medina</x:v>
      </x:c>
      <x:c r="D42" s="26" t="str">
        <x:v>Scandal</x:v>
      </x:c>
      <x:c r="E42" s="27" t="n">
        <x:v>22</x:v>
      </x:c>
      <x:c r="F42" s="26" t="str">
        <x:v>BCV</x:v>
      </x:c>
      <x:c r="G42" s="28" t="n">
        <x:f>IF(C42="","",SUMIFS('PAGOS'!$K$5:$K$504,'PAGOS'!$C$5:$C$504,A42,'PAGOS'!$Q$5:$Q$504,"Aplicar",'PAGOS'!$B$5:$B$504,"&lt;="&amp;'AJUSTES'!$B$4))</x:f>
        <x:v>22</x:v>
      </x:c>
      <x:c r="H42" s="28" t="n">
        <x:f>IF(C42="","",IF(AND(ISNUMBER(O42),O42&lt;='AJUSTES'!$B$4),0,IF(OR(P42&lt;&gt;"Incluir",NOT(ISNUMBER(E42)),B42="",B42&gt;'AJUSTES'!$B$4,S42&gt;0),"",MAX(0,ROUND(E42-G42,2)))))</x:f>
        <x:v>0</x:v>
      </x:c>
      <x:c r="I42" s="22" t="str">
        <x:f>IF(C42="","",IF(P42="Anulada","Anulada",IF(B42&gt;'AJUSTES'!$B$4,"Posterior al corte",IF(NOT(ISNUMBER(H42)),"Por conciliar",IF(H42&lt;='AJUSTES'!$B$10,"Pagado",IF(J42&gt;0,"Moroso","Vigente"))))))</x:f>
        <x:v>Pagado</x:v>
      </x:c>
      <x:c r="J42" s="22" t="n">
        <x:f>IF(OR(C42="",NOT(ISNUMBER(H42)),NOT(ISNUMBER(N42))),"",IF(H42&gt;'AJUSTES'!$B$10,MAX(0,'AJUSTES'!$B$4-N42),0))</x:f>
        <x:v>0</x:v>
      </x:c>
      <x:c r="K42" s="27" t="n">
        <x:v>11</x:v>
      </x:c>
      <x:c r="L42" s="26" t="str">
        <x:v>Gregor</x:v>
      </x:c>
      <x:c r="M42" s="26" t="n">
        <x:v>30</x:v>
      </x:c>
      <x:c r="N42" s="29" t="n">
        <x:f>IF(OR(NOT(ISNUMBER(B42)),NOT(ISNUMBER(M42))),"",B42+M42)</x:f>
        <x:v>46279</x:v>
      </x:c>
      <x:c r="O42" s="25" t="n">
        <x:v>46281</x:v>
      </x:c>
      <x:c r="P42" s="26" t="str">
        <x:v>Incluir</x:v>
      </x:c>
      <x:c r="Q42" s="22" t="str">
        <x:v> Cierre explícito en M-0361.</x:v>
      </x:c>
      <x:c r="R42" s="22" t="str">
        <x:v>Excel VENTAS!fila 41; M-0221</x:v>
      </x:c>
      <x:c r="S42" s="22" t="n">
        <x:f>IF(C42="","",COUNTIFS('PAGOS'!$C$5:$C$504,A42,'PAGOS'!$B$5:$B$504,"&gt;0",'PAGOS'!$B$5:$B$504,"&lt;="&amp;'AJUSTES'!$B$4,'PAGOS'!$N$5:$N$504,"Incluir",'PAGOS'!$Q$5:$Q$504,"&lt;&gt;Aplicar"))</x:f>
        <x:v>0</x:v>
      </x:c>
      <x:c r="T42" s="28" t="n">
        <x:f>IF(AND(C42&lt;&gt;"",ISNUMBER(O42),O42&lt;='AJUSTES'!$B$4,ISNUMBER(E42)),ROUND(E42-G42,2),"")</x:f>
        <x:v>0</x:v>
      </x:c>
    </x:row>
    <x:row r="43" ht="25" customHeight="1">
      <x:c r="A43" s="22" t="str">
        <x:v>V-039</x:v>
      </x:c>
      <x:c r="B43" s="25" t="n">
        <x:v>46249</x:v>
      </x:c>
      <x:c r="C43" s="26" t="str">
        <x:v>Gabriel Medina</x:v>
      </x:c>
      <x:c r="D43" s="26" t="str">
        <x:v>Sauvage Dior</x:v>
      </x:c>
      <x:c r="E43" s="27" t="n">
        <x:v>22</x:v>
      </x:c>
      <x:c r="F43" s="26" t="str">
        <x:v>BCV</x:v>
      </x:c>
      <x:c r="G43" s="28" t="n">
        <x:f>IF(C43="","",SUMIFS('PAGOS'!$K$5:$K$504,'PAGOS'!$C$5:$C$504,A43,'PAGOS'!$Q$5:$Q$504,"Aplicar",'PAGOS'!$B$5:$B$504,"&lt;="&amp;'AJUSTES'!$B$4))</x:f>
        <x:v>22</x:v>
      </x:c>
      <x:c r="H43" s="28" t="n">
        <x:f>IF(C43="","",IF(AND(ISNUMBER(O43),O43&lt;='AJUSTES'!$B$4),0,IF(OR(P43&lt;&gt;"Incluir",NOT(ISNUMBER(E43)),B43="",B43&gt;'AJUSTES'!$B$4,S43&gt;0),"",MAX(0,ROUND(E43-G43,2)))))</x:f>
        <x:v>0</x:v>
      </x:c>
      <x:c r="I43" s="22" t="str">
        <x:f>IF(C43="","",IF(P43="Anulada","Anulada",IF(B43&gt;'AJUSTES'!$B$4,"Posterior al corte",IF(NOT(ISNUMBER(H43)),"Por conciliar",IF(H43&lt;='AJUSTES'!$B$10,"Pagado",IF(J43&gt;0,"Moroso","Vigente"))))))</x:f>
        <x:v>Pagado</x:v>
      </x:c>
      <x:c r="J43" s="22" t="n">
        <x:f>IF(OR(C43="",NOT(ISNUMBER(H43)),NOT(ISNUMBER(N43))),"",IF(H43&gt;'AJUSTES'!$B$10,MAX(0,'AJUSTES'!$B$4-N43),0))</x:f>
        <x:v>0</x:v>
      </x:c>
      <x:c r="K43" s="27" t="n">
        <x:v>13</x:v>
      </x:c>
      <x:c r="L43" s="26" t="str">
        <x:v>Gregor</x:v>
      </x:c>
      <x:c r="M43" s="26" t="n">
        <x:v>30</x:v>
      </x:c>
      <x:c r="N43" s="29" t="n">
        <x:f>IF(OR(NOT(ISNUMBER(B43)),NOT(ISNUMBER(M43))),"",B43+M43)</x:f>
        <x:v>46279</x:v>
      </x:c>
      <x:c r="O43" s="25" t="n">
        <x:v>46270</x:v>
      </x:c>
      <x:c r="P43" s="26" t="str">
        <x:v>Incluir</x:v>
      </x:c>
      <x:c r="Q43" s="22" t="str">
        <x:v> Cierre explícito en M-0320.</x:v>
      </x:c>
      <x:c r="R43" s="22" t="str">
        <x:v>Excel VENTAS!fila 42; M-0222</x:v>
      </x:c>
      <x:c r="S43" s="22" t="n">
        <x:f>IF(C43="","",COUNTIFS('PAGOS'!$C$5:$C$504,A43,'PAGOS'!$B$5:$B$504,"&gt;0",'PAGOS'!$B$5:$B$504,"&lt;="&amp;'AJUSTES'!$B$4,'PAGOS'!$N$5:$N$504,"Incluir",'PAGOS'!$Q$5:$Q$504,"&lt;&gt;Aplicar"))</x:f>
        <x:v>0</x:v>
      </x:c>
      <x:c r="T43" s="28" t="n">
        <x:f>IF(AND(C43&lt;&gt;"",ISNUMBER(O43),O43&lt;='AJUSTES'!$B$4,ISNUMBER(E43)),ROUND(E43-G43,2),"")</x:f>
        <x:v>0</x:v>
      </x:c>
    </x:row>
    <x:row r="44" ht="25" customHeight="1">
      <x:c r="A44" s="22" t="str">
        <x:v>V-040</x:v>
      </x:c>
      <x:c r="B44" s="25" t="n">
        <x:v>46244</x:v>
      </x:c>
      <x:c r="C44" s="26" t="str">
        <x:v>Leandro</x:v>
      </x:c>
      <x:c r="D44" s="26" t="str">
        <x:v>Polo Blue</x:v>
      </x:c>
      <x:c r="E44" s="27" t="n">
        <x:v>22</x:v>
      </x:c>
      <x:c r="F44" s="26" t="str">
        <x:v>BCV</x:v>
      </x:c>
      <x:c r="G44" s="28" t="n">
        <x:f>IF(C44="","",SUMIFS('PAGOS'!$K$5:$K$504,'PAGOS'!$C$5:$C$504,A44,'PAGOS'!$Q$5:$Q$504,"Aplicar",'PAGOS'!$B$5:$B$504,"&lt;="&amp;'AJUSTES'!$B$4))</x:f>
        <x:v>0</x:v>
      </x:c>
      <x:c r="H44" s="28" t="str">
        <x:f>IF(C44="","",IF(AND(ISNUMBER(O44),O44&lt;='AJUSTES'!$B$4),0,IF(OR(P44&lt;&gt;"Incluir",NOT(ISNUMBER(E44)),B44="",B44&gt;'AJUSTES'!$B$4,S44&gt;0),"",MAX(0,ROUND(E44-G44,2)))))</x:f>
      </x:c>
      <x:c r="I44" s="22" t="str">
        <x:f>IF(C44="","",IF(P44="Anulada","Anulada",IF(B44&gt;'AJUSTES'!$B$4,"Posterior al corte",IF(NOT(ISNUMBER(H44)),"Por conciliar",IF(H44&lt;='AJUSTES'!$B$10,"Pagado",IF(J44&gt;0,"Moroso","Vigente"))))))</x:f>
        <x:v>Por conciliar</x:v>
      </x:c>
      <x:c r="J44" s="22" t="str">
        <x:f>IF(OR(C44="",NOT(ISNUMBER(H44)),NOT(ISNUMBER(N44))),"",IF(H44&gt;'AJUSTES'!$B$10,MAX(0,'AJUSTES'!$B$4-N44),0))</x:f>
      </x:c>
      <x:c r="K44" s="27" t="n">
        <x:v>12</x:v>
      </x:c>
      <x:c r="L44" s="26" t="str">
        <x:v>Gregor</x:v>
      </x:c>
      <x:c r="M44" s="26" t="n">
        <x:v>30</x:v>
      </x:c>
      <x:c r="N44" s="29" t="n">
        <x:f>IF(OR(NOT(ISNUMBER(B44)),NOT(ISNUMBER(M44))),"",B44+M44)</x:f>
        <x:v>46274</x:v>
      </x:c>
      <x:c r="O44" s="25" t="str"/>
      <x:c r="P44" s="26" t="str">
        <x:v>Revisar</x:v>
      </x:c>
      <x:c r="Q44" s="22" t="str">
        <x:v> Gregor declaró cuentas pagadas, falta detalle</x:v>
      </x:c>
      <x:c r="R44" s="22" t="str">
        <x:v>Excel VENTAS!fila 43; M-0170</x:v>
      </x:c>
      <x:c r="S44" s="22" t="n">
        <x:f>IF(C44="","",COUNTIFS('PAGOS'!$C$5:$C$504,A44,'PAGOS'!$B$5:$B$504,"&gt;0",'PAGOS'!$B$5:$B$504,"&lt;="&amp;'AJUSTES'!$B$4,'PAGOS'!$N$5:$N$504,"Incluir",'PAGOS'!$Q$5:$Q$504,"&lt;&gt;Aplicar"))</x:f>
        <x:v>0</x:v>
      </x:c>
      <x:c r="T44" s="28" t="str">
        <x:f>IF(AND(C44&lt;&gt;"",ISNUMBER(O44),O44&lt;='AJUSTES'!$B$4,ISNUMBER(E44)),ROUND(E44-G44,2),"")</x:f>
      </x:c>
    </x:row>
    <x:row r="45" ht="25" customHeight="1">
      <x:c r="A45" s="22" t="str">
        <x:v>V-041</x:v>
      </x:c>
      <x:c r="B45" s="25" t="n">
        <x:v>46249</x:v>
      </x:c>
      <x:c r="C45" s="26" t="str">
        <x:v>Alejandro Blanco</x:v>
      </x:c>
      <x:c r="D45" s="26" t="str">
        <x:v>Issey Miyake</x:v>
      </x:c>
      <x:c r="E45" s="27" t="n">
        <x:v>22</x:v>
      </x:c>
      <x:c r="F45" s="26" t="str">
        <x:v>Sin confirmar</x:v>
      </x:c>
      <x:c r="G45" s="28" t="n">
        <x:f>IF(C45="","",SUMIFS('PAGOS'!$K$5:$K$504,'PAGOS'!$C$5:$C$504,A45,'PAGOS'!$Q$5:$Q$504,"Aplicar",'PAGOS'!$B$5:$B$504,"&lt;="&amp;'AJUSTES'!$B$4))</x:f>
        <x:v>0</x:v>
      </x:c>
      <x:c r="H45" s="28" t="str">
        <x:f>IF(C45="","",IF(AND(ISNUMBER(O45),O45&lt;='AJUSTES'!$B$4),0,IF(OR(P45&lt;&gt;"Incluir",NOT(ISNUMBER(E45)),B45="",B45&gt;'AJUSTES'!$B$4,S45&gt;0),"",MAX(0,ROUND(E45-G45,2)))))</x:f>
      </x:c>
      <x:c r="I45" s="22" t="str">
        <x:f>IF(C45="","",IF(P45="Anulada","Anulada",IF(B45&gt;'AJUSTES'!$B$4,"Posterior al corte",IF(NOT(ISNUMBER(H45)),"Por conciliar",IF(H45&lt;='AJUSTES'!$B$10,"Pagado",IF(J45&gt;0,"Moroso","Vigente"))))))</x:f>
        <x:v>Por conciliar</x:v>
      </x:c>
      <x:c r="J45" s="22" t="str">
        <x:f>IF(OR(C45="",NOT(ISNUMBER(H45)),NOT(ISNUMBER(N45))),"",IF(H45&gt;'AJUSTES'!$B$10,MAX(0,'AJUSTES'!$B$4-N45),0))</x:f>
      </x:c>
      <x:c r="K45" s="27" t="n">
        <x:v>10</x:v>
      </x:c>
      <x:c r="L45" s="26" t="str">
        <x:v>Gregor</x:v>
      </x:c>
      <x:c r="M45" s="26" t="n">
        <x:v>30</x:v>
      </x:c>
      <x:c r="N45" s="29" t="n">
        <x:f>IF(OR(NOT(ISNUMBER(B45)),NOT(ISNUMBER(M45))),"",B45+M45)</x:f>
        <x:v>46279</x:v>
      </x:c>
      <x:c r="O45" s="25" t="str"/>
      <x:c r="P45" s="26" t="str">
        <x:v>Revisar</x:v>
      </x:c>
      <x:c r="Q45" s="22" t="str">
        <x:v> Producto / operación por confirmar. Gregor declaró cuentas pagadas, falta detalle</x:v>
      </x:c>
      <x:c r="R45" s="22" t="str">
        <x:v>Excel VENTAS!fila 44</x:v>
      </x:c>
      <x:c r="S45" s="22" t="n">
        <x:f>IF(C45="","",COUNTIFS('PAGOS'!$C$5:$C$504,A45,'PAGOS'!$B$5:$B$504,"&gt;0",'PAGOS'!$B$5:$B$504,"&lt;="&amp;'AJUSTES'!$B$4,'PAGOS'!$N$5:$N$504,"Incluir",'PAGOS'!$Q$5:$Q$504,"&lt;&gt;Aplicar"))</x:f>
        <x:v>0</x:v>
      </x:c>
      <x:c r="T45" s="28" t="str">
        <x:f>IF(AND(C45&lt;&gt;"",ISNUMBER(O45),O45&lt;='AJUSTES'!$B$4,ISNUMBER(E45)),ROUND(E45-G45,2),"")</x:f>
      </x:c>
    </x:row>
    <x:row r="46" ht="25" customHeight="1">
      <x:c r="A46" s="22" t="str">
        <x:v>V-042</x:v>
      </x:c>
      <x:c r="B46" s="25" t="n">
        <x:v>46251</x:v>
      </x:c>
      <x:c r="C46" s="26" t="str">
        <x:v>Francheska</x:v>
      </x:c>
      <x:c r="D46" s="26" t="str">
        <x:v>Khamrah</x:v>
      </x:c>
      <x:c r="E46" s="27" t="n">
        <x:v>42</x:v>
      </x:c>
      <x:c r="F46" s="26" t="str">
        <x:v>BCV</x:v>
      </x:c>
      <x:c r="G46" s="28" t="n">
        <x:f>IF(C46="","",SUMIFS('PAGOS'!$K$5:$K$504,'PAGOS'!$C$5:$C$504,A46,'PAGOS'!$Q$5:$Q$504,"Aplicar",'PAGOS'!$B$5:$B$504,"&lt;="&amp;'AJUSTES'!$B$4))</x:f>
        <x:v>42</x:v>
      </x:c>
      <x:c r="H46" s="28" t="n">
        <x:f>IF(C46="","",IF(AND(ISNUMBER(O46),O46&lt;='AJUSTES'!$B$4),0,IF(OR(P46&lt;&gt;"Incluir",NOT(ISNUMBER(E46)),B46="",B46&gt;'AJUSTES'!$B$4,S46&gt;0),"",MAX(0,ROUND(E46-G46,2)))))</x:f>
        <x:v>0</x:v>
      </x:c>
      <x:c r="I46" s="22" t="str">
        <x:f>IF(C46="","",IF(P46="Anulada","Anulada",IF(B46&gt;'AJUSTES'!$B$4,"Posterior al corte",IF(NOT(ISNUMBER(H46)),"Por conciliar",IF(H46&lt;='AJUSTES'!$B$10,"Pagado",IF(J46&gt;0,"Moroso","Vigente"))))))</x:f>
        <x:v>Pagado</x:v>
      </x:c>
      <x:c r="J46" s="22" t="n">
        <x:f>IF(OR(C46="",NOT(ISNUMBER(H46)),NOT(ISNUMBER(N46))),"",IF(H46&gt;'AJUSTES'!$B$10,MAX(0,'AJUSTES'!$B$4-N46),0))</x:f>
        <x:v>0</x:v>
      </x:c>
      <x:c r="K46" s="27" t="n">
        <x:v>15</x:v>
      </x:c>
      <x:c r="L46" s="26" t="str">
        <x:v>Gregory</x:v>
      </x:c>
      <x:c r="M46" s="26" t="n">
        <x:v>30</x:v>
      </x:c>
      <x:c r="N46" s="29" t="n">
        <x:f>IF(OR(NOT(ISNUMBER(B46)),NOT(ISNUMBER(M46))),"",B46+M46)</x:f>
        <x:v>46281</x:v>
      </x:c>
      <x:c r="O46" s="25" t="n">
        <x:v>46280</x:v>
      </x:c>
      <x:c r="P46" s="26" t="str">
        <x:v>Incluir</x:v>
      </x:c>
      <x:c r="Q46" s="22" t="str">
        <x:v> Fecha Excel 2026-09-15 sustituida por fecha declarada en chat 2026-08-17. Cierre explícito en M-0356.</x:v>
      </x:c>
      <x:c r="R46" s="22" t="str">
        <x:v>Excel VENTAS!fila 45; M-0235</x:v>
      </x:c>
      <x:c r="S46" s="22" t="n">
        <x:f>IF(C46="","",COUNTIFS('PAGOS'!$C$5:$C$504,A46,'PAGOS'!$B$5:$B$504,"&gt;0",'PAGOS'!$B$5:$B$504,"&lt;="&amp;'AJUSTES'!$B$4,'PAGOS'!$N$5:$N$504,"Incluir",'PAGOS'!$Q$5:$Q$504,"&lt;&gt;Aplicar"))</x:f>
        <x:v>0</x:v>
      </x:c>
      <x:c r="T46" s="28" t="n">
        <x:f>IF(AND(C46&lt;&gt;"",ISNUMBER(O46),O46&lt;='AJUSTES'!$B$4,ISNUMBER(E46)),ROUND(E46-G46,2),"")</x:f>
        <x:v>0</x:v>
      </x:c>
    </x:row>
    <x:row r="47" ht="25" customHeight="1">
      <x:c r="A47" s="22" t="str">
        <x:v>V-043</x:v>
      </x:c>
      <x:c r="B47" s="25" t="n">
        <x:v>46251</x:v>
      </x:c>
      <x:c r="C47" s="26" t="str">
        <x:v>Landaeta</x:v>
      </x:c>
      <x:c r="D47" s="26" t="str">
        <x:v>Invictus Clasico</x:v>
      </x:c>
      <x:c r="E47" s="27" t="n">
        <x:v>20</x:v>
      </x:c>
      <x:c r="F47" s="26" t="str">
        <x:v>BCV</x:v>
      </x:c>
      <x:c r="G47" s="28" t="n">
        <x:f>IF(C47="","",SUMIFS('PAGOS'!$K$5:$K$504,'PAGOS'!$C$5:$C$504,A47,'PAGOS'!$Q$5:$Q$504,"Aplicar",'PAGOS'!$B$5:$B$504,"&lt;="&amp;'AJUSTES'!$B$4))</x:f>
        <x:v>20</x:v>
      </x:c>
      <x:c r="H47" s="28" t="n">
        <x:f>IF(C47="","",IF(AND(ISNUMBER(O47),O47&lt;='AJUSTES'!$B$4),0,IF(OR(P47&lt;&gt;"Incluir",NOT(ISNUMBER(E47)),B47="",B47&gt;'AJUSTES'!$B$4,S47&gt;0),"",MAX(0,ROUND(E47-G47,2)))))</x:f>
        <x:v>0</x:v>
      </x:c>
      <x:c r="I47" s="22" t="str">
        <x:f>IF(C47="","",IF(P47="Anulada","Anulada",IF(B47&gt;'AJUSTES'!$B$4,"Posterior al corte",IF(NOT(ISNUMBER(H47)),"Por conciliar",IF(H47&lt;='AJUSTES'!$B$10,"Pagado",IF(J47&gt;0,"Moroso","Vigente"))))))</x:f>
        <x:v>Pagado</x:v>
      </x:c>
      <x:c r="J47" s="22" t="n">
        <x:f>IF(OR(C47="",NOT(ISNUMBER(H47)),NOT(ISNUMBER(N47))),"",IF(H47&gt;'AJUSTES'!$B$10,MAX(0,'AJUSTES'!$B$4-N47),0))</x:f>
        <x:v>0</x:v>
      </x:c>
      <x:c r="K47" s="27" t="n">
        <x:v>10</x:v>
      </x:c>
      <x:c r="L47" s="26" t="str">
        <x:v>Gregory</x:v>
      </x:c>
      <x:c r="M47" s="26" t="n">
        <x:v>30</x:v>
      </x:c>
      <x:c r="N47" s="29" t="n">
        <x:f>IF(OR(NOT(ISNUMBER(B47)),NOT(ISNUMBER(M47))),"",B47+M47)</x:f>
        <x:v>46281</x:v>
      </x:c>
      <x:c r="O47" s="25" t="n">
        <x:v>46283</x:v>
      </x:c>
      <x:c r="P47" s="26" t="str">
        <x:v>Incluir</x:v>
      </x:c>
      <x:c r="Q47" s="22" t="str">
        <x:v> Cierre explícito en M-0371.</x:v>
      </x:c>
      <x:c r="R47" s="22" t="str">
        <x:v>Excel VENTAS!fila 46; M-0237</x:v>
      </x:c>
      <x:c r="S47" s="22" t="n">
        <x:f>IF(C47="","",COUNTIFS('PAGOS'!$C$5:$C$504,A47,'PAGOS'!$B$5:$B$504,"&gt;0",'PAGOS'!$B$5:$B$504,"&lt;="&amp;'AJUSTES'!$B$4,'PAGOS'!$N$5:$N$504,"Incluir",'PAGOS'!$Q$5:$Q$504,"&lt;&gt;Aplicar"))</x:f>
        <x:v>0</x:v>
      </x:c>
      <x:c r="T47" s="28" t="n">
        <x:f>IF(AND(C47&lt;&gt;"",ISNUMBER(O47),O47&lt;='AJUSTES'!$B$4,ISNUMBER(E47)),ROUND(E47-G47,2),"")</x:f>
        <x:v>0</x:v>
      </x:c>
    </x:row>
    <x:row r="48" ht="25" customHeight="1">
      <x:c r="A48" s="22" t="str">
        <x:v>V-044</x:v>
      </x:c>
      <x:c r="B48" s="25" t="n">
        <x:v>46251</x:v>
      </x:c>
      <x:c r="C48" s="26" t="str">
        <x:v>Landaeta</x:v>
      </x:c>
      <x:c r="D48" s="26" t="str">
        <x:v>Asad</x:v>
      </x:c>
      <x:c r="E48" s="27" t="n">
        <x:v>22</x:v>
      </x:c>
      <x:c r="F48" s="26" t="str">
        <x:v>BCV</x:v>
      </x:c>
      <x:c r="G48" s="28" t="n">
        <x:f>IF(C48="","",SUMIFS('PAGOS'!$K$5:$K$504,'PAGOS'!$C$5:$C$504,A48,'PAGOS'!$Q$5:$Q$504,"Aplicar",'PAGOS'!$B$5:$B$504,"&lt;="&amp;'AJUSTES'!$B$4))</x:f>
        <x:v>21</x:v>
      </x:c>
      <x:c r="H48" s="28" t="n">
        <x:f>IF(C48="","",IF(AND(ISNUMBER(O48),O48&lt;='AJUSTES'!$B$4),0,IF(OR(P48&lt;&gt;"Incluir",NOT(ISNUMBER(E48)),B48="",B48&gt;'AJUSTES'!$B$4,S48&gt;0),"",MAX(0,ROUND(E48-G48,2)))))</x:f>
        <x:v>0</x:v>
      </x:c>
      <x:c r="I48" s="22" t="str">
        <x:f>IF(C48="","",IF(P48="Anulada","Anulada",IF(B48&gt;'AJUSTES'!$B$4,"Posterior al corte",IF(NOT(ISNUMBER(H48)),"Por conciliar",IF(H48&lt;='AJUSTES'!$B$10,"Pagado",IF(J48&gt;0,"Moroso","Vigente"))))))</x:f>
        <x:v>Pagado</x:v>
      </x:c>
      <x:c r="J48" s="22" t="n">
        <x:f>IF(OR(C48="",NOT(ISNUMBER(H48)),NOT(ISNUMBER(N48))),"",IF(H48&gt;'AJUSTES'!$B$10,MAX(0,'AJUSTES'!$B$4-N48),0))</x:f>
        <x:v>0</x:v>
      </x:c>
      <x:c r="K48" s="27" t="n">
        <x:v>12</x:v>
      </x:c>
      <x:c r="L48" s="26" t="str">
        <x:v>Gregory</x:v>
      </x:c>
      <x:c r="M48" s="26" t="n">
        <x:v>30</x:v>
      </x:c>
      <x:c r="N48" s="29" t="n">
        <x:f>IF(OR(NOT(ISNUMBER(B48)),NOT(ISNUMBER(M48))),"",B48+M48)</x:f>
        <x:v>46281</x:v>
      </x:c>
      <x:c r="O48" s="25" t="n">
        <x:v>46283</x:v>
      </x:c>
      <x:c r="P48" s="26" t="str">
        <x:v>Incluir</x:v>
      </x:c>
      <x:c r="Q48" s="22" t="str">
        <x:v> Texto bajo Inicial sin aclarar: 22.0. No se crea cobro automático. Cierre explícito en M-0372. Cierre confirmado, equivalente conocido 21; diferencia 1 por conciliar, sin crear efectivo.</x:v>
      </x:c>
      <x:c r="R48" s="22" t="str">
        <x:v>Excel VENTAS!fila 47; M-0238</x:v>
      </x:c>
      <x:c r="S48" s="22" t="n">
        <x:f>IF(C48="","",COUNTIFS('PAGOS'!$C$5:$C$504,A48,'PAGOS'!$B$5:$B$504,"&gt;0",'PAGOS'!$B$5:$B$504,"&lt;="&amp;'AJUSTES'!$B$4,'PAGOS'!$N$5:$N$504,"Incluir",'PAGOS'!$Q$5:$Q$504,"&lt;&gt;Aplicar"))</x:f>
        <x:v>1</x:v>
      </x:c>
      <x:c r="T48" s="28" t="n">
        <x:f>IF(AND(C48&lt;&gt;"",ISNUMBER(O48),O48&lt;='AJUSTES'!$B$4,ISNUMBER(E48)),ROUND(E48-G48,2),"")</x:f>
        <x:v>1</x:v>
      </x:c>
    </x:row>
    <x:row r="49" ht="25" customHeight="1">
      <x:c r="A49" s="22" t="str">
        <x:v>V-045</x:v>
      </x:c>
      <x:c r="B49" s="25" t="n">
        <x:v>46252</x:v>
      </x:c>
      <x:c r="C49" s="26" t="str">
        <x:v>Deiner</x:v>
      </x:c>
      <x:c r="D49" s="26" t="str">
        <x:v>Scandal</x:v>
      </x:c>
      <x:c r="E49" s="27" t="n">
        <x:v>24</x:v>
      </x:c>
      <x:c r="F49" s="26" t="str">
        <x:v>BCV</x:v>
      </x:c>
      <x:c r="G49" s="28" t="n">
        <x:f>IF(C49="","",SUMIFS('PAGOS'!$K$5:$K$504,'PAGOS'!$C$5:$C$504,A49,'PAGOS'!$Q$5:$Q$504,"Aplicar",'PAGOS'!$B$5:$B$504,"&lt;="&amp;'AJUSTES'!$B$4))</x:f>
        <x:v>24</x:v>
      </x:c>
      <x:c r="H49" s="28" t="n">
        <x:f>IF(C49="","",IF(AND(ISNUMBER(O49),O49&lt;='AJUSTES'!$B$4),0,IF(OR(P49&lt;&gt;"Incluir",NOT(ISNUMBER(E49)),B49="",B49&gt;'AJUSTES'!$B$4,S49&gt;0),"",MAX(0,ROUND(E49-G49,2)))))</x:f>
        <x:v>0</x:v>
      </x:c>
      <x:c r="I49" s="22" t="str">
        <x:f>IF(C49="","",IF(P49="Anulada","Anulada",IF(B49&gt;'AJUSTES'!$B$4,"Posterior al corte",IF(NOT(ISNUMBER(H49)),"Por conciliar",IF(H49&lt;='AJUSTES'!$B$10,"Pagado",IF(J49&gt;0,"Moroso","Vigente"))))))</x:f>
        <x:v>Pagado</x:v>
      </x:c>
      <x:c r="J49" s="22" t="n">
        <x:f>IF(OR(C49="",NOT(ISNUMBER(H49)),NOT(ISNUMBER(N49))),"",IF(H49&gt;'AJUSTES'!$B$10,MAX(0,'AJUSTES'!$B$4-N49),0))</x:f>
        <x:v>0</x:v>
      </x:c>
      <x:c r="K49" s="27" t="n">
        <x:v>11</x:v>
      </x:c>
      <x:c r="L49" s="26" t="str">
        <x:v>Gregory</x:v>
      </x:c>
      <x:c r="M49" s="26" t="n">
        <x:v>30</x:v>
      </x:c>
      <x:c r="N49" s="29" t="n">
        <x:f>IF(OR(NOT(ISNUMBER(B49)),NOT(ISNUMBER(M49))),"",B49+M49)</x:f>
        <x:v>46282</x:v>
      </x:c>
      <x:c r="O49" s="25" t="n">
        <x:v>46279</x:v>
      </x:c>
      <x:c r="P49" s="26" t="str">
        <x:v>Incluir</x:v>
      </x:c>
      <x:c r="Q49" s="22" t="str">
        <x:v> Cierre explícito en M-0353.</x:v>
      </x:c>
      <x:c r="R49" s="22" t="str">
        <x:v>Excel VENTAS!fila 48; M-0243</x:v>
      </x:c>
      <x:c r="S49" s="22" t="n">
        <x:f>IF(C49="","",COUNTIFS('PAGOS'!$C$5:$C$504,A49,'PAGOS'!$B$5:$B$504,"&gt;0",'PAGOS'!$B$5:$B$504,"&lt;="&amp;'AJUSTES'!$B$4,'PAGOS'!$N$5:$N$504,"Incluir",'PAGOS'!$Q$5:$Q$504,"&lt;&gt;Aplicar"))</x:f>
        <x:v>0</x:v>
      </x:c>
      <x:c r="T49" s="28" t="n">
        <x:f>IF(AND(C49&lt;&gt;"",ISNUMBER(O49),O49&lt;='AJUSTES'!$B$4,ISNUMBER(E49)),ROUND(E49-G49,2),"")</x:f>
        <x:v>0</x:v>
      </x:c>
    </x:row>
    <x:row r="50" ht="25" customHeight="1">
      <x:c r="A50" s="22" t="str">
        <x:v>V-046</x:v>
      </x:c>
      <x:c r="B50" s="25" t="n">
        <x:v>46255</x:v>
      </x:c>
      <x:c r="C50" s="26" t="str">
        <x:v>Amarista</x:v>
      </x:c>
      <x:c r="D50" s="26" t="str">
        <x:v>Amethyst</x:v>
      </x:c>
      <x:c r="E50" s="27" t="n">
        <x:v>40</x:v>
      </x:c>
      <x:c r="F50" s="26" t="str">
        <x:v>BCV</x:v>
      </x:c>
      <x:c r="G50" s="28" t="n">
        <x:f>IF(C50="","",SUMIFS('PAGOS'!$K$5:$K$504,'PAGOS'!$C$5:$C$504,A50,'PAGOS'!$Q$5:$Q$504,"Aplicar",'PAGOS'!$B$5:$B$504,"&lt;="&amp;'AJUSTES'!$B$4))</x:f>
        <x:v>40</x:v>
      </x:c>
      <x:c r="H50" s="28" t="n">
        <x:f>IF(C50="","",IF(AND(ISNUMBER(O50),O50&lt;='AJUSTES'!$B$4),0,IF(OR(P50&lt;&gt;"Incluir",NOT(ISNUMBER(E50)),B50="",B50&gt;'AJUSTES'!$B$4,S50&gt;0),"",MAX(0,ROUND(E50-G50,2)))))</x:f>
        <x:v>0</x:v>
      </x:c>
      <x:c r="I50" s="22" t="str">
        <x:f>IF(C50="","",IF(P50="Anulada","Anulada",IF(B50&gt;'AJUSTES'!$B$4,"Posterior al corte",IF(NOT(ISNUMBER(H50)),"Por conciliar",IF(H50&lt;='AJUSTES'!$B$10,"Pagado",IF(J50&gt;0,"Moroso","Vigente"))))))</x:f>
        <x:v>Pagado</x:v>
      </x:c>
      <x:c r="J50" s="22" t="n">
        <x:f>IF(OR(C50="",NOT(ISNUMBER(H50)),NOT(ISNUMBER(N50))),"",IF(H50&gt;'AJUSTES'!$B$10,MAX(0,'AJUSTES'!$B$4-N50),0))</x:f>
        <x:v>0</x:v>
      </x:c>
      <x:c r="K50" s="27" t="n">
        <x:v>16</x:v>
      </x:c>
      <x:c r="L50" s="26" t="str">
        <x:v>Gregory</x:v>
      </x:c>
      <x:c r="M50" s="26" t="n">
        <x:v>30</x:v>
      </x:c>
      <x:c r="N50" s="29" t="n">
        <x:f>IF(OR(NOT(ISNUMBER(B50)),NOT(ISNUMBER(M50))),"",B50+M50)</x:f>
        <x:v>46285</x:v>
      </x:c>
      <x:c r="O50" s="25" t="n">
        <x:v>46277</x:v>
      </x:c>
      <x:c r="P50" s="26" t="str">
        <x:v>Incluir</x:v>
      </x:c>
      <x:c r="Q50" s="22" t="str">
        <x:v> Cierre explícito en M-0349.</x:v>
      </x:c>
      <x:c r="R50" s="22" t="str">
        <x:v>Excel VENTAS!fila 49; M-0269</x:v>
      </x:c>
      <x:c r="S50" s="22" t="n">
        <x:f>IF(C50="","",COUNTIFS('PAGOS'!$C$5:$C$504,A50,'PAGOS'!$B$5:$B$504,"&gt;0",'PAGOS'!$B$5:$B$504,"&lt;="&amp;'AJUSTES'!$B$4,'PAGOS'!$N$5:$N$504,"Incluir",'PAGOS'!$Q$5:$Q$504,"&lt;&gt;Aplicar"))</x:f>
        <x:v>0</x:v>
      </x:c>
      <x:c r="T50" s="28" t="n">
        <x:f>IF(AND(C50&lt;&gt;"",ISNUMBER(O50),O50&lt;='AJUSTES'!$B$4,ISNUMBER(E50)),ROUND(E50-G50,2),"")</x:f>
        <x:v>0</x:v>
      </x:c>
    </x:row>
    <x:row r="51" ht="25" customHeight="1">
      <x:c r="A51" s="22" t="str">
        <x:v>V-047</x:v>
      </x:c>
      <x:c r="B51" s="25" t="n">
        <x:v>46255</x:v>
      </x:c>
      <x:c r="C51" s="26" t="str">
        <x:v>Anderson</x:v>
      </x:c>
      <x:c r="D51" s="26" t="str">
        <x:v>Yara Tous</x:v>
      </x:c>
      <x:c r="E51" s="27" t="n">
        <x:v>24</x:v>
      </x:c>
      <x:c r="F51" s="26" t="str">
        <x:v>Sin confirmar</x:v>
      </x:c>
      <x:c r="G51" s="28" t="n">
        <x:f>IF(C51="","",SUMIFS('PAGOS'!$K$5:$K$504,'PAGOS'!$C$5:$C$504,A51,'PAGOS'!$Q$5:$Q$504,"Aplicar",'PAGOS'!$B$5:$B$504,"&lt;="&amp;'AJUSTES'!$B$4))</x:f>
        <x:v>0</x:v>
      </x:c>
      <x:c r="H51" s="28" t="n">
        <x:f>IF(C51="","",IF(AND(ISNUMBER(O51),O51&lt;='AJUSTES'!$B$4),0,IF(OR(P51&lt;&gt;"Incluir",NOT(ISNUMBER(E51)),B51="",B51&gt;'AJUSTES'!$B$4,S51&gt;0),"",MAX(0,ROUND(E51-G51,2)))))</x:f>
        <x:v>24</x:v>
      </x:c>
      <x:c r="I51" s="22" t="str">
        <x:f>IF(C51="","",IF(P51="Anulada","Anulada",IF(B51&gt;'AJUSTES'!$B$4,"Posterior al corte",IF(NOT(ISNUMBER(H51)),"Por conciliar",IF(H51&lt;='AJUSTES'!$B$10,"Pagado",IF(J51&gt;0,"Moroso","Vigente"))))))</x:f>
        <x:v>Moroso</x:v>
      </x:c>
      <x:c r="J51" s="22" t="n">
        <x:f>IF(OR(C51="",NOT(ISNUMBER(H51)),NOT(ISNUMBER(N51))),"",IF(H51&gt;'AJUSTES'!$B$10,MAX(0,'AJUSTES'!$B$4-N51),0))</x:f>
        <x:v>4</x:v>
      </x:c>
      <x:c r="K51" s="27" t="n">
        <x:v>13</x:v>
      </x:c>
      <x:c r="L51" s="26" t="str">
        <x:v>Gregory</x:v>
      </x:c>
      <x:c r="M51" s="26" t="n">
        <x:v>30</x:v>
      </x:c>
      <x:c r="N51" s="29" t="n">
        <x:f>IF(OR(NOT(ISNUMBER(B51)),NOT(ISNUMBER(M51))),"",B51+M51)</x:f>
        <x:v>46285</x:v>
      </x:c>
      <x:c r="O51" s="25" t="str"/>
      <x:c r="P51" s="26" t="str">
        <x:v>Incluir</x:v>
      </x:c>
      <x:c r="Q51" s="22" t="str"/>
      <x:c r="R51" s="22" t="str">
        <x:v>Excel VENTAS!fila 50; M-0270</x:v>
      </x:c>
      <x:c r="S51" s="22" t="n">
        <x:f>IF(C51="","",COUNTIFS('PAGOS'!$C$5:$C$504,A51,'PAGOS'!$B$5:$B$504,"&gt;0",'PAGOS'!$B$5:$B$504,"&lt;="&amp;'AJUSTES'!$B$4,'PAGOS'!$N$5:$N$504,"Incluir",'PAGOS'!$Q$5:$Q$504,"&lt;&gt;Aplicar"))</x:f>
        <x:v>0</x:v>
      </x:c>
      <x:c r="T51" s="28" t="str">
        <x:f>IF(AND(C51&lt;&gt;"",ISNUMBER(O51),O51&lt;='AJUSTES'!$B$4,ISNUMBER(E51)),ROUND(E51-G51,2),"")</x:f>
      </x:c>
    </x:row>
    <x:row r="52" ht="25" customHeight="1">
      <x:c r="A52" s="22" t="str">
        <x:v>V-048</x:v>
      </x:c>
      <x:c r="B52" s="25" t="n">
        <x:v>46254</x:v>
      </x:c>
      <x:c r="C52" s="26" t="str">
        <x:v>Ricardo</x:v>
      </x:c>
      <x:c r="D52" s="26" t="str">
        <x:v>Amber Oud Haramain</x:v>
      </x:c>
      <x:c r="E52" s="27" t="n">
        <x:v>23</x:v>
      </x:c>
      <x:c r="F52" s="26" t="str">
        <x:v>USDT</x:v>
      </x:c>
      <x:c r="G52" s="28" t="n">
        <x:f>IF(C52="","",SUMIFS('PAGOS'!$K$5:$K$504,'PAGOS'!$C$5:$C$504,A52,'PAGOS'!$Q$5:$Q$504,"Aplicar",'PAGOS'!$B$5:$B$504,"&lt;="&amp;'AJUSTES'!$B$4))</x:f>
        <x:v>23</x:v>
      </x:c>
      <x:c r="H52" s="28" t="n">
        <x:f>IF(C52="","",IF(AND(ISNUMBER(O52),O52&lt;='AJUSTES'!$B$4),0,IF(OR(P52&lt;&gt;"Incluir",NOT(ISNUMBER(E52)),B52="",B52&gt;'AJUSTES'!$B$4,S52&gt;0),"",MAX(0,ROUND(E52-G52,2)))))</x:f>
        <x:v>0</x:v>
      </x:c>
      <x:c r="I52" s="22" t="str">
        <x:f>IF(C52="","",IF(P52="Anulada","Anulada",IF(B52&gt;'AJUSTES'!$B$4,"Posterior al corte",IF(NOT(ISNUMBER(H52)),"Por conciliar",IF(H52&lt;='AJUSTES'!$B$10,"Pagado",IF(J52&gt;0,"Moroso","Vigente"))))))</x:f>
        <x:v>Pagado</x:v>
      </x:c>
      <x:c r="J52" s="22" t="n">
        <x:f>IF(OR(C52="",NOT(ISNUMBER(H52)),NOT(ISNUMBER(N52))),"",IF(H52&gt;'AJUSTES'!$B$10,MAX(0,'AJUSTES'!$B$4-N52),0))</x:f>
        <x:v>0</x:v>
      </x:c>
      <x:c r="K52" s="27" t="n">
        <x:v>16</x:v>
      </x:c>
      <x:c r="L52" s="26" t="str">
        <x:v>Gregory</x:v>
      </x:c>
      <x:c r="M52" s="26" t="n">
        <x:v>30</x:v>
      </x:c>
      <x:c r="N52" s="29" t="n">
        <x:f>IF(OR(NOT(ISNUMBER(B52)),NOT(ISNUMBER(M52))),"",B52+M52)</x:f>
        <x:v>46284</x:v>
      </x:c>
      <x:c r="O52" s="25" t="n">
        <x:v>46260</x:v>
      </x:c>
      <x:c r="P52" s="26" t="str">
        <x:v>Incluir</x:v>
      </x:c>
      <x:c r="Q52" s="22" t="str">
        <x:v> Cierre explícito en M-0288.</x:v>
      </x:c>
      <x:c r="R52" s="22" t="str">
        <x:v>Excel VENTAS!fila 51; M-0271</x:v>
      </x:c>
      <x:c r="S52" s="22" t="n">
        <x:f>IF(C52="","",COUNTIFS('PAGOS'!$C$5:$C$504,A52,'PAGOS'!$B$5:$B$504,"&gt;0",'PAGOS'!$B$5:$B$504,"&lt;="&amp;'AJUSTES'!$B$4,'PAGOS'!$N$5:$N$504,"Incluir",'PAGOS'!$Q$5:$Q$504,"&lt;&gt;Aplicar"))</x:f>
        <x:v>0</x:v>
      </x:c>
      <x:c r="T52" s="28" t="n">
        <x:f>IF(AND(C52&lt;&gt;"",ISNUMBER(O52),O52&lt;='AJUSTES'!$B$4,ISNUMBER(E52)),ROUND(E52-G52,2),"")</x:f>
        <x:v>0</x:v>
      </x:c>
    </x:row>
    <x:row r="53" ht="25" customHeight="1">
      <x:c r="A53" s="22" t="str">
        <x:v>V-049</x:v>
      </x:c>
      <x:c r="B53" s="25" t="n">
        <x:v>46258</x:v>
      </x:c>
      <x:c r="C53" s="26" t="str">
        <x:v>Ricardo</x:v>
      </x:c>
      <x:c r="D53" s="26" t="str">
        <x:v>Acqua di Gio</x:v>
      </x:c>
      <x:c r="E53" s="27" t="n">
        <x:v>16</x:v>
      </x:c>
      <x:c r="F53" s="26" t="str">
        <x:v>USDT</x:v>
      </x:c>
      <x:c r="G53" s="28" t="n">
        <x:f>IF(C53="","",SUMIFS('PAGOS'!$K$5:$K$504,'PAGOS'!$C$5:$C$504,A53,'PAGOS'!$Q$5:$Q$504,"Aplicar",'PAGOS'!$B$5:$B$504,"&lt;="&amp;'AJUSTES'!$B$4))</x:f>
        <x:v>16</x:v>
      </x:c>
      <x:c r="H53" s="28" t="n">
        <x:f>IF(C53="","",IF(AND(ISNUMBER(O53),O53&lt;='AJUSTES'!$B$4),0,IF(OR(P53&lt;&gt;"Incluir",NOT(ISNUMBER(E53)),B53="",B53&gt;'AJUSTES'!$B$4,S53&gt;0),"",MAX(0,ROUND(E53-G53,2)))))</x:f>
        <x:v>0</x:v>
      </x:c>
      <x:c r="I53" s="22" t="str">
        <x:f>IF(C53="","",IF(P53="Anulada","Anulada",IF(B53&gt;'AJUSTES'!$B$4,"Posterior al corte",IF(NOT(ISNUMBER(H53)),"Por conciliar",IF(H53&lt;='AJUSTES'!$B$10,"Pagado",IF(J53&gt;0,"Moroso","Vigente"))))))</x:f>
        <x:v>Pagado</x:v>
      </x:c>
      <x:c r="J53" s="22" t="n">
        <x:f>IF(OR(C53="",NOT(ISNUMBER(H53)),NOT(ISNUMBER(N53))),"",IF(H53&gt;'AJUSTES'!$B$10,MAX(0,'AJUSTES'!$B$4-N53),0))</x:f>
        <x:v>0</x:v>
      </x:c>
      <x:c r="K53" s="27" t="n">
        <x:v>13</x:v>
      </x:c>
      <x:c r="L53" s="26" t="str">
        <x:v>Gregory</x:v>
      </x:c>
      <x:c r="M53" s="26" t="n">
        <x:v>30</x:v>
      </x:c>
      <x:c r="N53" s="29" t="n">
        <x:f>IF(OR(NOT(ISNUMBER(B53)),NOT(ISNUMBER(M53))),"",B53+M53)</x:f>
        <x:v>46288</x:v>
      </x:c>
      <x:c r="O53" s="25" t="n">
        <x:v>46277</x:v>
      </x:c>
      <x:c r="P53" s="26" t="str">
        <x:v>Incluir</x:v>
      </x:c>
      <x:c r="Q53" s="22" t="str">
        <x:v> Cierre explícito en M-0344.</x:v>
      </x:c>
      <x:c r="R53" s="22" t="str">
        <x:v>Excel VENTAS!fila 52; M-0278</x:v>
      </x:c>
      <x:c r="S53" s="22" t="n">
        <x:f>IF(C53="","",COUNTIFS('PAGOS'!$C$5:$C$504,A53,'PAGOS'!$B$5:$B$504,"&gt;0",'PAGOS'!$B$5:$B$504,"&lt;="&amp;'AJUSTES'!$B$4,'PAGOS'!$N$5:$N$504,"Incluir",'PAGOS'!$Q$5:$Q$504,"&lt;&gt;Aplicar"))</x:f>
        <x:v>0</x:v>
      </x:c>
      <x:c r="T53" s="28" t="n">
        <x:f>IF(AND(C53&lt;&gt;"",ISNUMBER(O53),O53&lt;='AJUSTES'!$B$4,ISNUMBER(E53)),ROUND(E53-G53,2),"")</x:f>
        <x:v>0</x:v>
      </x:c>
    </x:row>
    <x:row r="54" ht="25" customHeight="1">
      <x:c r="A54" s="22" t="str">
        <x:v>V-050</x:v>
      </x:c>
      <x:c r="B54" s="25" t="n">
        <x:v>46261</x:v>
      </x:c>
      <x:c r="C54" s="26" t="str">
        <x:v>José</x:v>
      </x:c>
      <x:c r="D54" s="26" t="str">
        <x:v>212 Vip Men</x:v>
      </x:c>
      <x:c r="E54" s="27" t="n">
        <x:v>24</x:v>
      </x:c>
      <x:c r="F54" s="26" t="str">
        <x:v>Divisa</x:v>
      </x:c>
      <x:c r="G54" s="28" t="n">
        <x:f>IF(C54="","",SUMIFS('PAGOS'!$K$5:$K$504,'PAGOS'!$C$5:$C$504,A54,'PAGOS'!$Q$5:$Q$504,"Aplicar",'PAGOS'!$B$5:$B$504,"&lt;="&amp;'AJUSTES'!$B$4))</x:f>
        <x:v>20</x:v>
      </x:c>
      <x:c r="H54" s="28" t="n">
        <x:f>IF(C54="","",IF(AND(ISNUMBER(O54),O54&lt;='AJUSTES'!$B$4),0,IF(OR(P54&lt;&gt;"Incluir",NOT(ISNUMBER(E54)),B54="",B54&gt;'AJUSTES'!$B$4,S54&gt;0),"",MAX(0,ROUND(E54-G54,2)))))</x:f>
        <x:v>0</x:v>
      </x:c>
      <x:c r="I54" s="22" t="str">
        <x:f>IF(C54="","",IF(P54="Anulada","Anulada",IF(B54&gt;'AJUSTES'!$B$4,"Posterior al corte",IF(NOT(ISNUMBER(H54)),"Por conciliar",IF(H54&lt;='AJUSTES'!$B$10,"Pagado",IF(J54&gt;0,"Moroso","Vigente"))))))</x:f>
        <x:v>Pagado</x:v>
      </x:c>
      <x:c r="J54" s="22" t="n">
        <x:f>IF(OR(C54="",NOT(ISNUMBER(H54)),NOT(ISNUMBER(N54))),"",IF(H54&gt;'AJUSTES'!$B$10,MAX(0,'AJUSTES'!$B$4-N54),0))</x:f>
        <x:v>0</x:v>
      </x:c>
      <x:c r="K54" s="27" t="n">
        <x:v>12</x:v>
      </x:c>
      <x:c r="L54" s="26" t="str">
        <x:v>Gregory</x:v>
      </x:c>
      <x:c r="M54" s="26" t="n">
        <x:v>30</x:v>
      </x:c>
      <x:c r="N54" s="29" t="n">
        <x:f>IF(OR(NOT(ISNUMBER(B54)),NOT(ISNUMBER(M54))),"",B54+M54)</x:f>
        <x:v>46291</x:v>
      </x:c>
      <x:c r="O54" s="25" t="n">
        <x:v>46277</x:v>
      </x:c>
      <x:c r="P54" s="26" t="str">
        <x:v>Incluir</x:v>
      </x:c>
      <x:c r="Q54" s="22" t="str">
        <x:v> Cierre explícito en M-0338. Cierre confirmado, equivalente conocido 20; diferencia 4 por conciliar, sin crear efectivo.</x:v>
      </x:c>
      <x:c r="R54" s="22" t="str">
        <x:v>Excel VENTAS!fila 53; M-0292</x:v>
      </x:c>
      <x:c r="S54" s="22" t="n">
        <x:f>IF(C54="","",COUNTIFS('PAGOS'!$C$5:$C$504,A54,'PAGOS'!$B$5:$B$504,"&gt;0",'PAGOS'!$B$5:$B$504,"&lt;="&amp;'AJUSTES'!$B$4,'PAGOS'!$N$5:$N$504,"Incluir",'PAGOS'!$Q$5:$Q$504,"&lt;&gt;Aplicar"))</x:f>
        <x:v>0</x:v>
      </x:c>
      <x:c r="T54" s="28" t="n">
        <x:f>IF(AND(C54&lt;&gt;"",ISNUMBER(O54),O54&lt;='AJUSTES'!$B$4,ISNUMBER(E54)),ROUND(E54-G54,2),"")</x:f>
        <x:v>4</x:v>
      </x:c>
    </x:row>
    <x:row r="55" ht="25" customHeight="1">
      <x:c r="A55" s="22" t="str">
        <x:v>V-051</x:v>
      </x:c>
      <x:c r="B55" s="25" t="n">
        <x:v>46261</x:v>
      </x:c>
      <x:c r="C55" s="26" t="str">
        <x:v>Landaeta</x:v>
      </x:c>
      <x:c r="D55" s="26" t="str">
        <x:v>Asad Bourbon</x:v>
      </x:c>
      <x:c r="E55" s="27" t="n">
        <x:v>24</x:v>
      </x:c>
      <x:c r="F55" s="26" t="str">
        <x:v>BCV</x:v>
      </x:c>
      <x:c r="G55" s="28" t="n">
        <x:f>IF(C55="","",SUMIFS('PAGOS'!$K$5:$K$504,'PAGOS'!$C$5:$C$504,A55,'PAGOS'!$Q$5:$Q$504,"Aplicar",'PAGOS'!$B$5:$B$504,"&lt;="&amp;'AJUSTES'!$B$4))</x:f>
        <x:v>24</x:v>
      </x:c>
      <x:c r="H55" s="28" t="n">
        <x:f>IF(C55="","",IF(AND(ISNUMBER(O55),O55&lt;='AJUSTES'!$B$4),0,IF(OR(P55&lt;&gt;"Incluir",NOT(ISNUMBER(E55)),B55="",B55&gt;'AJUSTES'!$B$4,S55&gt;0),"",MAX(0,ROUND(E55-G55,2)))))</x:f>
        <x:v>0</x:v>
      </x:c>
      <x:c r="I55" s="22" t="str">
        <x:f>IF(C55="","",IF(P55="Anulada","Anulada",IF(B55&gt;'AJUSTES'!$B$4,"Posterior al corte",IF(NOT(ISNUMBER(H55)),"Por conciliar",IF(H55&lt;='AJUSTES'!$B$10,"Pagado",IF(J55&gt;0,"Moroso","Vigente"))))))</x:f>
        <x:v>Pagado</x:v>
      </x:c>
      <x:c r="J55" s="22" t="n">
        <x:f>IF(OR(C55="",NOT(ISNUMBER(H55)),NOT(ISNUMBER(N55))),"",IF(H55&gt;'AJUSTES'!$B$10,MAX(0,'AJUSTES'!$B$4-N55),0))</x:f>
        <x:v>0</x:v>
      </x:c>
      <x:c r="K55" s="27" t="n">
        <x:v>13</x:v>
      </x:c>
      <x:c r="L55" s="26" t="str">
        <x:v>Gregory</x:v>
      </x:c>
      <x:c r="M55" s="26" t="n">
        <x:v>30</x:v>
      </x:c>
      <x:c r="N55" s="29" t="n">
        <x:f>IF(OR(NOT(ISNUMBER(B55)),NOT(ISNUMBER(M55))),"",B55+M55)</x:f>
        <x:v>46291</x:v>
      </x:c>
      <x:c r="O55" s="25" t="n">
        <x:v>46270</x:v>
      </x:c>
      <x:c r="P55" s="26" t="str">
        <x:v>Incluir</x:v>
      </x:c>
      <x:c r="Q55" s="22" t="str">
        <x:v> Cierre explícito en M-0316.</x:v>
      </x:c>
      <x:c r="R55" s="22" t="str">
        <x:v>Excel VENTAS!fila 54; M-0293</x:v>
      </x:c>
      <x:c r="S55" s="22" t="n">
        <x:f>IF(C55="","",COUNTIFS('PAGOS'!$C$5:$C$504,A55,'PAGOS'!$B$5:$B$504,"&gt;0",'PAGOS'!$B$5:$B$504,"&lt;="&amp;'AJUSTES'!$B$4,'PAGOS'!$N$5:$N$504,"Incluir",'PAGOS'!$Q$5:$Q$504,"&lt;&gt;Aplicar"))</x:f>
        <x:v>0</x:v>
      </x:c>
      <x:c r="T55" s="28" t="n">
        <x:f>IF(AND(C55&lt;&gt;"",ISNUMBER(O55),O55&lt;='AJUSTES'!$B$4,ISNUMBER(E55)),ROUND(E55-G55,2),"")</x:f>
        <x:v>0</x:v>
      </x:c>
    </x:row>
    <x:row r="56" ht="25" customHeight="1">
      <x:c r="A56" s="22" t="str">
        <x:v>V-052</x:v>
      </x:c>
      <x:c r="B56" s="25" t="n">
        <x:v>46260</x:v>
      </x:c>
      <x:c r="C56" s="26" t="str">
        <x:v>Ricardo</x:v>
      </x:c>
      <x:c r="D56" s="26" t="str">
        <x:v>Club de Nuit Intense</x:v>
      </x:c>
      <x:c r="E56" s="27" t="n">
        <x:v>19</x:v>
      </x:c>
      <x:c r="F56" s="26" t="str">
        <x:v>USDT</x:v>
      </x:c>
      <x:c r="G56" s="28" t="n">
        <x:f>IF(C56="","",SUMIFS('PAGOS'!$K$5:$K$504,'PAGOS'!$C$5:$C$504,A56,'PAGOS'!$Q$5:$Q$504,"Aplicar",'PAGOS'!$B$5:$B$504,"&lt;="&amp;'AJUSTES'!$B$4))</x:f>
        <x:v>0</x:v>
      </x:c>
      <x:c r="H56" s="28" t="n">
        <x:f>IF(C56="","",IF(AND(ISNUMBER(O56),O56&lt;='AJUSTES'!$B$4),0,IF(OR(P56&lt;&gt;"Incluir",NOT(ISNUMBER(E56)),B56="",B56&gt;'AJUSTES'!$B$4,S56&gt;0),"",MAX(0,ROUND(E56-G56,2)))))</x:f>
        <x:v>19</x:v>
      </x:c>
      <x:c r="I56" s="22" t="str">
        <x:f>IF(C56="","",IF(P56="Anulada","Anulada",IF(B56&gt;'AJUSTES'!$B$4,"Posterior al corte",IF(NOT(ISNUMBER(H56)),"Por conciliar",IF(H56&lt;='AJUSTES'!$B$10,"Pagado",IF(J56&gt;0,"Moroso","Vigente"))))))</x:f>
        <x:v>Vigente</x:v>
      </x:c>
      <x:c r="J56" s="22" t="n">
        <x:f>IF(OR(C56="",NOT(ISNUMBER(H56)),NOT(ISNUMBER(N56))),"",IF(H56&gt;'AJUSTES'!$B$10,MAX(0,'AJUSTES'!$B$4-N56),0))</x:f>
        <x:v>0</x:v>
      </x:c>
      <x:c r="K56" s="27" t="n">
        <x:v>15</x:v>
      </x:c>
      <x:c r="L56" s="26" t="str">
        <x:v>Gregory</x:v>
      </x:c>
      <x:c r="M56" s="26" t="n">
        <x:v>30</x:v>
      </x:c>
      <x:c r="N56" s="29" t="n">
        <x:f>IF(OR(NOT(ISNUMBER(B56)),NOT(ISNUMBER(M56))),"",B56+M56)</x:f>
        <x:v>46290</x:v>
      </x:c>
      <x:c r="O56" s="25" t="str"/>
      <x:c r="P56" s="26" t="str">
        <x:v>Incluir</x:v>
      </x:c>
      <x:c r="Q56" s="22" t="str">
        <x:v> Fecha Excel  sustituida por fecha declarada en chat 2026-08-26. Se conservan dos unidades: dos filas Excel, dos fichas chat y compra de dos Club de Nuit el 26/08. Fecha por revisar</x:v>
      </x:c>
      <x:c r="R56" s="22" t="str">
        <x:v>Excel VENTAS!fila 55; M-0302</x:v>
      </x:c>
      <x:c r="S56" s="22" t="n">
        <x:f>IF(C56="","",COUNTIFS('PAGOS'!$C$5:$C$504,A56,'PAGOS'!$B$5:$B$504,"&gt;0",'PAGOS'!$B$5:$B$504,"&lt;="&amp;'AJUSTES'!$B$4,'PAGOS'!$N$5:$N$504,"Incluir",'PAGOS'!$Q$5:$Q$504,"&lt;&gt;Aplicar"))</x:f>
        <x:v>0</x:v>
      </x:c>
      <x:c r="T56" s="28" t="str">
        <x:f>IF(AND(C56&lt;&gt;"",ISNUMBER(O56),O56&lt;='AJUSTES'!$B$4,ISNUMBER(E56)),ROUND(E56-G56,2),"")</x:f>
      </x:c>
    </x:row>
    <x:row r="57" ht="25" customHeight="1">
      <x:c r="A57" s="22" t="str">
        <x:v>V-053</x:v>
      </x:c>
      <x:c r="B57" s="25" t="n">
        <x:v>46260</x:v>
      </x:c>
      <x:c r="C57" s="26" t="str">
        <x:v>Ricardo</x:v>
      </x:c>
      <x:c r="D57" s="26" t="str">
        <x:v>Club de Nuit Intense</x:v>
      </x:c>
      <x:c r="E57" s="27" t="n">
        <x:v>19</x:v>
      </x:c>
      <x:c r="F57" s="26" t="str">
        <x:v>USDT</x:v>
      </x:c>
      <x:c r="G57" s="28" t="n">
        <x:f>IF(C57="","",SUMIFS('PAGOS'!$K$5:$K$504,'PAGOS'!$C$5:$C$504,A57,'PAGOS'!$Q$5:$Q$504,"Aplicar",'PAGOS'!$B$5:$B$504,"&lt;="&amp;'AJUSTES'!$B$4))</x:f>
        <x:v>0</x:v>
      </x:c>
      <x:c r="H57" s="28" t="n">
        <x:f>IF(C57="","",IF(AND(ISNUMBER(O57),O57&lt;='AJUSTES'!$B$4),0,IF(OR(P57&lt;&gt;"Incluir",NOT(ISNUMBER(E57)),B57="",B57&gt;'AJUSTES'!$B$4,S57&gt;0),"",MAX(0,ROUND(E57-G57,2)))))</x:f>
        <x:v>19</x:v>
      </x:c>
      <x:c r="I57" s="22" t="str">
        <x:f>IF(C57="","",IF(P57="Anulada","Anulada",IF(B57&gt;'AJUSTES'!$B$4,"Posterior al corte",IF(NOT(ISNUMBER(H57)),"Por conciliar",IF(H57&lt;='AJUSTES'!$B$10,"Pagado",IF(J57&gt;0,"Moroso","Vigente"))))))</x:f>
        <x:v>Vigente</x:v>
      </x:c>
      <x:c r="J57" s="22" t="n">
        <x:f>IF(OR(C57="",NOT(ISNUMBER(H57)),NOT(ISNUMBER(N57))),"",IF(H57&gt;'AJUSTES'!$B$10,MAX(0,'AJUSTES'!$B$4-N57),0))</x:f>
        <x:v>0</x:v>
      </x:c>
      <x:c r="K57" s="27" t="n">
        <x:v>15</x:v>
      </x:c>
      <x:c r="L57" s="26" t="str">
        <x:v>Gregory</x:v>
      </x:c>
      <x:c r="M57" s="26" t="n">
        <x:v>30</x:v>
      </x:c>
      <x:c r="N57" s="29" t="n">
        <x:f>IF(OR(NOT(ISNUMBER(B57)),NOT(ISNUMBER(M57))),"",B57+M57)</x:f>
        <x:v>46290</x:v>
      </x:c>
      <x:c r="O57" s="25" t="str"/>
      <x:c r="P57" s="26" t="str">
        <x:v>Incluir</x:v>
      </x:c>
      <x:c r="Q57" s="22" t="str">
        <x:v> Se conservan dos unidades: dos filas Excel, dos fichas chat y compra de dos Club de Nuit el 26/08.</x:v>
      </x:c>
      <x:c r="R57" s="22" t="str">
        <x:v>Excel VENTAS!fila 56; M-0301</x:v>
      </x:c>
      <x:c r="S57" s="22" t="n">
        <x:f>IF(C57="","",COUNTIFS('PAGOS'!$C$5:$C$504,A57,'PAGOS'!$B$5:$B$504,"&gt;0",'PAGOS'!$B$5:$B$504,"&lt;="&amp;'AJUSTES'!$B$4,'PAGOS'!$N$5:$N$504,"Incluir",'PAGOS'!$Q$5:$Q$504,"&lt;&gt;Aplicar"))</x:f>
        <x:v>0</x:v>
      </x:c>
      <x:c r="T57" s="28" t="str">
        <x:f>IF(AND(C57&lt;&gt;"",ISNUMBER(O57),O57&lt;='AJUSTES'!$B$4,ISNUMBER(E57)),ROUND(E57-G57,2),"")</x:f>
      </x:c>
    </x:row>
    <x:row r="58" ht="25" customHeight="1">
      <x:c r="A58" s="22" t="str">
        <x:v>V-054</x:v>
      </x:c>
      <x:c r="B58" s="25" t="n">
        <x:v>46259</x:v>
      </x:c>
      <x:c r="C58" s="26" t="str">
        <x:v>Ricardo</x:v>
      </x:c>
      <x:c r="D58" s="26" t="str">
        <x:v>Mandarin Sky</x:v>
      </x:c>
      <x:c r="E58" s="27" t="n">
        <x:v>19</x:v>
      </x:c>
      <x:c r="F58" s="26" t="str">
        <x:v>USDT</x:v>
      </x:c>
      <x:c r="G58" s="28" t="n">
        <x:f>IF(C58="","",SUMIFS('PAGOS'!$K$5:$K$504,'PAGOS'!$C$5:$C$504,A58,'PAGOS'!$Q$5:$Q$504,"Aplicar",'PAGOS'!$B$5:$B$504,"&lt;="&amp;'AJUSTES'!$B$4))</x:f>
        <x:v>0</x:v>
      </x:c>
      <x:c r="H58" s="28" t="n">
        <x:f>IF(C58="","",IF(AND(ISNUMBER(O58),O58&lt;='AJUSTES'!$B$4),0,IF(OR(P58&lt;&gt;"Incluir",NOT(ISNUMBER(E58)),B58="",B58&gt;'AJUSTES'!$B$4,S58&gt;0),"",MAX(0,ROUND(E58-G58,2)))))</x:f>
        <x:v>19</x:v>
      </x:c>
      <x:c r="I58" s="22" t="str">
        <x:f>IF(C58="","",IF(P58="Anulada","Anulada",IF(B58&gt;'AJUSTES'!$B$4,"Posterior al corte",IF(NOT(ISNUMBER(H58)),"Por conciliar",IF(H58&lt;='AJUSTES'!$B$10,"Pagado",IF(J58&gt;0,"Moroso","Vigente"))))))</x:f>
        <x:v>Vigente</x:v>
      </x:c>
      <x:c r="J58" s="22" t="n">
        <x:f>IF(OR(C58="",NOT(ISNUMBER(H58)),NOT(ISNUMBER(N58))),"",IF(H58&gt;'AJUSTES'!$B$10,MAX(0,'AJUSTES'!$B$4-N58),0))</x:f>
        <x:v>0</x:v>
      </x:c>
      <x:c r="K58" s="27" t="n">
        <x:v>15</x:v>
      </x:c>
      <x:c r="L58" s="26" t="str">
        <x:v>Gregory</x:v>
      </x:c>
      <x:c r="M58" s="26" t="n">
        <x:v>30</x:v>
      </x:c>
      <x:c r="N58" s="29" t="n">
        <x:f>IF(OR(NOT(ISNUMBER(B58)),NOT(ISNUMBER(M58))),"",B58+M58)</x:f>
        <x:v>46289</x:v>
      </x:c>
      <x:c r="O58" s="25" t="str"/>
      <x:c r="P58" s="26" t="str">
        <x:v>Incluir</x:v>
      </x:c>
      <x:c r="Q58" s="22" t="str"/>
      <x:c r="R58" s="22" t="str">
        <x:v>Excel VENTAS!fila 57; M-0303</x:v>
      </x:c>
      <x:c r="S58" s="22" t="n">
        <x:f>IF(C58="","",COUNTIFS('PAGOS'!$C$5:$C$504,A58,'PAGOS'!$B$5:$B$504,"&gt;0",'PAGOS'!$B$5:$B$504,"&lt;="&amp;'AJUSTES'!$B$4,'PAGOS'!$N$5:$N$504,"Incluir",'PAGOS'!$Q$5:$Q$504,"&lt;&gt;Aplicar"))</x:f>
        <x:v>0</x:v>
      </x:c>
      <x:c r="T58" s="28" t="str">
        <x:f>IF(AND(C58&lt;&gt;"",ISNUMBER(O58),O58&lt;='AJUSTES'!$B$4,ISNUMBER(E58)),ROUND(E58-G58,2),"")</x:f>
      </x:c>
    </x:row>
    <x:row r="59" ht="25" customHeight="1">
      <x:c r="A59" s="22" t="str">
        <x:v>V-055</x:v>
      </x:c>
      <x:c r="B59" s="25" t="n">
        <x:v>46275</x:v>
      </x:c>
      <x:c r="C59" s="26" t="str">
        <x:v>Raúl Aparicio</x:v>
      </x:c>
      <x:c r="D59" s="26" t="str">
        <x:v>9PM Rebel Mini</x:v>
      </x:c>
      <x:c r="E59" s="27" t="n">
        <x:v>16</x:v>
      </x:c>
      <x:c r="F59" s="26" t="str">
        <x:v>BCV</x:v>
      </x:c>
      <x:c r="G59" s="28" t="n">
        <x:f>IF(C59="","",SUMIFS('PAGOS'!$K$5:$K$504,'PAGOS'!$C$5:$C$504,A59,'PAGOS'!$Q$5:$Q$504,"Aplicar",'PAGOS'!$B$5:$B$504,"&lt;="&amp;'AJUSTES'!$B$4))</x:f>
        <x:v>8</x:v>
      </x:c>
      <x:c r="H59" s="28" t="n">
        <x:f>IF(C59="","",IF(AND(ISNUMBER(O59),O59&lt;='AJUSTES'!$B$4),0,IF(OR(P59&lt;&gt;"Incluir",NOT(ISNUMBER(E59)),B59="",B59&gt;'AJUSTES'!$B$4,S59&gt;0),"",MAX(0,ROUND(E59-G59,2)))))</x:f>
        <x:v>8</x:v>
      </x:c>
      <x:c r="I59" s="22" t="str">
        <x:f>IF(C59="","",IF(P59="Anulada","Anulada",IF(B59&gt;'AJUSTES'!$B$4,"Posterior al corte",IF(NOT(ISNUMBER(H59)),"Por conciliar",IF(H59&lt;='AJUSTES'!$B$10,"Pagado",IF(J59&gt;0,"Moroso","Vigente"))))))</x:f>
        <x:v>Vigente</x:v>
      </x:c>
      <x:c r="J59" s="22" t="n">
        <x:f>IF(OR(C59="",NOT(ISNUMBER(H59)),NOT(ISNUMBER(N59))),"",IF(H59&gt;'AJUSTES'!$B$10,MAX(0,'AJUSTES'!$B$4-N59),0))</x:f>
        <x:v>0</x:v>
      </x:c>
      <x:c r="K59" s="27" t="n">
        <x:v>5.42</x:v>
      </x:c>
      <x:c r="L59" s="26" t="str">
        <x:v>Gregory</x:v>
      </x:c>
      <x:c r="M59" s="26" t="n">
        <x:v>30</x:v>
      </x:c>
      <x:c r="N59" s="29" t="n">
        <x:f>IF(OR(NOT(ISNUMBER(B59)),NOT(ISNUMBER(M59))),"",B59+M59)</x:f>
        <x:v>46305</x:v>
      </x:c>
      <x:c r="O59" s="25" t="str"/>
      <x:c r="P59" s="26" t="str">
        <x:v>Incluir</x:v>
      </x:c>
      <x:c r="Q59" s="22" t="str"/>
      <x:c r="R59" s="22" t="str">
        <x:v>Excel VENTAS!fila 58; M-0321</x:v>
      </x:c>
      <x:c r="S59" s="22" t="n">
        <x:f>IF(C59="","",COUNTIFS('PAGOS'!$C$5:$C$504,A59,'PAGOS'!$B$5:$B$504,"&gt;0",'PAGOS'!$B$5:$B$504,"&lt;="&amp;'AJUSTES'!$B$4,'PAGOS'!$N$5:$N$504,"Incluir",'PAGOS'!$Q$5:$Q$504,"&lt;&gt;Aplicar"))</x:f>
        <x:v>0</x:v>
      </x:c>
      <x:c r="T59" s="28" t="str">
        <x:f>IF(AND(C59&lt;&gt;"",ISNUMBER(O59),O59&lt;='AJUSTES'!$B$4,ISNUMBER(E59)),ROUND(E59-G59,2),"")</x:f>
      </x:c>
    </x:row>
    <x:row r="60" ht="25" customHeight="1">
      <x:c r="A60" s="22" t="str">
        <x:v>V-056</x:v>
      </x:c>
      <x:c r="B60" s="25" t="n">
        <x:v>46275</x:v>
      </x:c>
      <x:c r="C60" s="26" t="str">
        <x:v>Elías</x:v>
      </x:c>
      <x:c r="D60" s="26" t="str">
        <x:v>9PM Elixir</x:v>
      </x:c>
      <x:c r="E60" s="27" t="n">
        <x:v>10</x:v>
      </x:c>
      <x:c r="F60" s="26" t="str">
        <x:v>Divisa</x:v>
      </x:c>
      <x:c r="G60" s="28" t="n">
        <x:f>IF(C60="","",SUMIFS('PAGOS'!$K$5:$K$504,'PAGOS'!$C$5:$C$504,A60,'PAGOS'!$Q$5:$Q$504,"Aplicar",'PAGOS'!$B$5:$B$504,"&lt;="&amp;'AJUSTES'!$B$4))</x:f>
        <x:v>10</x:v>
      </x:c>
      <x:c r="H60" s="28" t="n">
        <x:f>IF(C60="","",IF(AND(ISNUMBER(O60),O60&lt;='AJUSTES'!$B$4),0,IF(OR(P60&lt;&gt;"Incluir",NOT(ISNUMBER(E60)),B60="",B60&gt;'AJUSTES'!$B$4,S60&gt;0),"",MAX(0,ROUND(E60-G60,2)))))</x:f>
        <x:v>0</x:v>
      </x:c>
      <x:c r="I60" s="22" t="str">
        <x:f>IF(C60="","",IF(P60="Anulada","Anulada",IF(B60&gt;'AJUSTES'!$B$4,"Posterior al corte",IF(NOT(ISNUMBER(H60)),"Por conciliar",IF(H60&lt;='AJUSTES'!$B$10,"Pagado",IF(J60&gt;0,"Moroso","Vigente"))))))</x:f>
        <x:v>Pagado</x:v>
      </x:c>
      <x:c r="J60" s="22" t="n">
        <x:f>IF(OR(C60="",NOT(ISNUMBER(H60)),NOT(ISNUMBER(N60))),"",IF(H60&gt;'AJUSTES'!$B$10,MAX(0,'AJUSTES'!$B$4-N60),0))</x:f>
        <x:v>0</x:v>
      </x:c>
      <x:c r="K60" s="27" t="str"/>
      <x:c r="L60" s="26" t="str">
        <x:v>Gregory</x:v>
      </x:c>
      <x:c r="M60" s="26" t="n">
        <x:v>30</x:v>
      </x:c>
      <x:c r="N60" s="29" t="n">
        <x:f>IF(OR(NOT(ISNUMBER(B60)),NOT(ISNUMBER(M60))),"",B60+M60)</x:f>
        <x:v>46305</x:v>
      </x:c>
      <x:c r="O60" s="25" t="n">
        <x:v>46276</x:v>
      </x:c>
      <x:c r="P60" s="26" t="str">
        <x:v>Incluir</x:v>
      </x:c>
      <x:c r="Q60" s="22" t="str">
        <x:v> Fecha Excel 2026-09-11 sustituida por fecha declarada en chat 2026-09-10. Cierre explícito en M-0337. Inicial representada en P-057.</x:v>
      </x:c>
      <x:c r="R60" s="22" t="str">
        <x:v>Excel VENTAS!fila 59; M-0322</x:v>
      </x:c>
      <x:c r="S60" s="22" t="n">
        <x:f>IF(C60="","",COUNTIFS('PAGOS'!$C$5:$C$504,A60,'PAGOS'!$B$5:$B$504,"&gt;0",'PAGOS'!$B$5:$B$504,"&lt;="&amp;'AJUSTES'!$B$4,'PAGOS'!$N$5:$N$504,"Incluir",'PAGOS'!$Q$5:$Q$504,"&lt;&gt;Aplicar"))</x:f>
        <x:v>0</x:v>
      </x:c>
      <x:c r="T60" s="28" t="n">
        <x:f>IF(AND(C60&lt;&gt;"",ISNUMBER(O60),O60&lt;='AJUSTES'!$B$4,ISNUMBER(E60)),ROUND(E60-G60,2),"")</x:f>
        <x:v>0</x:v>
      </x:c>
    </x:row>
    <x:row r="61" ht="25" customHeight="1">
      <x:c r="A61" s="22" t="str">
        <x:v>V-057</x:v>
      </x:c>
      <x:c r="B61" s="25" t="n">
        <x:v>46275</x:v>
      </x:c>
      <x:c r="C61" s="26" t="str">
        <x:v>Amarista</x:v>
      </x:c>
      <x:c r="D61" s="26" t="str">
        <x:v>9PM Rebel Mini</x:v>
      </x:c>
      <x:c r="E61" s="27" t="n">
        <x:v>16</x:v>
      </x:c>
      <x:c r="F61" s="26" t="str">
        <x:v>BCV</x:v>
      </x:c>
      <x:c r="G61" s="28" t="n">
        <x:f>IF(C61="","",SUMIFS('PAGOS'!$K$5:$K$504,'PAGOS'!$C$5:$C$504,A61,'PAGOS'!$Q$5:$Q$504,"Aplicar",'PAGOS'!$B$5:$B$504,"&lt;="&amp;'AJUSTES'!$B$4))</x:f>
        <x:v>16</x:v>
      </x:c>
      <x:c r="H61" s="28" t="n">
        <x:f>IF(C61="","",IF(AND(ISNUMBER(O61),O61&lt;='AJUSTES'!$B$4),0,IF(OR(P61&lt;&gt;"Incluir",NOT(ISNUMBER(E61)),B61="",B61&gt;'AJUSTES'!$B$4,S61&gt;0),"",MAX(0,ROUND(E61-G61,2)))))</x:f>
        <x:v>0</x:v>
      </x:c>
      <x:c r="I61" s="22" t="str">
        <x:f>IF(C61="","",IF(P61="Anulada","Anulada",IF(B61&gt;'AJUSTES'!$B$4,"Posterior al corte",IF(NOT(ISNUMBER(H61)),"Por conciliar",IF(H61&lt;='AJUSTES'!$B$10,"Pagado",IF(J61&gt;0,"Moroso","Vigente"))))))</x:f>
        <x:v>Pagado</x:v>
      </x:c>
      <x:c r="J61" s="22" t="n">
        <x:f>IF(OR(C61="",NOT(ISNUMBER(H61)),NOT(ISNUMBER(N61))),"",IF(H61&gt;'AJUSTES'!$B$10,MAX(0,'AJUSTES'!$B$4-N61),0))</x:f>
        <x:v>0</x:v>
      </x:c>
      <x:c r="K61" s="27" t="n">
        <x:v>5.42</x:v>
      </x:c>
      <x:c r="L61" s="26" t="str">
        <x:v>Gregory</x:v>
      </x:c>
      <x:c r="M61" s="26" t="n">
        <x:v>30</x:v>
      </x:c>
      <x:c r="N61" s="29" t="n">
        <x:f>IF(OR(NOT(ISNUMBER(B61)),NOT(ISNUMBER(M61))),"",B61+M61)</x:f>
        <x:v>46305</x:v>
      </x:c>
      <x:c r="O61" s="25" t="str"/>
      <x:c r="P61" s="26" t="str">
        <x:v>Incluir</x:v>
      </x:c>
      <x:c r="Q61" s="22" t="str"/>
      <x:c r="R61" s="22" t="str">
        <x:v>Excel VENTAS!fila 60; M-0323</x:v>
      </x:c>
      <x:c r="S61" s="22" t="n">
        <x:f>IF(C61="","",COUNTIFS('PAGOS'!$C$5:$C$504,A61,'PAGOS'!$B$5:$B$504,"&gt;0",'PAGOS'!$B$5:$B$504,"&lt;="&amp;'AJUSTES'!$B$4,'PAGOS'!$N$5:$N$504,"Incluir",'PAGOS'!$Q$5:$Q$504,"&lt;&gt;Aplicar"))</x:f>
        <x:v>0</x:v>
      </x:c>
      <x:c r="T61" s="28" t="str">
        <x:f>IF(AND(C61&lt;&gt;"",ISNUMBER(O61),O61&lt;='AJUSTES'!$B$4,ISNUMBER(E61)),ROUND(E61-G61,2),"")</x:f>
      </x:c>
    </x:row>
    <x:row r="62" ht="25" customHeight="1">
      <x:c r="A62" s="22" t="str">
        <x:v>V-058</x:v>
      </x:c>
      <x:c r="B62" s="25" t="n">
        <x:v>46275</x:v>
      </x:c>
      <x:c r="C62" s="26" t="str">
        <x:v>Ángel</x:v>
      </x:c>
      <x:c r="D62" s="26" t="str">
        <x:v>9PM</x:v>
      </x:c>
      <x:c r="E62" s="27" t="n">
        <x:v>16</x:v>
      </x:c>
      <x:c r="F62" s="26" t="str">
        <x:v>BCV</x:v>
      </x:c>
      <x:c r="G62" s="28" t="n">
        <x:f>IF(C62="","",SUMIFS('PAGOS'!$K$5:$K$504,'PAGOS'!$C$5:$C$504,A62,'PAGOS'!$Q$5:$Q$504,"Aplicar",'PAGOS'!$B$5:$B$504,"&lt;="&amp;'AJUSTES'!$B$4))</x:f>
        <x:v>8</x:v>
      </x:c>
      <x:c r="H62" s="28" t="n">
        <x:f>IF(C62="","",IF(AND(ISNUMBER(O62),O62&lt;='AJUSTES'!$B$4),0,IF(OR(P62&lt;&gt;"Incluir",NOT(ISNUMBER(E62)),B62="",B62&gt;'AJUSTES'!$B$4,S62&gt;0),"",MAX(0,ROUND(E62-G62,2)))))</x:f>
        <x:v>8</x:v>
      </x:c>
      <x:c r="I62" s="22" t="str">
        <x:f>IF(C62="","",IF(P62="Anulada","Anulada",IF(B62&gt;'AJUSTES'!$B$4,"Posterior al corte",IF(NOT(ISNUMBER(H62)),"Por conciliar",IF(H62&lt;='AJUSTES'!$B$10,"Pagado",IF(J62&gt;0,"Moroso","Vigente"))))))</x:f>
        <x:v>Vigente</x:v>
      </x:c>
      <x:c r="J62" s="22" t="n">
        <x:f>IF(OR(C62="",NOT(ISNUMBER(H62)),NOT(ISNUMBER(N62))),"",IF(H62&gt;'AJUSTES'!$B$10,MAX(0,'AJUSTES'!$B$4-N62),0))</x:f>
        <x:v>0</x:v>
      </x:c>
      <x:c r="K62" s="27" t="n">
        <x:v>5.42</x:v>
      </x:c>
      <x:c r="L62" s="26" t="str">
        <x:v>Gregory</x:v>
      </x:c>
      <x:c r="M62" s="26" t="n">
        <x:v>30</x:v>
      </x:c>
      <x:c r="N62" s="29" t="n">
        <x:f>IF(OR(NOT(ISNUMBER(B62)),NOT(ISNUMBER(M62))),"",B62+M62)</x:f>
        <x:v>46305</x:v>
      </x:c>
      <x:c r="O62" s="25" t="str"/>
      <x:c r="P62" s="26" t="str">
        <x:v>Incluir</x:v>
      </x:c>
      <x:c r="Q62" s="22" t="str">
        <x:v> Inicial representada en P-061.</x:v>
      </x:c>
      <x:c r="R62" s="22" t="str">
        <x:v>Excel VENTAS!fila 61; M-0324</x:v>
      </x:c>
      <x:c r="S62" s="22" t="n">
        <x:f>IF(C62="","",COUNTIFS('PAGOS'!$C$5:$C$504,A62,'PAGOS'!$B$5:$B$504,"&gt;0",'PAGOS'!$B$5:$B$504,"&lt;="&amp;'AJUSTES'!$B$4,'PAGOS'!$N$5:$N$504,"Incluir",'PAGOS'!$Q$5:$Q$504,"&lt;&gt;Aplicar"))</x:f>
        <x:v>0</x:v>
      </x:c>
      <x:c r="T62" s="28" t="str">
        <x:f>IF(AND(C62&lt;&gt;"",ISNUMBER(O62),O62&lt;='AJUSTES'!$B$4,ISNUMBER(E62)),ROUND(E62-G62,2),"")</x:f>
      </x:c>
    </x:row>
    <x:row r="63" ht="25" customHeight="1">
      <x:c r="A63" s="22" t="str">
        <x:v>V-059</x:v>
      </x:c>
      <x:c r="B63" s="25" t="n">
        <x:v>46275</x:v>
      </x:c>
      <x:c r="C63" s="26" t="str">
        <x:v>Landaeta</x:v>
      </x:c>
      <x:c r="D63" s="26" t="str">
        <x:v>Cloud</x:v>
      </x:c>
      <x:c r="E63" s="27" t="n">
        <x:v>26</x:v>
      </x:c>
      <x:c r="F63" s="26" t="str">
        <x:v>BCV</x:v>
      </x:c>
      <x:c r="G63" s="28" t="n">
        <x:f>IF(C63="","",SUMIFS('PAGOS'!$K$5:$K$504,'PAGOS'!$C$5:$C$504,A63,'PAGOS'!$Q$5:$Q$504,"Aplicar",'PAGOS'!$B$5:$B$504,"&lt;="&amp;'AJUSTES'!$B$4))</x:f>
        <x:v>13</x:v>
      </x:c>
      <x:c r="H63" s="28" t="str">
        <x:f>IF(C63="","",IF(AND(ISNUMBER(O63),O63&lt;='AJUSTES'!$B$4),0,IF(OR(P63&lt;&gt;"Incluir",NOT(ISNUMBER(E63)),B63="",B63&gt;'AJUSTES'!$B$4,S63&gt;0),"",MAX(0,ROUND(E63-G63,2)))))</x:f>
      </x:c>
      <x:c r="I63" s="22" t="str">
        <x:f>IF(C63="","",IF(P63="Anulada","Anulada",IF(B63&gt;'AJUSTES'!$B$4,"Posterior al corte",IF(NOT(ISNUMBER(H63)),"Por conciliar",IF(H63&lt;='AJUSTES'!$B$10,"Pagado",IF(J63&gt;0,"Moroso","Vigente"))))))</x:f>
        <x:v>Por conciliar</x:v>
      </x:c>
      <x:c r="J63" s="22" t="str">
        <x:f>IF(OR(C63="",NOT(ISNUMBER(H63)),NOT(ISNUMBER(N63))),"",IF(H63&gt;'AJUSTES'!$B$10,MAX(0,'AJUSTES'!$B$4-N63),0))</x:f>
      </x:c>
      <x:c r="K63" s="27" t="n">
        <x:v>12</x:v>
      </x:c>
      <x:c r="L63" s="26" t="str">
        <x:v>Gregory</x:v>
      </x:c>
      <x:c r="M63" s="26" t="n">
        <x:v>30</x:v>
      </x:c>
      <x:c r="N63" s="29" t="n">
        <x:f>IF(OR(NOT(ISNUMBER(B63)),NOT(ISNUMBER(M63))),"",B63+M63)</x:f>
        <x:v>46305</x:v>
      </x:c>
      <x:c r="O63" s="25" t="str"/>
      <x:c r="P63" s="26" t="str">
        <x:v>Incluir</x:v>
      </x:c>
      <x:c r="Q63" s="22" t="str"/>
      <x:c r="R63" s="22" t="str">
        <x:v>Excel VENTAS!fila 62; M-0325</x:v>
      </x:c>
      <x:c r="S63" s="22" t="n">
        <x:f>IF(C63="","",COUNTIFS('PAGOS'!$C$5:$C$504,A63,'PAGOS'!$B$5:$B$504,"&gt;0",'PAGOS'!$B$5:$B$504,"&lt;="&amp;'AJUSTES'!$B$4,'PAGOS'!$N$5:$N$504,"Incluir",'PAGOS'!$Q$5:$Q$504,"&lt;&gt;Aplicar"))</x:f>
        <x:v>1</x:v>
      </x:c>
      <x:c r="T63" s="28" t="str">
        <x:f>IF(AND(C63&lt;&gt;"",ISNUMBER(O63),O63&lt;='AJUSTES'!$B$4,ISNUMBER(E63)),ROUND(E63-G63,2),"")</x:f>
      </x:c>
    </x:row>
    <x:row r="64" ht="25" customHeight="1">
      <x:c r="A64" s="22" t="str">
        <x:v>V-060</x:v>
      </x:c>
      <x:c r="B64" s="25" t="n">
        <x:v>46277</x:v>
      </x:c>
      <x:c r="C64" s="26" t="str">
        <x:v>Ricardo Gomez</x:v>
      </x:c>
      <x:c r="D64" s="26" t="str">
        <x:v>9PM Rebel Mini</x:v>
      </x:c>
      <x:c r="E64" s="27" t="n">
        <x:v>8.5</x:v>
      </x:c>
      <x:c r="F64" s="26" t="str">
        <x:v>USDT</x:v>
      </x:c>
      <x:c r="G64" s="28" t="n">
        <x:f>IF(C64="","",SUMIFS('PAGOS'!$K$5:$K$504,'PAGOS'!$C$5:$C$504,A64,'PAGOS'!$Q$5:$Q$504,"Aplicar",'PAGOS'!$B$5:$B$504,"&lt;="&amp;'AJUSTES'!$B$4))</x:f>
        <x:v>0</x:v>
      </x:c>
      <x:c r="H64" s="28" t="n">
        <x:f>IF(C64="","",IF(AND(ISNUMBER(O64),O64&lt;='AJUSTES'!$B$4),0,IF(OR(P64&lt;&gt;"Incluir",NOT(ISNUMBER(E64)),B64="",B64&gt;'AJUSTES'!$B$4,S64&gt;0),"",MAX(0,ROUND(E64-G64,2)))))</x:f>
        <x:v>8.5</x:v>
      </x:c>
      <x:c r="I64" s="22" t="str">
        <x:f>IF(C64="","",IF(P64="Anulada","Anulada",IF(B64&gt;'AJUSTES'!$B$4,"Posterior al corte",IF(NOT(ISNUMBER(H64)),"Por conciliar",IF(H64&lt;='AJUSTES'!$B$10,"Pagado",IF(J64&gt;0,"Moroso","Vigente"))))))</x:f>
        <x:v>Vigente</x:v>
      </x:c>
      <x:c r="J64" s="22" t="n">
        <x:f>IF(OR(C64="",NOT(ISNUMBER(H64)),NOT(ISNUMBER(N64))),"",IF(H64&gt;'AJUSTES'!$B$10,MAX(0,'AJUSTES'!$B$4-N64),0))</x:f>
        <x:v>0</x:v>
      </x:c>
      <x:c r="K64" s="27" t="str"/>
      <x:c r="L64" s="26" t="str">
        <x:v>Gregory</x:v>
      </x:c>
      <x:c r="M64" s="26" t="n">
        <x:v>30</x:v>
      </x:c>
      <x:c r="N64" s="29" t="n">
        <x:f>IF(OR(NOT(ISNUMBER(B64)),NOT(ISNUMBER(M64))),"",B64+M64)</x:f>
        <x:v>46307</x:v>
      </x:c>
      <x:c r="O64" s="25" t="str"/>
      <x:c r="P64" s="26" t="str">
        <x:v>Incluir</x:v>
      </x:c>
      <x:c r="Q64" s="22" t="str"/>
      <x:c r="R64" s="22" t="str">
        <x:v>Excel VENTAS!fila 63; M-0339</x:v>
      </x:c>
      <x:c r="S64" s="22" t="n">
        <x:f>IF(C64="","",COUNTIFS('PAGOS'!$C$5:$C$504,A64,'PAGOS'!$B$5:$B$504,"&gt;0",'PAGOS'!$B$5:$B$504,"&lt;="&amp;'AJUSTES'!$B$4,'PAGOS'!$N$5:$N$504,"Incluir",'PAGOS'!$Q$5:$Q$504,"&lt;&gt;Aplicar"))</x:f>
        <x:v>0</x:v>
      </x:c>
      <x:c r="T64" s="28" t="str">
        <x:f>IF(AND(C64&lt;&gt;"",ISNUMBER(O64),O64&lt;='AJUSTES'!$B$4,ISNUMBER(E64)),ROUND(E64-G64,2),"")</x:f>
      </x:c>
    </x:row>
    <x:row r="65" ht="25" customHeight="1">
      <x:c r="A65" s="22" t="str">
        <x:v>V-061</x:v>
      </x:c>
      <x:c r="B65" s="25" t="n">
        <x:v>46277</x:v>
      </x:c>
      <x:c r="C65" s="26" t="str">
        <x:v>Ricardo Gomez</x:v>
      </x:c>
      <x:c r="D65" s="26" t="str">
        <x:v>9AM Dive</x:v>
      </x:c>
      <x:c r="E65" s="27" t="n">
        <x:v>8.5</x:v>
      </x:c>
      <x:c r="F65" s="26" t="str">
        <x:v>Sin confirmar</x:v>
      </x:c>
      <x:c r="G65" s="28" t="n">
        <x:f>IF(C65="","",SUMIFS('PAGOS'!$K$5:$K$504,'PAGOS'!$C$5:$C$504,A65,'PAGOS'!$Q$5:$Q$504,"Aplicar",'PAGOS'!$B$5:$B$504,"&lt;="&amp;'AJUSTES'!$B$4))</x:f>
        <x:v>0</x:v>
      </x:c>
      <x:c r="H65" s="28" t="n">
        <x:f>IF(C65="","",IF(AND(ISNUMBER(O65),O65&lt;='AJUSTES'!$B$4),0,IF(OR(P65&lt;&gt;"Incluir",NOT(ISNUMBER(E65)),B65="",B65&gt;'AJUSTES'!$B$4,S65&gt;0),"",MAX(0,ROUND(E65-G65,2)))))</x:f>
        <x:v>8.5</x:v>
      </x:c>
      <x:c r="I65" s="22" t="str">
        <x:f>IF(C65="","",IF(P65="Anulada","Anulada",IF(B65&gt;'AJUSTES'!$B$4,"Posterior al corte",IF(NOT(ISNUMBER(H65)),"Por conciliar",IF(H65&lt;='AJUSTES'!$B$10,"Pagado",IF(J65&gt;0,"Moroso","Vigente"))))))</x:f>
        <x:v>Vigente</x:v>
      </x:c>
      <x:c r="J65" s="22" t="n">
        <x:f>IF(OR(C65="",NOT(ISNUMBER(H65)),NOT(ISNUMBER(N65))),"",IF(H65&gt;'AJUSTES'!$B$10,MAX(0,'AJUSTES'!$B$4-N65),0))</x:f>
        <x:v>0</x:v>
      </x:c>
      <x:c r="K65" s="27" t="str"/>
      <x:c r="L65" s="26" t="str">
        <x:v>Gregory</x:v>
      </x:c>
      <x:c r="M65" s="26" t="n">
        <x:v>30</x:v>
      </x:c>
      <x:c r="N65" s="29" t="n">
        <x:f>IF(OR(NOT(ISNUMBER(B65)),NOT(ISNUMBER(M65))),"",B65+M65)</x:f>
        <x:v>46307</x:v>
      </x:c>
      <x:c r="O65" s="25" t="str"/>
      <x:c r="P65" s="26" t="str">
        <x:v>Incluir</x:v>
      </x:c>
      <x:c r="Q65" s="22" t="str"/>
      <x:c r="R65" s="22" t="str">
        <x:v>Excel VENTAS!fila 64; M-0340</x:v>
      </x:c>
      <x:c r="S65" s="22" t="n">
        <x:f>IF(C65="","",COUNTIFS('PAGOS'!$C$5:$C$504,A65,'PAGOS'!$B$5:$B$504,"&gt;0",'PAGOS'!$B$5:$B$504,"&lt;="&amp;'AJUSTES'!$B$4,'PAGOS'!$N$5:$N$504,"Incluir",'PAGOS'!$Q$5:$Q$504,"&lt;&gt;Aplicar"))</x:f>
        <x:v>0</x:v>
      </x:c>
      <x:c r="T65" s="28" t="str">
        <x:f>IF(AND(C65&lt;&gt;"",ISNUMBER(O65),O65&lt;='AJUSTES'!$B$4,ISNUMBER(E65)),ROUND(E65-G65,2),"")</x:f>
      </x:c>
    </x:row>
    <x:row r="66" ht="25" customHeight="1">
      <x:c r="A66" s="22" t="str">
        <x:v>V-062</x:v>
      </x:c>
      <x:c r="B66" s="25" t="n">
        <x:v>46277</x:v>
      </x:c>
      <x:c r="C66" s="26" t="str">
        <x:v>Ricardo Gomez</x:v>
      </x:c>
      <x:c r="D66" s="26" t="str">
        <x:v>9PM</x:v>
      </x:c>
      <x:c r="E66" s="27" t="n">
        <x:v>8.5</x:v>
      </x:c>
      <x:c r="F66" s="26" t="str">
        <x:v>Sin confirmar</x:v>
      </x:c>
      <x:c r="G66" s="28" t="n">
        <x:f>IF(C66="","",SUMIFS('PAGOS'!$K$5:$K$504,'PAGOS'!$C$5:$C$504,A66,'PAGOS'!$Q$5:$Q$504,"Aplicar",'PAGOS'!$B$5:$B$504,"&lt;="&amp;'AJUSTES'!$B$4))</x:f>
        <x:v>0</x:v>
      </x:c>
      <x:c r="H66" s="28" t="n">
        <x:f>IF(C66="","",IF(AND(ISNUMBER(O66),O66&lt;='AJUSTES'!$B$4),0,IF(OR(P66&lt;&gt;"Incluir",NOT(ISNUMBER(E66)),B66="",B66&gt;'AJUSTES'!$B$4,S66&gt;0),"",MAX(0,ROUND(E66-G66,2)))))</x:f>
        <x:v>8.5</x:v>
      </x:c>
      <x:c r="I66" s="22" t="str">
        <x:f>IF(C66="","",IF(P66="Anulada","Anulada",IF(B66&gt;'AJUSTES'!$B$4,"Posterior al corte",IF(NOT(ISNUMBER(H66)),"Por conciliar",IF(H66&lt;='AJUSTES'!$B$10,"Pagado",IF(J66&gt;0,"Moroso","Vigente"))))))</x:f>
        <x:v>Vigente</x:v>
      </x:c>
      <x:c r="J66" s="22" t="n">
        <x:f>IF(OR(C66="",NOT(ISNUMBER(H66)),NOT(ISNUMBER(N66))),"",IF(H66&gt;'AJUSTES'!$B$10,MAX(0,'AJUSTES'!$B$4-N66),0))</x:f>
        <x:v>0</x:v>
      </x:c>
      <x:c r="K66" s="27" t="str"/>
      <x:c r="L66" s="26" t="str">
        <x:v>Gregory</x:v>
      </x:c>
      <x:c r="M66" s="26" t="n">
        <x:v>30</x:v>
      </x:c>
      <x:c r="N66" s="29" t="n">
        <x:f>IF(OR(NOT(ISNUMBER(B66)),NOT(ISNUMBER(M66))),"",B66+M66)</x:f>
        <x:v>46307</x:v>
      </x:c>
      <x:c r="O66" s="25" t="str"/>
      <x:c r="P66" s="26" t="str">
        <x:v>Incluir</x:v>
      </x:c>
      <x:c r="Q66" s="22" t="str"/>
      <x:c r="R66" s="22" t="str">
        <x:v>Excel VENTAS!fila 65; M-0341</x:v>
      </x:c>
      <x:c r="S66" s="22" t="n">
        <x:f>IF(C66="","",COUNTIFS('PAGOS'!$C$5:$C$504,A66,'PAGOS'!$B$5:$B$504,"&gt;0",'PAGOS'!$B$5:$B$504,"&lt;="&amp;'AJUSTES'!$B$4,'PAGOS'!$N$5:$N$504,"Incluir",'PAGOS'!$Q$5:$Q$504,"&lt;&gt;Aplicar"))</x:f>
        <x:v>0</x:v>
      </x:c>
      <x:c r="T66" s="28" t="str">
        <x:f>IF(AND(C66&lt;&gt;"",ISNUMBER(O66),O66&lt;='AJUSTES'!$B$4,ISNUMBER(E66)),ROUND(E66-G66,2),"")</x:f>
      </x:c>
    </x:row>
    <x:row r="67" ht="25" customHeight="1">
      <x:c r="A67" s="22" t="str">
        <x:v>V-063</x:v>
      </x:c>
      <x:c r="B67" s="25" t="n">
        <x:v>45135</x:v>
      </x:c>
      <x:c r="C67" s="26" t="str">
        <x:v>Leandro</x:v>
      </x:c>
      <x:c r="D67" s="26" t="str">
        <x:v>Jean Paul</x:v>
      </x:c>
      <x:c r="E67" s="27" t="n">
        <x:v>33</x:v>
      </x:c>
      <x:c r="F67" s="26" t="str">
        <x:v>BCV</x:v>
      </x:c>
      <x:c r="G67" s="28" t="n">
        <x:f>IF(C67="","",SUMIFS('PAGOS'!$K$5:$K$504,'PAGOS'!$C$5:$C$504,A67,'PAGOS'!$Q$5:$Q$504,"Aplicar",'PAGOS'!$B$5:$B$504,"&lt;="&amp;'AJUSTES'!$B$4))</x:f>
        <x:v>0</x:v>
      </x:c>
      <x:c r="H67" s="28" t="str">
        <x:f>IF(C67="","",IF(AND(ISNUMBER(O67),O67&lt;='AJUSTES'!$B$4),0,IF(OR(P67&lt;&gt;"Incluir",NOT(ISNUMBER(E67)),B67="",B67&gt;'AJUSTES'!$B$4,S67&gt;0),"",MAX(0,ROUND(E67-G67,2)))))</x:f>
      </x:c>
      <x:c r="I67" s="22" t="str">
        <x:f>IF(C67="","",IF(P67="Anulada","Anulada",IF(B67&gt;'AJUSTES'!$B$4,"Posterior al corte",IF(NOT(ISNUMBER(H67)),"Por conciliar",IF(H67&lt;='AJUSTES'!$B$10,"Pagado",IF(J67&gt;0,"Moroso","Vigente"))))))</x:f>
        <x:v>Por conciliar</x:v>
      </x:c>
      <x:c r="J67" s="22" t="str">
        <x:f>IF(OR(C67="",NOT(ISNUMBER(H67)),NOT(ISNUMBER(N67))),"",IF(H67&gt;'AJUSTES'!$B$10,MAX(0,'AJUSTES'!$B$4-N67),0))</x:f>
      </x:c>
      <x:c r="K67" s="27" t="str"/>
      <x:c r="L67" s="26" t="str">
        <x:v>Gregor</x:v>
      </x:c>
      <x:c r="M67" s="26" t="n">
        <x:v>30</x:v>
      </x:c>
      <x:c r="N67" s="29" t="n">
        <x:f>IF(OR(NOT(ISNUMBER(B67)),NOT(ISNUMBER(M67))),"",B67+M67)</x:f>
        <x:v>45165</x:v>
      </x:c>
      <x:c r="O67" s="25" t="str"/>
      <x:c r="P67" s="26" t="str">
        <x:v>Revisar</x:v>
      </x:c>
      <x:c r="Q67" s="22" t="str">
        <x:v> Fecha por revisar. Gregor declaró cuentas pagadas, falta detalle</x:v>
      </x:c>
      <x:c r="R67" s="22" t="str">
        <x:v>M-0109</x:v>
      </x:c>
      <x:c r="S67" s="22" t="n">
        <x:f>IF(C67="","",COUNTIFS('PAGOS'!$C$5:$C$504,A67,'PAGOS'!$B$5:$B$504,"&gt;0",'PAGOS'!$B$5:$B$504,"&lt;="&amp;'AJUSTES'!$B$4,'PAGOS'!$N$5:$N$504,"Incluir",'PAGOS'!$Q$5:$Q$504,"&lt;&gt;Aplicar"))</x:f>
        <x:v>0</x:v>
      </x:c>
      <x:c r="T67" s="28" t="str">
        <x:f>IF(AND(C67&lt;&gt;"",ISNUMBER(O67),O67&lt;='AJUSTES'!$B$4,ISNUMBER(E67)),ROUND(E67-G67,2),"")</x:f>
      </x:c>
    </x:row>
    <x:row r="68" ht="25" customHeight="1">
      <x:c r="A68" s="22" t="str">
        <x:v>V-064</x:v>
      </x:c>
      <x:c r="B68" s="25" t="n">
        <x:v>46244</x:v>
      </x:c>
      <x:c r="C68" s="26" t="str">
        <x:v>Alejandro Blanco</x:v>
      </x:c>
      <x:c r="D68" s="26" t="str">
        <x:v>212</x:v>
      </x:c>
      <x:c r="E68" s="27" t="n">
        <x:v>22</x:v>
      </x:c>
      <x:c r="F68" s="26" t="str">
        <x:v>BCV</x:v>
      </x:c>
      <x:c r="G68" s="28" t="n">
        <x:f>IF(C68="","",SUMIFS('PAGOS'!$K$5:$K$504,'PAGOS'!$C$5:$C$504,A68,'PAGOS'!$Q$5:$Q$504,"Aplicar",'PAGOS'!$B$5:$B$504,"&lt;="&amp;'AJUSTES'!$B$4))</x:f>
        <x:v>0</x:v>
      </x:c>
      <x:c r="H68" s="28" t="str">
        <x:f>IF(C68="","",IF(AND(ISNUMBER(O68),O68&lt;='AJUSTES'!$B$4),0,IF(OR(P68&lt;&gt;"Incluir",NOT(ISNUMBER(E68)),B68="",B68&gt;'AJUSTES'!$B$4,S68&gt;0),"",MAX(0,ROUND(E68-G68,2)))))</x:f>
      </x:c>
      <x:c r="I68" s="22" t="str">
        <x:f>IF(C68="","",IF(P68="Anulada","Anulada",IF(B68&gt;'AJUSTES'!$B$4,"Posterior al corte",IF(NOT(ISNUMBER(H68)),"Por conciliar",IF(H68&lt;='AJUSTES'!$B$10,"Pagado",IF(J68&gt;0,"Moroso","Vigente"))))))</x:f>
        <x:v>Por conciliar</x:v>
      </x:c>
      <x:c r="J68" s="22" t="str">
        <x:f>IF(OR(C68="",NOT(ISNUMBER(H68)),NOT(ISNUMBER(N68))),"",IF(H68&gt;'AJUSTES'!$B$10,MAX(0,'AJUSTES'!$B$4-N68),0))</x:f>
      </x:c>
      <x:c r="K68" s="27" t="str"/>
      <x:c r="L68" s="26" t="str">
        <x:v>Gregor</x:v>
      </x:c>
      <x:c r="M68" s="26" t="n">
        <x:v>30</x:v>
      </x:c>
      <x:c r="N68" s="29" t="n">
        <x:f>IF(OR(NOT(ISNUMBER(B68)),NOT(ISNUMBER(M68))),"",B68+M68)</x:f>
        <x:v>46274</x:v>
      </x:c>
      <x:c r="O68" s="25" t="str"/>
      <x:c r="P68" s="26" t="str">
        <x:v>Revisar</x:v>
      </x:c>
      <x:c r="Q68" s="22" t="str">
        <x:v> Producto / operación por confirmar. Gregor declaró cuentas pagadas, falta detalle</x:v>
      </x:c>
      <x:c r="R68" s="22" t="str">
        <x:v>M-0179</x:v>
      </x:c>
      <x:c r="S68" s="22" t="n">
        <x:f>IF(C68="","",COUNTIFS('PAGOS'!$C$5:$C$504,A68,'PAGOS'!$B$5:$B$504,"&gt;0",'PAGOS'!$B$5:$B$504,"&lt;="&amp;'AJUSTES'!$B$4,'PAGOS'!$N$5:$N$504,"Incluir",'PAGOS'!$Q$5:$Q$504,"&lt;&gt;Aplicar"))</x:f>
        <x:v>0</x:v>
      </x:c>
      <x:c r="T68" s="28" t="str">
        <x:f>IF(AND(C68&lt;&gt;"",ISNUMBER(O68),O68&lt;='AJUSTES'!$B$4,ISNUMBER(E68)),ROUND(E68-G68,2),"")</x:f>
      </x:c>
    </x:row>
    <x:row r="69" ht="25" customHeight="1">
      <x:c r="A69" s="22" t="str">
        <x:v>V-065</x:v>
      </x:c>
      <x:c r="B69" s="25" t="n">
        <x:v>46249</x:v>
      </x:c>
      <x:c r="C69" s="26" t="str">
        <x:v>Hermano Leandro</x:v>
      </x:c>
      <x:c r="D69" s="26" t="str">
        <x:v>Issey Miyake- Aqua Di Gio</x:v>
      </x:c>
      <x:c r="E69" s="27" t="str"/>
      <x:c r="F69" s="26" t="str">
        <x:v>Sin confirmar</x:v>
      </x:c>
      <x:c r="G69" s="28" t="n">
        <x:f>IF(C69="","",SUMIFS('PAGOS'!$K$5:$K$504,'PAGOS'!$C$5:$C$504,A69,'PAGOS'!$Q$5:$Q$504,"Aplicar",'PAGOS'!$B$5:$B$504,"&lt;="&amp;'AJUSTES'!$B$4))</x:f>
        <x:v>0</x:v>
      </x:c>
      <x:c r="H69" s="28" t="str">
        <x:f>IF(C69="","",IF(AND(ISNUMBER(O69),O69&lt;='AJUSTES'!$B$4),0,IF(OR(P69&lt;&gt;"Incluir",NOT(ISNUMBER(E69)),B69="",B69&gt;'AJUSTES'!$B$4,S69&gt;0),"",MAX(0,ROUND(E69-G69,2)))))</x:f>
      </x:c>
      <x:c r="I69" s="22" t="str">
        <x:f>IF(C69="","",IF(P69="Anulada","Anulada",IF(B69&gt;'AJUSTES'!$B$4,"Posterior al corte",IF(NOT(ISNUMBER(H69)),"Por conciliar",IF(H69&lt;='AJUSTES'!$B$10,"Pagado",IF(J69&gt;0,"Moroso","Vigente"))))))</x:f>
        <x:v>Por conciliar</x:v>
      </x:c>
      <x:c r="J69" s="22" t="str">
        <x:f>IF(OR(C69="",NOT(ISNUMBER(H69)),NOT(ISNUMBER(N69))),"",IF(H69&gt;'AJUSTES'!$B$10,MAX(0,'AJUSTES'!$B$4-N69),0))</x:f>
      </x:c>
      <x:c r="K69" s="27" t="str"/>
      <x:c r="L69" s="26" t="str">
        <x:v>Gregor</x:v>
      </x:c>
      <x:c r="M69" s="26" t="n">
        <x:v>30</x:v>
      </x:c>
      <x:c r="N69" s="29" t="n">
        <x:f>IF(OR(NOT(ISNUMBER(B69)),NOT(ISNUMBER(M69))),"",B69+M69)</x:f>
        <x:v>46279</x:v>
      </x:c>
      <x:c r="O69" s="25" t="str"/>
      <x:c r="P69" s="26" t="str">
        <x:v>Revisar</x:v>
      </x:c>
      <x:c r="Q69" s="22" t="str">
        <x:v> Posible solapamiento de productos. Gregor declaró cuentas pagadas, falta detalle. Precio sin confirmar</x:v>
      </x:c>
      <x:c r="R69" s="22" t="str">
        <x:v>M-0213</x:v>
      </x:c>
      <x:c r="S69" s="22" t="n">
        <x:f>IF(C69="","",COUNTIFS('PAGOS'!$C$5:$C$504,A69,'PAGOS'!$B$5:$B$504,"&gt;0",'PAGOS'!$B$5:$B$504,"&lt;="&amp;'AJUSTES'!$B$4,'PAGOS'!$N$5:$N$504,"Incluir",'PAGOS'!$Q$5:$Q$504,"&lt;&gt;Aplicar"))</x:f>
        <x:v>0</x:v>
      </x:c>
      <x:c r="T69" s="28" t="str">
        <x:f>IF(AND(C69&lt;&gt;"",ISNUMBER(O69),O69&lt;='AJUSTES'!$B$4,ISNUMBER(E69)),ROUND(E69-G69,2),"")</x:f>
      </x:c>
    </x:row>
    <x:row r="70" ht="25" customHeight="1">
      <x:c r="A70" s="22" t="str">
        <x:v>V-066</x:v>
      </x:c>
      <x:c r="B70" s="25" t="n">
        <x:v>46249</x:v>
      </x:c>
      <x:c r="C70" s="26" t="str">
        <x:v>Hermano Leandro</x:v>
      </x:c>
      <x:c r="D70" s="26" t="str">
        <x:v>Acqua di Gio</x:v>
      </x:c>
      <x:c r="E70" s="27" t="str"/>
      <x:c r="F70" s="26" t="str">
        <x:v>Sin confirmar</x:v>
      </x:c>
      <x:c r="G70" s="28" t="n">
        <x:f>IF(C70="","",SUMIFS('PAGOS'!$K$5:$K$504,'PAGOS'!$C$5:$C$504,A70,'PAGOS'!$Q$5:$Q$504,"Aplicar",'PAGOS'!$B$5:$B$504,"&lt;="&amp;'AJUSTES'!$B$4))</x:f>
        <x:v>0</x:v>
      </x:c>
      <x:c r="H70" s="28" t="str">
        <x:f>IF(C70="","",IF(AND(ISNUMBER(O70),O70&lt;='AJUSTES'!$B$4),0,IF(OR(P70&lt;&gt;"Incluir",NOT(ISNUMBER(E70)),B70="",B70&gt;'AJUSTES'!$B$4,S70&gt;0),"",MAX(0,ROUND(E70-G70,2)))))</x:f>
      </x:c>
      <x:c r="I70" s="22" t="str">
        <x:f>IF(C70="","",IF(P70="Anulada","Anulada",IF(B70&gt;'AJUSTES'!$B$4,"Posterior al corte",IF(NOT(ISNUMBER(H70)),"Por conciliar",IF(H70&lt;='AJUSTES'!$B$10,"Pagado",IF(J70&gt;0,"Moroso","Vigente"))))))</x:f>
        <x:v>Por conciliar</x:v>
      </x:c>
      <x:c r="J70" s="22" t="str">
        <x:f>IF(OR(C70="",NOT(ISNUMBER(H70)),NOT(ISNUMBER(N70))),"",IF(H70&gt;'AJUSTES'!$B$10,MAX(0,'AJUSTES'!$B$4-N70),0))</x:f>
      </x:c>
      <x:c r="K70" s="27" t="str"/>
      <x:c r="L70" s="26" t="str">
        <x:v>Gregory</x:v>
      </x:c>
      <x:c r="M70" s="26" t="n">
        <x:v>30</x:v>
      </x:c>
      <x:c r="N70" s="29" t="n">
        <x:f>IF(OR(NOT(ISNUMBER(B70)),NOT(ISNUMBER(M70))),"",B70+M70)</x:f>
        <x:v>46279</x:v>
      </x:c>
      <x:c r="O70" s="25" t="str"/>
      <x:c r="P70" s="26" t="str">
        <x:v>Revisar</x:v>
      </x:c>
      <x:c r="Q70" s="22" t="str">
        <x:v> Posible solapamiento de productos. Precio sin confirmar</x:v>
      </x:c>
      <x:c r="R70" s="22" t="str">
        <x:v>M-0214</x:v>
      </x:c>
      <x:c r="S70" s="22" t="n">
        <x:f>IF(C70="","",COUNTIFS('PAGOS'!$C$5:$C$504,A70,'PAGOS'!$B$5:$B$504,"&gt;0",'PAGOS'!$B$5:$B$504,"&lt;="&amp;'AJUSTES'!$B$4,'PAGOS'!$N$5:$N$504,"Incluir",'PAGOS'!$Q$5:$Q$504,"&lt;&gt;Aplicar"))</x:f>
        <x:v>0</x:v>
      </x:c>
      <x:c r="T70" s="28" t="str">
        <x:f>IF(AND(C70&lt;&gt;"",ISNUMBER(O70),O70&lt;='AJUSTES'!$B$4,ISNUMBER(E70)),ROUND(E70-G70,2),"")</x:f>
      </x:c>
    </x:row>
    <x:row r="71" ht="25" customHeight="1">
      <x:c r="A71" s="22" t="str">
        <x:v>V-067</x:v>
      </x:c>
      <x:c r="B71" s="25" t="n">
        <x:v>46250</x:v>
      </x:c>
      <x:c r="C71" s="26" t="str">
        <x:v>Gregory</x:v>
      </x:c>
      <x:c r="D71" s="26" t="str">
        <x:v>Club de Nuit Maleka</x:v>
      </x:c>
      <x:c r="E71" s="27" t="n">
        <x:v>11</x:v>
      </x:c>
      <x:c r="F71" s="26" t="str">
        <x:v>Sin confirmar</x:v>
      </x:c>
      <x:c r="G71" s="28" t="n">
        <x:f>IF(C71="","",SUMIFS('PAGOS'!$K$5:$K$504,'PAGOS'!$C$5:$C$504,A71,'PAGOS'!$Q$5:$Q$504,"Aplicar",'PAGOS'!$B$5:$B$504,"&lt;="&amp;'AJUSTES'!$B$4))</x:f>
        <x:v>0</x:v>
      </x:c>
      <x:c r="H71" s="28" t="n">
        <x:f>IF(C71="","",IF(AND(ISNUMBER(O71),O71&lt;='AJUSTES'!$B$4),0,IF(OR(P71&lt;&gt;"Incluir",NOT(ISNUMBER(E71)),B71="",B71&gt;'AJUSTES'!$B$4,S71&gt;0),"",MAX(0,ROUND(E71-G71,2)))))</x:f>
        <x:v>11</x:v>
      </x:c>
      <x:c r="I71" s="22" t="str">
        <x:f>IF(C71="","",IF(P71="Anulada","Anulada",IF(B71&gt;'AJUSTES'!$B$4,"Posterior al corte",IF(NOT(ISNUMBER(H71)),"Por conciliar",IF(H71&lt;='AJUSTES'!$B$10,"Pagado",IF(J71&gt;0,"Moroso","Vigente"))))))</x:f>
        <x:v>Moroso</x:v>
      </x:c>
      <x:c r="J71" s="22" t="n">
        <x:f>IF(OR(C71="",NOT(ISNUMBER(H71)),NOT(ISNUMBER(N71))),"",IF(H71&gt;'AJUSTES'!$B$10,MAX(0,'AJUSTES'!$B$4-N71),0))</x:f>
        <x:v>9</x:v>
      </x:c>
      <x:c r="K71" s="27" t="str"/>
      <x:c r="L71" s="26" t="str">
        <x:v>Gregory</x:v>
      </x:c>
      <x:c r="M71" s="26" t="n">
        <x:v>30</x:v>
      </x:c>
      <x:c r="N71" s="29" t="n">
        <x:f>IF(OR(NOT(ISNUMBER(B71)),NOT(ISNUMBER(M71))),"",B71+M71)</x:f>
        <x:v>46280</x:v>
      </x:c>
      <x:c r="O71" s="25" t="str"/>
      <x:c r="P71" s="26" t="str">
        <x:v>Incluir</x:v>
      </x:c>
      <x:c r="Q71" s="22" t="str"/>
      <x:c r="R71" s="22" t="str">
        <x:v>M-0230</x:v>
      </x:c>
      <x:c r="S71" s="22" t="n">
        <x:f>IF(C71="","",COUNTIFS('PAGOS'!$C$5:$C$504,A71,'PAGOS'!$B$5:$B$504,"&gt;0",'PAGOS'!$B$5:$B$504,"&lt;="&amp;'AJUSTES'!$B$4,'PAGOS'!$N$5:$N$504,"Incluir",'PAGOS'!$Q$5:$Q$504,"&lt;&gt;Aplicar"))</x:f>
        <x:v>0</x:v>
      </x:c>
      <x:c r="T71" s="28" t="str">
        <x:f>IF(AND(C71&lt;&gt;"",ISNUMBER(O71),O71&lt;='AJUSTES'!$B$4,ISNUMBER(E71)),ROUND(E71-G71,2),"")</x:f>
      </x:c>
    </x:row>
    <x:row r="72" ht="25" customHeight="1">
      <x:c r="A72" s="22" t="str">
        <x:v>V-068</x:v>
      </x:c>
      <x:c r="B72" s="25" t="n">
        <x:v>46269</x:v>
      </x:c>
      <x:c r="C72" s="26" t="str">
        <x:v>Andrés Medina</x:v>
      </x:c>
      <x:c r="D72" s="26" t="str">
        <x:v>Issey Miyake - 9Am</x:v>
      </x:c>
      <x:c r="E72" s="27" t="n">
        <x:v>38</x:v>
      </x:c>
      <x:c r="F72" s="26" t="str">
        <x:v>Sin confirmar</x:v>
      </x:c>
      <x:c r="G72" s="28" t="n">
        <x:f>IF(C72="","",SUMIFS('PAGOS'!$K$5:$K$504,'PAGOS'!$C$5:$C$504,A72,'PAGOS'!$Q$5:$Q$504,"Aplicar",'PAGOS'!$B$5:$B$504,"&lt;="&amp;'AJUSTES'!$B$4))</x:f>
        <x:v>0</x:v>
      </x:c>
      <x:c r="H72" s="28" t="str">
        <x:f>IF(C72="","",IF(AND(ISNUMBER(O72),O72&lt;='AJUSTES'!$B$4),0,IF(OR(P72&lt;&gt;"Incluir",NOT(ISNUMBER(E72)),B72="",B72&gt;'AJUSTES'!$B$4,S72&gt;0),"",MAX(0,ROUND(E72-G72,2)))))</x:f>
      </x:c>
      <x:c r="I72" s="22" t="str">
        <x:f>IF(C72="","",IF(P72="Anulada","Anulada",IF(B72&gt;'AJUSTES'!$B$4,"Posterior al corte",IF(NOT(ISNUMBER(H72)),"Por conciliar",IF(H72&lt;='AJUSTES'!$B$10,"Pagado",IF(J72&gt;0,"Moroso","Vigente"))))))</x:f>
        <x:v>Por conciliar</x:v>
      </x:c>
      <x:c r="J72" s="22" t="str">
        <x:f>IF(OR(C72="",NOT(ISNUMBER(H72)),NOT(ISNUMBER(N72))),"",IF(H72&gt;'AJUSTES'!$B$10,MAX(0,'AJUSTES'!$B$4-N72),0))</x:f>
      </x:c>
      <x:c r="K72" s="27" t="str"/>
      <x:c r="L72" s="26" t="str">
        <x:v>Gregor</x:v>
      </x:c>
      <x:c r="M72" s="26" t="n">
        <x:v>30</x:v>
      </x:c>
      <x:c r="N72" s="29" t="n">
        <x:f>IF(OR(NOT(ISNUMBER(B72)),NOT(ISNUMBER(M72))),"",B72+M72)</x:f>
        <x:v>46299</x:v>
      </x:c>
      <x:c r="O72" s="25" t="str"/>
      <x:c r="P72" s="26" t="str">
        <x:v>Revisar</x:v>
      </x:c>
      <x:c r="Q72" s="22" t="str">
        <x:v> Gregor declaró cuentas pagadas, falta detalle</x:v>
      </x:c>
      <x:c r="R72" s="22" t="str">
        <x:v>M-0310</x:v>
      </x:c>
      <x:c r="S72" s="22" t="n">
        <x:f>IF(C72="","",COUNTIFS('PAGOS'!$C$5:$C$504,A72,'PAGOS'!$B$5:$B$504,"&gt;0",'PAGOS'!$B$5:$B$504,"&lt;="&amp;'AJUSTES'!$B$4,'PAGOS'!$N$5:$N$504,"Incluir",'PAGOS'!$Q$5:$Q$504,"&lt;&gt;Aplicar"))</x:f>
        <x:v>0</x:v>
      </x:c>
      <x:c r="T72" s="28" t="str">
        <x:f>IF(AND(C72&lt;&gt;"",ISNUMBER(O72),O72&lt;='AJUSTES'!$B$4,ISNUMBER(E72)),ROUND(E72-G72,2),"")</x:f>
      </x:c>
    </x:row>
    <x:row r="73" ht="25" customHeight="1">
      <x:c r="A73" s="22" t="str">
        <x:v>V-069</x:v>
      </x:c>
      <x:c r="B73" s="25" t="n">
        <x:v>46283</x:v>
      </x:c>
      <x:c r="C73" s="26" t="str">
        <x:v>Gregor</x:v>
      </x:c>
      <x:c r="D73" s="26" t="str">
        <x:v>Sauvage Dior</x:v>
      </x:c>
      <x:c r="E73" s="27" t="str"/>
      <x:c r="F73" s="26" t="str">
        <x:v>Sin confirmar</x:v>
      </x:c>
      <x:c r="G73" s="28" t="n">
        <x:f>IF(C73="","",SUMIFS('PAGOS'!$K$5:$K$504,'PAGOS'!$C$5:$C$504,A73,'PAGOS'!$Q$5:$Q$504,"Aplicar",'PAGOS'!$B$5:$B$504,"&lt;="&amp;'AJUSTES'!$B$4))</x:f>
        <x:v>0</x:v>
      </x:c>
      <x:c r="H73" s="28" t="str">
        <x:f>IF(C73="","",IF(AND(ISNUMBER(O73),O73&lt;='AJUSTES'!$B$4),0,IF(OR(P73&lt;&gt;"Incluir",NOT(ISNUMBER(E73)),B73="",B73&gt;'AJUSTES'!$B$4,S73&gt;0),"",MAX(0,ROUND(E73-G73,2)))))</x:f>
      </x:c>
      <x:c r="I73" s="22" t="str">
        <x:f>IF(C73="","",IF(P73="Anulada","Anulada",IF(B73&gt;'AJUSTES'!$B$4,"Posterior al corte",IF(NOT(ISNUMBER(H73)),"Por conciliar",IF(H73&lt;='AJUSTES'!$B$10,"Pagado",IF(J73&gt;0,"Moroso","Vigente"))))))</x:f>
        <x:v>Por conciliar</x:v>
      </x:c>
      <x:c r="J73" s="22" t="str">
        <x:f>IF(OR(C73="",NOT(ISNUMBER(H73)),NOT(ISNUMBER(N73))),"",IF(H73&gt;'AJUSTES'!$B$10,MAX(0,'AJUSTES'!$B$4-N73),0))</x:f>
      </x:c>
      <x:c r="K73" s="27" t="str"/>
      <x:c r="L73" s="26" t="str">
        <x:v>Gregor</x:v>
      </x:c>
      <x:c r="M73" s="26" t="n">
        <x:v>30</x:v>
      </x:c>
      <x:c r="N73" s="29" t="n">
        <x:f>IF(OR(NOT(ISNUMBER(B73)),NOT(ISNUMBER(M73))),"",B73+M73)</x:f>
        <x:v>46313</x:v>
      </x:c>
      <x:c r="O73" s="25" t="str"/>
      <x:c r="P73" s="26" t="str">
        <x:v>Revisar</x:v>
      </x:c>
      <x:c r="Q73" s="22" t="str">
        <x:v> Texto bajo Inicial sin aclarar: 13.0. No se crea cobro automático. Precio / inicial por confirmar. Gregor declaró cuentas pagadas, falta detalle. Precio sin confirmar</x:v>
      </x:c>
      <x:c r="R73" s="22" t="str">
        <x:v>M-0418</x:v>
      </x:c>
      <x:c r="S73" s="22" t="n">
        <x:f>IF(C73="","",COUNTIFS('PAGOS'!$C$5:$C$504,A73,'PAGOS'!$B$5:$B$504,"&gt;0",'PAGOS'!$B$5:$B$504,"&lt;="&amp;'AJUSTES'!$B$4,'PAGOS'!$N$5:$N$504,"Incluir",'PAGOS'!$Q$5:$Q$504,"&lt;&gt;Aplicar"))</x:f>
        <x:v>0</x:v>
      </x:c>
      <x:c r="T73" s="28" t="str">
        <x:f>IF(AND(C73&lt;&gt;"",ISNUMBER(O73),O73&lt;='AJUSTES'!$B$4,ISNUMBER(E73)),ROUND(E73-G73,2),"")</x:f>
      </x:c>
    </x:row>
    <x:row r="74" ht="25" customHeight="1">
      <x:c r="A74" s="22" t="str">
        <x:v>V-070</x:v>
      </x:c>
      <x:c r="B74" s="25" t="n">
        <x:v>46288</x:v>
      </x:c>
      <x:c r="C74" s="26" t="str">
        <x:v>José</x:v>
      </x:c>
      <x:c r="D74" s="26" t="str">
        <x:v>Sauvage Dior</x:v>
      </x:c>
      <x:c r="E74" s="27" t="n">
        <x:v>16</x:v>
      </x:c>
      <x:c r="F74" s="26" t="str">
        <x:v>USDT</x:v>
      </x:c>
      <x:c r="G74" s="28" t="n">
        <x:f>IF(C74="","",SUMIFS('PAGOS'!$K$5:$K$504,'PAGOS'!$C$5:$C$504,A74,'PAGOS'!$Q$5:$Q$504,"Aplicar",'PAGOS'!$B$5:$B$504,"&lt;="&amp;'AJUSTES'!$B$4))</x:f>
        <x:v>0</x:v>
      </x:c>
      <x:c r="H74" s="28" t="n">
        <x:f>IF(C74="","",IF(AND(ISNUMBER(O74),O74&lt;='AJUSTES'!$B$4),0,IF(OR(P74&lt;&gt;"Incluir",NOT(ISNUMBER(E74)),B74="",B74&gt;'AJUSTES'!$B$4,S74&gt;0),"",MAX(0,ROUND(E74-G74,2)))))</x:f>
        <x:v>16</x:v>
      </x:c>
      <x:c r="I74" s="22" t="str">
        <x:f>IF(C74="","",IF(P74="Anulada","Anulada",IF(B74&gt;'AJUSTES'!$B$4,"Posterior al corte",IF(NOT(ISNUMBER(H74)),"Por conciliar",IF(H74&lt;='AJUSTES'!$B$10,"Pagado",IF(J74&gt;0,"Moroso","Vigente"))))))</x:f>
        <x:v>Vigente</x:v>
      </x:c>
      <x:c r="J74" s="22" t="n">
        <x:f>IF(OR(C74="",NOT(ISNUMBER(H74)),NOT(ISNUMBER(N74))),"",IF(H74&gt;'AJUSTES'!$B$10,MAX(0,'AJUSTES'!$B$4-N74),0))</x:f>
        <x:v>0</x:v>
      </x:c>
      <x:c r="K74" s="27" t="str"/>
      <x:c r="L74" s="26" t="str">
        <x:v>Gregory</x:v>
      </x:c>
      <x:c r="M74" s="26" t="n">
        <x:v>30</x:v>
      </x:c>
      <x:c r="N74" s="29" t="n">
        <x:f>IF(OR(NOT(ISNUMBER(B74)),NOT(ISNUMBER(M74))),"",B74+M74)</x:f>
        <x:v>46318</x:v>
      </x:c>
      <x:c r="O74" s="25" t="str"/>
      <x:c r="P74" s="26" t="str">
        <x:v>Incluir</x:v>
      </x:c>
      <x:c r="Q74" s="22" t="str"/>
      <x:c r="R74" s="22" t="str">
        <x:v>M-0442</x:v>
      </x:c>
      <x:c r="S74" s="22" t="n">
        <x:f>IF(C74="","",COUNTIFS('PAGOS'!$C$5:$C$504,A74,'PAGOS'!$B$5:$B$504,"&gt;0",'PAGOS'!$B$5:$B$504,"&lt;="&amp;'AJUSTES'!$B$4,'PAGOS'!$N$5:$N$504,"Incluir",'PAGOS'!$Q$5:$Q$504,"&lt;&gt;Aplicar"))</x:f>
        <x:v>0</x:v>
      </x:c>
      <x:c r="T74" s="28" t="str">
        <x:f>IF(AND(C74&lt;&gt;"",ISNUMBER(O74),O74&lt;='AJUSTES'!$B$4,ISNUMBER(E74)),ROUND(E74-G74,2),"")</x:f>
      </x:c>
    </x:row>
    <x:row r="75" ht="25" customHeight="1">
      <x:c r="A75" s="22" t="str">
        <x:v>V-071</x:v>
      </x:c>
      <x:c r="B75" s="25" t="n">
        <x:v>46288</x:v>
      </x:c>
      <x:c r="C75" s="26" t="str">
        <x:v>Vargas</x:v>
      </x:c>
      <x:c r="D75" s="26" t="str">
        <x:v>9AM Dive</x:v>
      </x:c>
      <x:c r="E75" s="27" t="str"/>
      <x:c r="F75" s="26" t="str">
        <x:v>Sin confirmar</x:v>
      </x:c>
      <x:c r="G75" s="28" t="n">
        <x:f>IF(C75="","",SUMIFS('PAGOS'!$K$5:$K$504,'PAGOS'!$C$5:$C$504,A75,'PAGOS'!$Q$5:$Q$504,"Aplicar",'PAGOS'!$B$5:$B$504,"&lt;="&amp;'AJUSTES'!$B$4))</x:f>
        <x:v>0</x:v>
      </x:c>
      <x:c r="H75" s="28" t="str">
        <x:f>IF(C75="","",IF(AND(ISNUMBER(O75),O75&lt;='AJUSTES'!$B$4),0,IF(OR(P75&lt;&gt;"Incluir",NOT(ISNUMBER(E75)),B75="",B75&gt;'AJUSTES'!$B$4,S75&gt;0),"",MAX(0,ROUND(E75-G75,2)))))</x:f>
      </x:c>
      <x:c r="I75" s="22" t="str">
        <x:f>IF(C75="","",IF(P75="Anulada","Anulada",IF(B75&gt;'AJUSTES'!$B$4,"Posterior al corte",IF(NOT(ISNUMBER(H75)),"Por conciliar",IF(H75&lt;='AJUSTES'!$B$10,"Pagado",IF(J75&gt;0,"Moroso","Vigente"))))))</x:f>
        <x:v>Por conciliar</x:v>
      </x:c>
      <x:c r="J75" s="22" t="str">
        <x:f>IF(OR(C75="",NOT(ISNUMBER(H75)),NOT(ISNUMBER(N75))),"",IF(H75&gt;'AJUSTES'!$B$10,MAX(0,'AJUSTES'!$B$4-N75),0))</x:f>
      </x:c>
      <x:c r="K75" s="27" t="str"/>
      <x:c r="L75" s="26" t="str">
        <x:v>Gregory</x:v>
      </x:c>
      <x:c r="M75" s="26" t="n">
        <x:v>30</x:v>
      </x:c>
      <x:c r="N75" s="29" t="n">
        <x:f>IF(OR(NOT(ISNUMBER(B75)),NOT(ISNUMBER(M75))),"",B75+M75)</x:f>
        <x:v>46318</x:v>
      </x:c>
      <x:c r="O75" s="25" t="str"/>
      <x:c r="P75" s="26" t="str">
        <x:v>Incluir</x:v>
      </x:c>
      <x:c r="Q75" s="22" t="str">
        <x:v> Texto bajo Inicial sin aclarar: 10.0. No se crea cobro automático. Precio / inicial por confirmar. Precio sin confirmar</x:v>
      </x:c>
      <x:c r="R75" s="22" t="str">
        <x:v>M-0443</x:v>
      </x:c>
      <x:c r="S75" s="22" t="n">
        <x:f>IF(C75="","",COUNTIFS('PAGOS'!$C$5:$C$504,A75,'PAGOS'!$B$5:$B$504,"&gt;0",'PAGOS'!$B$5:$B$504,"&lt;="&amp;'AJUSTES'!$B$4,'PAGOS'!$N$5:$N$504,"Incluir",'PAGOS'!$Q$5:$Q$504,"&lt;&gt;Aplicar"))</x:f>
        <x:v>0</x:v>
      </x:c>
      <x:c r="T75" s="28" t="str">
        <x:f>IF(AND(C75&lt;&gt;"",ISNUMBER(O75),O75&lt;='AJUSTES'!$B$4,ISNUMBER(E75)),ROUND(E75-G75,2),"")</x:f>
      </x:c>
    </x:row>
    <x:row r="76" ht="25" customHeight="1">
      <x:c r="A76" s="22" t="str">
        <x:v>V-072</x:v>
      </x:c>
      <x:c r="B76" s="25" t="n">
        <x:v>46288</x:v>
      </x:c>
      <x:c r="C76" s="26" t="str">
        <x:v>Julio</x:v>
      </x:c>
      <x:c r="D76" s="26" t="str">
        <x:v>212 Vip</x:v>
      </x:c>
      <x:c r="E76" s="27" t="str"/>
      <x:c r="F76" s="26" t="str">
        <x:v>Sin confirmar</x:v>
      </x:c>
      <x:c r="G76" s="28" t="n">
        <x:f>IF(C76="","",SUMIFS('PAGOS'!$K$5:$K$504,'PAGOS'!$C$5:$C$504,A76,'PAGOS'!$Q$5:$Q$504,"Aplicar",'PAGOS'!$B$5:$B$504,"&lt;="&amp;'AJUSTES'!$B$4))</x:f>
        <x:v>0</x:v>
      </x:c>
      <x:c r="H76" s="28" t="str">
        <x:f>IF(C76="","",IF(AND(ISNUMBER(O76),O76&lt;='AJUSTES'!$B$4),0,IF(OR(P76&lt;&gt;"Incluir",NOT(ISNUMBER(E76)),B76="",B76&gt;'AJUSTES'!$B$4,S76&gt;0),"",MAX(0,ROUND(E76-G76,2)))))</x:f>
      </x:c>
      <x:c r="I76" s="22" t="str">
        <x:f>IF(C76="","",IF(P76="Anulada","Anulada",IF(B76&gt;'AJUSTES'!$B$4,"Posterior al corte",IF(NOT(ISNUMBER(H76)),"Por conciliar",IF(H76&lt;='AJUSTES'!$B$10,"Pagado",IF(J76&gt;0,"Moroso","Vigente"))))))</x:f>
        <x:v>Por conciliar</x:v>
      </x:c>
      <x:c r="J76" s="22" t="str">
        <x:f>IF(OR(C76="",NOT(ISNUMBER(H76)),NOT(ISNUMBER(N76))),"",IF(H76&gt;'AJUSTES'!$B$10,MAX(0,'AJUSTES'!$B$4-N76),0))</x:f>
      </x:c>
      <x:c r="K76" s="27" t="str"/>
      <x:c r="L76" s="26" t="str">
        <x:v>Gregory</x:v>
      </x:c>
      <x:c r="M76" s="26" t="n">
        <x:v>30</x:v>
      </x:c>
      <x:c r="N76" s="29" t="n">
        <x:f>IF(OR(NOT(ISNUMBER(B76)),NOT(ISNUMBER(M76))),"",B76+M76)</x:f>
        <x:v>46318</x:v>
      </x:c>
      <x:c r="O76" s="25" t="str"/>
      <x:c r="P76" s="26" t="str">
        <x:v>Incluir</x:v>
      </x:c>
      <x:c r="Q76" s="22" t="str">
        <x:v> Texto bajo Inicial sin aclarar: 26.0. No se crea cobro automático. Precio / inicial por confirmar. Precio sin confirmar</x:v>
      </x:c>
      <x:c r="R76" s="22" t="str">
        <x:v>M-0444</x:v>
      </x:c>
      <x:c r="S76" s="22" t="n">
        <x:f>IF(C76="","",COUNTIFS('PAGOS'!$C$5:$C$504,A76,'PAGOS'!$B$5:$B$504,"&gt;0",'PAGOS'!$B$5:$B$504,"&lt;="&amp;'AJUSTES'!$B$4,'PAGOS'!$N$5:$N$504,"Incluir",'PAGOS'!$Q$5:$Q$504,"&lt;&gt;Aplicar"))</x:f>
        <x:v>0</x:v>
      </x:c>
      <x:c r="T76" s="28" t="str">
        <x:f>IF(AND(C76&lt;&gt;"",ISNUMBER(O76),O76&lt;='AJUSTES'!$B$4,ISNUMBER(E76)),ROUND(E76-G76,2),"")</x:f>
      </x:c>
    </x:row>
    <x:row r="77" ht="25" customHeight="1">
      <x:c r="A77" s="22" t="str">
        <x:v>V-073</x:v>
      </x:c>
      <x:c r="B77" s="25" t="n">
        <x:v>46288</x:v>
      </x:c>
      <x:c r="C77" s="26" t="str">
        <x:v>Moisés</x:v>
      </x:c>
      <x:c r="D77" s="26" t="str">
        <x:v>Invictus Clásico</x:v>
      </x:c>
      <x:c r="E77" s="27" t="str"/>
      <x:c r="F77" s="26" t="str">
        <x:v>Sin confirmar</x:v>
      </x:c>
      <x:c r="G77" s="28" t="n">
        <x:f>IF(C77="","",SUMIFS('PAGOS'!$K$5:$K$504,'PAGOS'!$C$5:$C$504,A77,'PAGOS'!$Q$5:$Q$504,"Aplicar",'PAGOS'!$B$5:$B$504,"&lt;="&amp;'AJUSTES'!$B$4))</x:f>
        <x:v>0</x:v>
      </x:c>
      <x:c r="H77" s="28" t="str">
        <x:f>IF(C77="","",IF(AND(ISNUMBER(O77),O77&lt;='AJUSTES'!$B$4),0,IF(OR(P77&lt;&gt;"Incluir",NOT(ISNUMBER(E77)),B77="",B77&gt;'AJUSTES'!$B$4,S77&gt;0),"",MAX(0,ROUND(E77-G77,2)))))</x:f>
      </x:c>
      <x:c r="I77" s="22" t="str">
        <x:f>IF(C77="","",IF(P77="Anulada","Anulada",IF(B77&gt;'AJUSTES'!$B$4,"Posterior al corte",IF(NOT(ISNUMBER(H77)),"Por conciliar",IF(H77&lt;='AJUSTES'!$B$10,"Pagado",IF(J77&gt;0,"Moroso","Vigente"))))))</x:f>
        <x:v>Por conciliar</x:v>
      </x:c>
      <x:c r="J77" s="22" t="str">
        <x:f>IF(OR(C77="",NOT(ISNUMBER(H77)),NOT(ISNUMBER(N77))),"",IF(H77&gt;'AJUSTES'!$B$10,MAX(0,'AJUSTES'!$B$4-N77),0))</x:f>
      </x:c>
      <x:c r="K77" s="27" t="str"/>
      <x:c r="L77" s="26" t="str">
        <x:v>Gregory</x:v>
      </x:c>
      <x:c r="M77" s="26" t="n">
        <x:v>30</x:v>
      </x:c>
      <x:c r="N77" s="29" t="n">
        <x:f>IF(OR(NOT(ISNUMBER(B77)),NOT(ISNUMBER(M77))),"",B77+M77)</x:f>
        <x:v>46318</x:v>
      </x:c>
      <x:c r="O77" s="25" t="str"/>
      <x:c r="P77" s="26" t="str">
        <x:v>Incluir</x:v>
      </x:c>
      <x:c r="Q77" s="22" t="str">
        <x:v> Texto bajo Inicial sin aclarar: 26.0. No se crea cobro automático. Precio / inicial por confirmar. Precio sin confirmar</x:v>
      </x:c>
      <x:c r="R77" s="22" t="str">
        <x:v>M-0445</x:v>
      </x:c>
      <x:c r="S77" s="22" t="n">
        <x:f>IF(C77="","",COUNTIFS('PAGOS'!$C$5:$C$504,A77,'PAGOS'!$B$5:$B$504,"&gt;0",'PAGOS'!$B$5:$B$504,"&lt;="&amp;'AJUSTES'!$B$4,'PAGOS'!$N$5:$N$504,"Incluir",'PAGOS'!$Q$5:$Q$504,"&lt;&gt;Aplicar"))</x:f>
        <x:v>0</x:v>
      </x:c>
      <x:c r="T77" s="28" t="str">
        <x:f>IF(AND(C77&lt;&gt;"",ISNUMBER(O77),O77&lt;='AJUSTES'!$B$4,ISNUMBER(E77)),ROUND(E77-G77,2),"")</x:f>
      </x:c>
    </x:row>
    <x:row r="78" ht="25" customHeight="1">
      <x:c r="A78" s="22" t="str">
        <x:v>V-074</x:v>
      </x:c>
      <x:c r="B78" s="25" t="n">
        <x:v>46288</x:v>
      </x:c>
      <x:c r="C78" s="26" t="str">
        <x:v>Deiner</x:v>
      </x:c>
      <x:c r="D78" s="26" t="str">
        <x:v>Phantom</x:v>
      </x:c>
      <x:c r="E78" s="27" t="str"/>
      <x:c r="F78" s="26" t="str">
        <x:v>Sin confirmar</x:v>
      </x:c>
      <x:c r="G78" s="28" t="n">
        <x:f>IF(C78="","",SUMIFS('PAGOS'!$K$5:$K$504,'PAGOS'!$C$5:$C$504,A78,'PAGOS'!$Q$5:$Q$504,"Aplicar",'PAGOS'!$B$5:$B$504,"&lt;="&amp;'AJUSTES'!$B$4))</x:f>
        <x:v>0</x:v>
      </x:c>
      <x:c r="H78" s="28" t="str">
        <x:f>IF(C78="","",IF(AND(ISNUMBER(O78),O78&lt;='AJUSTES'!$B$4),0,IF(OR(P78&lt;&gt;"Incluir",NOT(ISNUMBER(E78)),B78="",B78&gt;'AJUSTES'!$B$4,S78&gt;0),"",MAX(0,ROUND(E78-G78,2)))))</x:f>
      </x:c>
      <x:c r="I78" s="22" t="str">
        <x:f>IF(C78="","",IF(P78="Anulada","Anulada",IF(B78&gt;'AJUSTES'!$B$4,"Posterior al corte",IF(NOT(ISNUMBER(H78)),"Por conciliar",IF(H78&lt;='AJUSTES'!$B$10,"Pagado",IF(J78&gt;0,"Moroso","Vigente"))))))</x:f>
        <x:v>Por conciliar</x:v>
      </x:c>
      <x:c r="J78" s="22" t="str">
        <x:f>IF(OR(C78="",NOT(ISNUMBER(H78)),NOT(ISNUMBER(N78))),"",IF(H78&gt;'AJUSTES'!$B$10,MAX(0,'AJUSTES'!$B$4-N78),0))</x:f>
      </x:c>
      <x:c r="K78" s="27" t="str"/>
      <x:c r="L78" s="26" t="str">
        <x:v>Gregory</x:v>
      </x:c>
      <x:c r="M78" s="26" t="n">
        <x:v>30</x:v>
      </x:c>
      <x:c r="N78" s="29" t="n">
        <x:f>IF(OR(NOT(ISNUMBER(B78)),NOT(ISNUMBER(M78))),"",B78+M78)</x:f>
        <x:v>46318</x:v>
      </x:c>
      <x:c r="O78" s="25" t="str"/>
      <x:c r="P78" s="26" t="str">
        <x:v>Incluir</x:v>
      </x:c>
      <x:c r="Q78" s="22" t="str">
        <x:v> Texto bajo Inicial sin aclarar: 26.0. No se crea cobro automático. Precio / inicial por confirmar. Precio sin confirmar</x:v>
      </x:c>
      <x:c r="R78" s="22" t="str">
        <x:v>M-0446</x:v>
      </x:c>
      <x:c r="S78" s="22" t="n">
        <x:f>IF(C78="","",COUNTIFS('PAGOS'!$C$5:$C$504,A78,'PAGOS'!$B$5:$B$504,"&gt;0",'PAGOS'!$B$5:$B$504,"&lt;="&amp;'AJUSTES'!$B$4,'PAGOS'!$N$5:$N$504,"Incluir",'PAGOS'!$Q$5:$Q$504,"&lt;&gt;Aplicar"))</x:f>
        <x:v>0</x:v>
      </x:c>
      <x:c r="T78" s="28" t="str">
        <x:f>IF(AND(C78&lt;&gt;"",ISNUMBER(O78),O78&lt;='AJUSTES'!$B$4,ISNUMBER(E78)),ROUND(E78-G78,2),"")</x:f>
      </x:c>
    </x:row>
    <x:row r="79" ht="25" customHeight="1">
      <x:c r="A79" s="22" t="str">
        <x:v>V-075</x:v>
      </x:c>
      <x:c r="B79" s="25" t="n">
        <x:v>46288</x:v>
      </x:c>
      <x:c r="C79" s="26" t="str">
        <x:v>Rafael</x:v>
      </x:c>
      <x:c r="D79" s="26" t="str">
        <x:v>Bharara King Soleil</x:v>
      </x:c>
      <x:c r="E79" s="27" t="str"/>
      <x:c r="F79" s="26" t="str">
        <x:v>Sin confirmar</x:v>
      </x:c>
      <x:c r="G79" s="28" t="n">
        <x:f>IF(C79="","",SUMIFS('PAGOS'!$K$5:$K$504,'PAGOS'!$C$5:$C$504,A79,'PAGOS'!$Q$5:$Q$504,"Aplicar",'PAGOS'!$B$5:$B$504,"&lt;="&amp;'AJUSTES'!$B$4))</x:f>
        <x:v>0</x:v>
      </x:c>
      <x:c r="H79" s="28" t="str">
        <x:f>IF(C79="","",IF(AND(ISNUMBER(O79),O79&lt;='AJUSTES'!$B$4),0,IF(OR(P79&lt;&gt;"Incluir",NOT(ISNUMBER(E79)),B79="",B79&gt;'AJUSTES'!$B$4,S79&gt;0),"",MAX(0,ROUND(E79-G79,2)))))</x:f>
      </x:c>
      <x:c r="I79" s="22" t="str">
        <x:f>IF(C79="","",IF(P79="Anulada","Anulada",IF(B79&gt;'AJUSTES'!$B$4,"Posterior al corte",IF(NOT(ISNUMBER(H79)),"Por conciliar",IF(H79&lt;='AJUSTES'!$B$10,"Pagado",IF(J79&gt;0,"Moroso","Vigente"))))))</x:f>
        <x:v>Por conciliar</x:v>
      </x:c>
      <x:c r="J79" s="22" t="str">
        <x:f>IF(OR(C79="",NOT(ISNUMBER(H79)),NOT(ISNUMBER(N79))),"",IF(H79&gt;'AJUSTES'!$B$10,MAX(0,'AJUSTES'!$B$4-N79),0))</x:f>
      </x:c>
      <x:c r="K79" s="27" t="str"/>
      <x:c r="L79" s="26" t="str">
        <x:v>Gregory</x:v>
      </x:c>
      <x:c r="M79" s="26" t="n">
        <x:v>30</x:v>
      </x:c>
      <x:c r="N79" s="29" t="n">
        <x:f>IF(OR(NOT(ISNUMBER(B79)),NOT(ISNUMBER(M79))),"",B79+M79)</x:f>
        <x:v>46318</x:v>
      </x:c>
      <x:c r="O79" s="25" t="str"/>
      <x:c r="P79" s="26" t="str">
        <x:v>Incluir</x:v>
      </x:c>
      <x:c r="Q79" s="22" t="str">
        <x:v> Texto bajo Inicial sin aclarar: 33.0. No se crea cobro automático. Precio / inicial por confirmar. Precio sin confirmar</x:v>
      </x:c>
      <x:c r="R79" s="22" t="str">
        <x:v>M-0447</x:v>
      </x:c>
      <x:c r="S79" s="22" t="n">
        <x:f>IF(C79="","",COUNTIFS('PAGOS'!$C$5:$C$504,A79,'PAGOS'!$B$5:$B$504,"&gt;0",'PAGOS'!$B$5:$B$504,"&lt;="&amp;'AJUSTES'!$B$4,'PAGOS'!$N$5:$N$504,"Incluir",'PAGOS'!$Q$5:$Q$504,"&lt;&gt;Aplicar"))</x:f>
        <x:v>0</x:v>
      </x:c>
      <x:c r="T79" s="28" t="str">
        <x:f>IF(AND(C79&lt;&gt;"",ISNUMBER(O79),O79&lt;='AJUSTES'!$B$4,ISNUMBER(E79)),ROUND(E79-G79,2),"")</x:f>
      </x:c>
    </x:row>
    <x:row r="80" ht="25" customHeight="1">
      <x:c r="A80" s="22" t="str">
        <x:v>V-076</x:v>
      </x:c>
      <x:c r="B80" s="25" t="str"/>
      <x:c r="C80" s="26" t="str"/>
      <x:c r="D80" s="26" t="str"/>
      <x:c r="E80" s="27" t="str"/>
      <x:c r="F80" s="26" t="str"/>
      <x:c r="G80" s="28" t="str">
        <x:f>IF(C80="","",SUMIFS('PAGOS'!$K$5:$K$504,'PAGOS'!$C$5:$C$504,A80,'PAGOS'!$Q$5:$Q$504,"Aplicar",'PAGOS'!$B$5:$B$504,"&lt;="&amp;'AJUSTES'!$B$4))</x:f>
      </x:c>
      <x:c r="H80" s="28" t="str">
        <x:f>IF(C80="","",IF(AND(ISNUMBER(O80),O80&lt;='AJUSTES'!$B$4),0,IF(OR(P80&lt;&gt;"Incluir",NOT(ISNUMBER(E80)),B80="",B80&gt;'AJUSTES'!$B$4,S80&gt;0),"",MAX(0,ROUND(E80-G80,2)))))</x:f>
      </x:c>
      <x:c r="I80" s="22" t="str">
        <x:f>IF(C80="","",IF(P80="Anulada","Anulada",IF(B80&gt;'AJUSTES'!$B$4,"Posterior al corte",IF(NOT(ISNUMBER(H80)),"Por conciliar",IF(H80&lt;='AJUSTES'!$B$10,"Pagado",IF(J80&gt;0,"Moroso","Vigente"))))))</x:f>
      </x:c>
      <x:c r="J80" s="22" t="str">
        <x:f>IF(OR(C80="",NOT(ISNUMBER(H80)),NOT(ISNUMBER(N80))),"",IF(H80&gt;'AJUSTES'!$B$10,MAX(0,'AJUSTES'!$B$4-N80),0))</x:f>
      </x:c>
      <x:c r="K80" s="27" t="str"/>
      <x:c r="L80" s="26" t="str"/>
      <x:c r="M80" s="26" t="str">
        <x:f>IF(C80="","",'AJUSTES'!$B$5)</x:f>
      </x:c>
      <x:c r="N80" s="29" t="str">
        <x:f>IF(OR(NOT(ISNUMBER(B80)),NOT(ISNUMBER(M80))),"",B80+M80)</x:f>
      </x:c>
      <x:c r="O80" s="25" t="str"/>
      <x:c r="P80" s="26" t="str">
        <x:v>Incluir</x:v>
      </x:c>
      <x:c r="Q80" s="22" t="str"/>
      <x:c r="R80" s="22" t="str"/>
      <x:c r="S80" s="22" t="str">
        <x:f>IF(C80="","",COUNTIFS('PAGOS'!$C$5:$C$504,A80,'PAGOS'!$B$5:$B$504,"&gt;0",'PAGOS'!$B$5:$B$504,"&lt;="&amp;'AJUSTES'!$B$4,'PAGOS'!$N$5:$N$504,"Incluir",'PAGOS'!$Q$5:$Q$504,"&lt;&gt;Aplicar"))</x:f>
      </x:c>
      <x:c r="T80" s="28" t="str">
        <x:f>IF(AND(C80&lt;&gt;"",ISNUMBER(O80),O80&lt;='AJUSTES'!$B$4,ISNUMBER(E80)),ROUND(E80-G80,2),"")</x:f>
      </x:c>
    </x:row>
    <x:row r="81" ht="25" customHeight="1">
      <x:c r="A81" s="22" t="str">
        <x:v>V-077</x:v>
      </x:c>
      <x:c r="B81" s="25" t="str"/>
      <x:c r="C81" s="26" t="str"/>
      <x:c r="D81" s="26" t="str"/>
      <x:c r="E81" s="27" t="str"/>
      <x:c r="F81" s="26" t="str"/>
      <x:c r="G81" s="28" t="str">
        <x:f>IF(C81="","",SUMIFS('PAGOS'!$K$5:$K$504,'PAGOS'!$C$5:$C$504,A81,'PAGOS'!$Q$5:$Q$504,"Aplicar",'PAGOS'!$B$5:$B$504,"&lt;="&amp;'AJUSTES'!$B$4))</x:f>
      </x:c>
      <x:c r="H81" s="28" t="str">
        <x:f>IF(C81="","",IF(AND(ISNUMBER(O81),O81&lt;='AJUSTES'!$B$4),0,IF(OR(P81&lt;&gt;"Incluir",NOT(ISNUMBER(E81)),B81="",B81&gt;'AJUSTES'!$B$4,S81&gt;0),"",MAX(0,ROUND(E81-G81,2)))))</x:f>
      </x:c>
      <x:c r="I81" s="22" t="str">
        <x:f>IF(C81="","",IF(P81="Anulada","Anulada",IF(B81&gt;'AJUSTES'!$B$4,"Posterior al corte",IF(NOT(ISNUMBER(H81)),"Por conciliar",IF(H81&lt;='AJUSTES'!$B$10,"Pagado",IF(J81&gt;0,"Moroso","Vigente"))))))</x:f>
      </x:c>
      <x:c r="J81" s="22" t="str">
        <x:f>IF(OR(C81="",NOT(ISNUMBER(H81)),NOT(ISNUMBER(N81))),"",IF(H81&gt;'AJUSTES'!$B$10,MAX(0,'AJUSTES'!$B$4-N81),0))</x:f>
      </x:c>
      <x:c r="K81" s="27" t="str"/>
      <x:c r="L81" s="26" t="str"/>
      <x:c r="M81" s="26" t="str">
        <x:f>IF(C81="","",'AJUSTES'!$B$5)</x:f>
      </x:c>
      <x:c r="N81" s="29" t="str">
        <x:f>IF(OR(NOT(ISNUMBER(B81)),NOT(ISNUMBER(M81))),"",B81+M81)</x:f>
      </x:c>
      <x:c r="O81" s="25" t="str"/>
      <x:c r="P81" s="26" t="str">
        <x:v>Incluir</x:v>
      </x:c>
      <x:c r="Q81" s="22" t="str"/>
      <x:c r="R81" s="22" t="str"/>
      <x:c r="S81" s="22" t="str">
        <x:f>IF(C81="","",COUNTIFS('PAGOS'!$C$5:$C$504,A81,'PAGOS'!$B$5:$B$504,"&gt;0",'PAGOS'!$B$5:$B$504,"&lt;="&amp;'AJUSTES'!$B$4,'PAGOS'!$N$5:$N$504,"Incluir",'PAGOS'!$Q$5:$Q$504,"&lt;&gt;Aplicar"))</x:f>
      </x:c>
      <x:c r="T81" s="28" t="str">
        <x:f>IF(AND(C81&lt;&gt;"",ISNUMBER(O81),O81&lt;='AJUSTES'!$B$4,ISNUMBER(E81)),ROUND(E81-G81,2),"")</x:f>
      </x:c>
    </x:row>
    <x:row r="82" ht="25" customHeight="1">
      <x:c r="A82" s="22" t="str">
        <x:v>V-078</x:v>
      </x:c>
      <x:c r="B82" s="25" t="str"/>
      <x:c r="C82" s="26" t="str"/>
      <x:c r="D82" s="26" t="str"/>
      <x:c r="E82" s="27" t="str"/>
      <x:c r="F82" s="26" t="str"/>
      <x:c r="G82" s="28" t="str">
        <x:f>IF(C82="","",SUMIFS('PAGOS'!$K$5:$K$504,'PAGOS'!$C$5:$C$504,A82,'PAGOS'!$Q$5:$Q$504,"Aplicar",'PAGOS'!$B$5:$B$504,"&lt;="&amp;'AJUSTES'!$B$4))</x:f>
      </x:c>
      <x:c r="H82" s="28" t="str">
        <x:f>IF(C82="","",IF(AND(ISNUMBER(O82),O82&lt;='AJUSTES'!$B$4),0,IF(OR(P82&lt;&gt;"Incluir",NOT(ISNUMBER(E82)),B82="",B82&gt;'AJUSTES'!$B$4,S82&gt;0),"",MAX(0,ROUND(E82-G82,2)))))</x:f>
      </x:c>
      <x:c r="I82" s="22" t="str">
        <x:f>IF(C82="","",IF(P82="Anulada","Anulada",IF(B82&gt;'AJUSTES'!$B$4,"Posterior al corte",IF(NOT(ISNUMBER(H82)),"Por conciliar",IF(H82&lt;='AJUSTES'!$B$10,"Pagado",IF(J82&gt;0,"Moroso","Vigente"))))))</x:f>
      </x:c>
      <x:c r="J82" s="22" t="str">
        <x:f>IF(OR(C82="",NOT(ISNUMBER(H82)),NOT(ISNUMBER(N82))),"",IF(H82&gt;'AJUSTES'!$B$10,MAX(0,'AJUSTES'!$B$4-N82),0))</x:f>
      </x:c>
      <x:c r="K82" s="27" t="str"/>
      <x:c r="L82" s="26" t="str"/>
      <x:c r="M82" s="26" t="str">
        <x:f>IF(C82="","",'AJUSTES'!$B$5)</x:f>
      </x:c>
      <x:c r="N82" s="29" t="str">
        <x:f>IF(OR(NOT(ISNUMBER(B82)),NOT(ISNUMBER(M82))),"",B82+M82)</x:f>
      </x:c>
      <x:c r="O82" s="25" t="str"/>
      <x:c r="P82" s="26" t="str">
        <x:v>Incluir</x:v>
      </x:c>
      <x:c r="Q82" s="22" t="str"/>
      <x:c r="R82" s="22" t="str"/>
      <x:c r="S82" s="22" t="str">
        <x:f>IF(C82="","",COUNTIFS('PAGOS'!$C$5:$C$504,A82,'PAGOS'!$B$5:$B$504,"&gt;0",'PAGOS'!$B$5:$B$504,"&lt;="&amp;'AJUSTES'!$B$4,'PAGOS'!$N$5:$N$504,"Incluir",'PAGOS'!$Q$5:$Q$504,"&lt;&gt;Aplicar"))</x:f>
      </x:c>
      <x:c r="T82" s="28" t="str">
        <x:f>IF(AND(C82&lt;&gt;"",ISNUMBER(O82),O82&lt;='AJUSTES'!$B$4,ISNUMBER(E82)),ROUND(E82-G82,2),"")</x:f>
      </x:c>
    </x:row>
    <x:row r="83" ht="25" customHeight="1">
      <x:c r="A83" s="22" t="str">
        <x:v>V-079</x:v>
      </x:c>
      <x:c r="B83" s="25" t="str"/>
      <x:c r="C83" s="26" t="str"/>
      <x:c r="D83" s="26" t="str"/>
      <x:c r="E83" s="27" t="str"/>
      <x:c r="F83" s="26" t="str"/>
      <x:c r="G83" s="28" t="str">
        <x:f>IF(C83="","",SUMIFS('PAGOS'!$K$5:$K$504,'PAGOS'!$C$5:$C$504,A83,'PAGOS'!$Q$5:$Q$504,"Aplicar",'PAGOS'!$B$5:$B$504,"&lt;="&amp;'AJUSTES'!$B$4))</x:f>
      </x:c>
      <x:c r="H83" s="28" t="str">
        <x:f>IF(C83="","",IF(AND(ISNUMBER(O83),O83&lt;='AJUSTES'!$B$4),0,IF(OR(P83&lt;&gt;"Incluir",NOT(ISNUMBER(E83)),B83="",B83&gt;'AJUSTES'!$B$4,S83&gt;0),"",MAX(0,ROUND(E83-G83,2)))))</x:f>
      </x:c>
      <x:c r="I83" s="22" t="str">
        <x:f>IF(C83="","",IF(P83="Anulada","Anulada",IF(B83&gt;'AJUSTES'!$B$4,"Posterior al corte",IF(NOT(ISNUMBER(H83)),"Por conciliar",IF(H83&lt;='AJUSTES'!$B$10,"Pagado",IF(J83&gt;0,"Moroso","Vigente"))))))</x:f>
      </x:c>
      <x:c r="J83" s="22" t="str">
        <x:f>IF(OR(C83="",NOT(ISNUMBER(H83)),NOT(ISNUMBER(N83))),"",IF(H83&gt;'AJUSTES'!$B$10,MAX(0,'AJUSTES'!$B$4-N83),0))</x:f>
      </x:c>
      <x:c r="K83" s="27" t="str"/>
      <x:c r="L83" s="26" t="str"/>
      <x:c r="M83" s="26" t="str">
        <x:f>IF(C83="","",'AJUSTES'!$B$5)</x:f>
      </x:c>
      <x:c r="N83" s="29" t="str">
        <x:f>IF(OR(NOT(ISNUMBER(B83)),NOT(ISNUMBER(M83))),"",B83+M83)</x:f>
      </x:c>
      <x:c r="O83" s="25" t="str"/>
      <x:c r="P83" s="26" t="str">
        <x:v>Incluir</x:v>
      </x:c>
      <x:c r="Q83" s="22" t="str"/>
      <x:c r="R83" s="22" t="str"/>
      <x:c r="S83" s="22" t="str">
        <x:f>IF(C83="","",COUNTIFS('PAGOS'!$C$5:$C$504,A83,'PAGOS'!$B$5:$B$504,"&gt;0",'PAGOS'!$B$5:$B$504,"&lt;="&amp;'AJUSTES'!$B$4,'PAGOS'!$N$5:$N$504,"Incluir",'PAGOS'!$Q$5:$Q$504,"&lt;&gt;Aplicar"))</x:f>
      </x:c>
      <x:c r="T83" s="28" t="str">
        <x:f>IF(AND(C83&lt;&gt;"",ISNUMBER(O83),O83&lt;='AJUSTES'!$B$4,ISNUMBER(E83)),ROUND(E83-G83,2),"")</x:f>
      </x:c>
    </x:row>
    <x:row r="84" ht="25" customHeight="1">
      <x:c r="A84" s="22" t="str">
        <x:v>V-080</x:v>
      </x:c>
      <x:c r="B84" s="25" t="str"/>
      <x:c r="C84" s="26" t="str"/>
      <x:c r="D84" s="26" t="str"/>
      <x:c r="E84" s="27" t="str"/>
      <x:c r="F84" s="26" t="str"/>
      <x:c r="G84" s="28" t="str">
        <x:f>IF(C84="","",SUMIFS('PAGOS'!$K$5:$K$504,'PAGOS'!$C$5:$C$504,A84,'PAGOS'!$Q$5:$Q$504,"Aplicar",'PAGOS'!$B$5:$B$504,"&lt;="&amp;'AJUSTES'!$B$4))</x:f>
      </x:c>
      <x:c r="H84" s="28" t="str">
        <x:f>IF(C84="","",IF(AND(ISNUMBER(O84),O84&lt;='AJUSTES'!$B$4),0,IF(OR(P84&lt;&gt;"Incluir",NOT(ISNUMBER(E84)),B84="",B84&gt;'AJUSTES'!$B$4,S84&gt;0),"",MAX(0,ROUND(E84-G84,2)))))</x:f>
      </x:c>
      <x:c r="I84" s="22" t="str">
        <x:f>IF(C84="","",IF(P84="Anulada","Anulada",IF(B84&gt;'AJUSTES'!$B$4,"Posterior al corte",IF(NOT(ISNUMBER(H84)),"Por conciliar",IF(H84&lt;='AJUSTES'!$B$10,"Pagado",IF(J84&gt;0,"Moroso","Vigente"))))))</x:f>
      </x:c>
      <x:c r="J84" s="22" t="str">
        <x:f>IF(OR(C84="",NOT(ISNUMBER(H84)),NOT(ISNUMBER(N84))),"",IF(H84&gt;'AJUSTES'!$B$10,MAX(0,'AJUSTES'!$B$4-N84),0))</x:f>
      </x:c>
      <x:c r="K84" s="27" t="str"/>
      <x:c r="L84" s="26" t="str"/>
      <x:c r="M84" s="26" t="str">
        <x:f>IF(C84="","",'AJUSTES'!$B$5)</x:f>
      </x:c>
      <x:c r="N84" s="29" t="str">
        <x:f>IF(OR(NOT(ISNUMBER(B84)),NOT(ISNUMBER(M84))),"",B84+M84)</x:f>
      </x:c>
      <x:c r="O84" s="25" t="str"/>
      <x:c r="P84" s="26" t="str">
        <x:v>Incluir</x:v>
      </x:c>
      <x:c r="Q84" s="22" t="str"/>
      <x:c r="R84" s="22" t="str"/>
      <x:c r="S84" s="22" t="str">
        <x:f>IF(C84="","",COUNTIFS('PAGOS'!$C$5:$C$504,A84,'PAGOS'!$B$5:$B$504,"&gt;0",'PAGOS'!$B$5:$B$504,"&lt;="&amp;'AJUSTES'!$B$4,'PAGOS'!$N$5:$N$504,"Incluir",'PAGOS'!$Q$5:$Q$504,"&lt;&gt;Aplicar"))</x:f>
      </x:c>
      <x:c r="T84" s="28" t="str">
        <x:f>IF(AND(C84&lt;&gt;"",ISNUMBER(O84),O84&lt;='AJUSTES'!$B$4,ISNUMBER(E84)),ROUND(E84-G84,2),"")</x:f>
      </x:c>
    </x:row>
    <x:row r="85" ht="25" customHeight="1">
      <x:c r="A85" s="22" t="str">
        <x:v>V-081</x:v>
      </x:c>
      <x:c r="B85" s="25" t="str"/>
      <x:c r="C85" s="26" t="str"/>
      <x:c r="D85" s="26" t="str"/>
      <x:c r="E85" s="27" t="str"/>
      <x:c r="F85" s="26" t="str"/>
      <x:c r="G85" s="28" t="str">
        <x:f>IF(C85="","",SUMIFS('PAGOS'!$K$5:$K$504,'PAGOS'!$C$5:$C$504,A85,'PAGOS'!$Q$5:$Q$504,"Aplicar",'PAGOS'!$B$5:$B$504,"&lt;="&amp;'AJUSTES'!$B$4))</x:f>
      </x:c>
      <x:c r="H85" s="28" t="str">
        <x:f>IF(C85="","",IF(AND(ISNUMBER(O85),O85&lt;='AJUSTES'!$B$4),0,IF(OR(P85&lt;&gt;"Incluir",NOT(ISNUMBER(E85)),B85="",B85&gt;'AJUSTES'!$B$4,S85&gt;0),"",MAX(0,ROUND(E85-G85,2)))))</x:f>
      </x:c>
      <x:c r="I85" s="22" t="str">
        <x:f>IF(C85="","",IF(P85="Anulada","Anulada",IF(B85&gt;'AJUSTES'!$B$4,"Posterior al corte",IF(NOT(ISNUMBER(H85)),"Por conciliar",IF(H85&lt;='AJUSTES'!$B$10,"Pagado",IF(J85&gt;0,"Moroso","Vigente"))))))</x:f>
      </x:c>
      <x:c r="J85" s="22" t="str">
        <x:f>IF(OR(C85="",NOT(ISNUMBER(H85)),NOT(ISNUMBER(N85))),"",IF(H85&gt;'AJUSTES'!$B$10,MAX(0,'AJUSTES'!$B$4-N85),0))</x:f>
      </x:c>
      <x:c r="K85" s="27" t="str"/>
      <x:c r="L85" s="26" t="str"/>
      <x:c r="M85" s="26" t="str">
        <x:f>IF(C85="","",'AJUSTES'!$B$5)</x:f>
      </x:c>
      <x:c r="N85" s="29" t="str">
        <x:f>IF(OR(NOT(ISNUMBER(B85)),NOT(ISNUMBER(M85))),"",B85+M85)</x:f>
      </x:c>
      <x:c r="O85" s="25" t="str"/>
      <x:c r="P85" s="26" t="str">
        <x:v>Incluir</x:v>
      </x:c>
      <x:c r="Q85" s="22" t="str"/>
      <x:c r="R85" s="22" t="str"/>
      <x:c r="S85" s="22" t="str">
        <x:f>IF(C85="","",COUNTIFS('PAGOS'!$C$5:$C$504,A85,'PAGOS'!$B$5:$B$504,"&gt;0",'PAGOS'!$B$5:$B$504,"&lt;="&amp;'AJUSTES'!$B$4,'PAGOS'!$N$5:$N$504,"Incluir",'PAGOS'!$Q$5:$Q$504,"&lt;&gt;Aplicar"))</x:f>
      </x:c>
      <x:c r="T85" s="28" t="str">
        <x:f>IF(AND(C85&lt;&gt;"",ISNUMBER(O85),O85&lt;='AJUSTES'!$B$4,ISNUMBER(E85)),ROUND(E85-G85,2),"")</x:f>
      </x:c>
    </x:row>
    <x:row r="86" ht="25" customHeight="1">
      <x:c r="A86" s="22" t="str">
        <x:v>V-082</x:v>
      </x:c>
      <x:c r="B86" s="25" t="str"/>
      <x:c r="C86" s="26" t="str"/>
      <x:c r="D86" s="26" t="str"/>
      <x:c r="E86" s="27" t="str"/>
      <x:c r="F86" s="26" t="str"/>
      <x:c r="G86" s="28" t="str">
        <x:f>IF(C86="","",SUMIFS('PAGOS'!$K$5:$K$504,'PAGOS'!$C$5:$C$504,A86,'PAGOS'!$Q$5:$Q$504,"Aplicar",'PAGOS'!$B$5:$B$504,"&lt;="&amp;'AJUSTES'!$B$4))</x:f>
      </x:c>
      <x:c r="H86" s="28" t="str">
        <x:f>IF(C86="","",IF(AND(ISNUMBER(O86),O86&lt;='AJUSTES'!$B$4),0,IF(OR(P86&lt;&gt;"Incluir",NOT(ISNUMBER(E86)),B86="",B86&gt;'AJUSTES'!$B$4,S86&gt;0),"",MAX(0,ROUND(E86-G86,2)))))</x:f>
      </x:c>
      <x:c r="I86" s="22" t="str">
        <x:f>IF(C86="","",IF(P86="Anulada","Anulada",IF(B86&gt;'AJUSTES'!$B$4,"Posterior al corte",IF(NOT(ISNUMBER(H86)),"Por conciliar",IF(H86&lt;='AJUSTES'!$B$10,"Pagado",IF(J86&gt;0,"Moroso","Vigente"))))))</x:f>
      </x:c>
      <x:c r="J86" s="22" t="str">
        <x:f>IF(OR(C86="",NOT(ISNUMBER(H86)),NOT(ISNUMBER(N86))),"",IF(H86&gt;'AJUSTES'!$B$10,MAX(0,'AJUSTES'!$B$4-N86),0))</x:f>
      </x:c>
      <x:c r="K86" s="27" t="str"/>
      <x:c r="L86" s="26" t="str"/>
      <x:c r="M86" s="26" t="str">
        <x:f>IF(C86="","",'AJUSTES'!$B$5)</x:f>
      </x:c>
      <x:c r="N86" s="29" t="str">
        <x:f>IF(OR(NOT(ISNUMBER(B86)),NOT(ISNUMBER(M86))),"",B86+M86)</x:f>
      </x:c>
      <x:c r="O86" s="25" t="str"/>
      <x:c r="P86" s="26" t="str">
        <x:v>Incluir</x:v>
      </x:c>
      <x:c r="Q86" s="22" t="str"/>
      <x:c r="R86" s="22" t="str"/>
      <x:c r="S86" s="22" t="str">
        <x:f>IF(C86="","",COUNTIFS('PAGOS'!$C$5:$C$504,A86,'PAGOS'!$B$5:$B$504,"&gt;0",'PAGOS'!$B$5:$B$504,"&lt;="&amp;'AJUSTES'!$B$4,'PAGOS'!$N$5:$N$504,"Incluir",'PAGOS'!$Q$5:$Q$504,"&lt;&gt;Aplicar"))</x:f>
      </x:c>
      <x:c r="T86" s="28" t="str">
        <x:f>IF(AND(C86&lt;&gt;"",ISNUMBER(O86),O86&lt;='AJUSTES'!$B$4,ISNUMBER(E86)),ROUND(E86-G86,2),"")</x:f>
      </x:c>
    </x:row>
    <x:row r="87" ht="25" customHeight="1">
      <x:c r="A87" s="22" t="str">
        <x:v>V-083</x:v>
      </x:c>
      <x:c r="B87" s="25" t="str"/>
      <x:c r="C87" s="26" t="str"/>
      <x:c r="D87" s="26" t="str"/>
      <x:c r="E87" s="27" t="str"/>
      <x:c r="F87" s="26" t="str"/>
      <x:c r="G87" s="28" t="str">
        <x:f>IF(C87="","",SUMIFS('PAGOS'!$K$5:$K$504,'PAGOS'!$C$5:$C$504,A87,'PAGOS'!$Q$5:$Q$504,"Aplicar",'PAGOS'!$B$5:$B$504,"&lt;="&amp;'AJUSTES'!$B$4))</x:f>
      </x:c>
      <x:c r="H87" s="28" t="str">
        <x:f>IF(C87="","",IF(AND(ISNUMBER(O87),O87&lt;='AJUSTES'!$B$4),0,IF(OR(P87&lt;&gt;"Incluir",NOT(ISNUMBER(E87)),B87="",B87&gt;'AJUSTES'!$B$4,S87&gt;0),"",MAX(0,ROUND(E87-G87,2)))))</x:f>
      </x:c>
      <x:c r="I87" s="22" t="str">
        <x:f>IF(C87="","",IF(P87="Anulada","Anulada",IF(B87&gt;'AJUSTES'!$B$4,"Posterior al corte",IF(NOT(ISNUMBER(H87)),"Por conciliar",IF(H87&lt;='AJUSTES'!$B$10,"Pagado",IF(J87&gt;0,"Moroso","Vigente"))))))</x:f>
      </x:c>
      <x:c r="J87" s="22" t="str">
        <x:f>IF(OR(C87="",NOT(ISNUMBER(H87)),NOT(ISNUMBER(N87))),"",IF(H87&gt;'AJUSTES'!$B$10,MAX(0,'AJUSTES'!$B$4-N87),0))</x:f>
      </x:c>
      <x:c r="K87" s="27" t="str"/>
      <x:c r="L87" s="26" t="str"/>
      <x:c r="M87" s="26" t="str">
        <x:f>IF(C87="","",'AJUSTES'!$B$5)</x:f>
      </x:c>
      <x:c r="N87" s="29" t="str">
        <x:f>IF(OR(NOT(ISNUMBER(B87)),NOT(ISNUMBER(M87))),"",B87+M87)</x:f>
      </x:c>
      <x:c r="O87" s="25" t="str"/>
      <x:c r="P87" s="26" t="str">
        <x:v>Incluir</x:v>
      </x:c>
      <x:c r="Q87" s="22" t="str"/>
      <x:c r="R87" s="22" t="str"/>
      <x:c r="S87" s="22" t="str">
        <x:f>IF(C87="","",COUNTIFS('PAGOS'!$C$5:$C$504,A87,'PAGOS'!$B$5:$B$504,"&gt;0",'PAGOS'!$B$5:$B$504,"&lt;="&amp;'AJUSTES'!$B$4,'PAGOS'!$N$5:$N$504,"Incluir",'PAGOS'!$Q$5:$Q$504,"&lt;&gt;Aplicar"))</x:f>
      </x:c>
      <x:c r="T87" s="28" t="str">
        <x:f>IF(AND(C87&lt;&gt;"",ISNUMBER(O87),O87&lt;='AJUSTES'!$B$4,ISNUMBER(E87)),ROUND(E87-G87,2),"")</x:f>
      </x:c>
    </x:row>
    <x:row r="88" ht="25" customHeight="1">
      <x:c r="A88" s="22" t="str">
        <x:v>V-084</x:v>
      </x:c>
      <x:c r="B88" s="25" t="str"/>
      <x:c r="C88" s="26" t="str"/>
      <x:c r="D88" s="26" t="str"/>
      <x:c r="E88" s="27" t="str"/>
      <x:c r="F88" s="26" t="str"/>
      <x:c r="G88" s="28" t="str">
        <x:f>IF(C88="","",SUMIFS('PAGOS'!$K$5:$K$504,'PAGOS'!$C$5:$C$504,A88,'PAGOS'!$Q$5:$Q$504,"Aplicar",'PAGOS'!$B$5:$B$504,"&lt;="&amp;'AJUSTES'!$B$4))</x:f>
      </x:c>
      <x:c r="H88" s="28" t="str">
        <x:f>IF(C88="","",IF(AND(ISNUMBER(O88),O88&lt;='AJUSTES'!$B$4),0,IF(OR(P88&lt;&gt;"Incluir",NOT(ISNUMBER(E88)),B88="",B88&gt;'AJUSTES'!$B$4,S88&gt;0),"",MAX(0,ROUND(E88-G88,2)))))</x:f>
      </x:c>
      <x:c r="I88" s="22" t="str">
        <x:f>IF(C88="","",IF(P88="Anulada","Anulada",IF(B88&gt;'AJUSTES'!$B$4,"Posterior al corte",IF(NOT(ISNUMBER(H88)),"Por conciliar",IF(H88&lt;='AJUSTES'!$B$10,"Pagado",IF(J88&gt;0,"Moroso","Vigente"))))))</x:f>
      </x:c>
      <x:c r="J88" s="22" t="str">
        <x:f>IF(OR(C88="",NOT(ISNUMBER(H88)),NOT(ISNUMBER(N88))),"",IF(H88&gt;'AJUSTES'!$B$10,MAX(0,'AJUSTES'!$B$4-N88),0))</x:f>
      </x:c>
      <x:c r="K88" s="27" t="str"/>
      <x:c r="L88" s="26" t="str"/>
      <x:c r="M88" s="26" t="str">
        <x:f>IF(C88="","",'AJUSTES'!$B$5)</x:f>
      </x:c>
      <x:c r="N88" s="29" t="str">
        <x:f>IF(OR(NOT(ISNUMBER(B88)),NOT(ISNUMBER(M88))),"",B88+M88)</x:f>
      </x:c>
      <x:c r="O88" s="25" t="str"/>
      <x:c r="P88" s="26" t="str">
        <x:v>Incluir</x:v>
      </x:c>
      <x:c r="Q88" s="22" t="str"/>
      <x:c r="R88" s="22" t="str"/>
      <x:c r="S88" s="22" t="str">
        <x:f>IF(C88="","",COUNTIFS('PAGOS'!$C$5:$C$504,A88,'PAGOS'!$B$5:$B$504,"&gt;0",'PAGOS'!$B$5:$B$504,"&lt;="&amp;'AJUSTES'!$B$4,'PAGOS'!$N$5:$N$504,"Incluir",'PAGOS'!$Q$5:$Q$504,"&lt;&gt;Aplicar"))</x:f>
      </x:c>
      <x:c r="T88" s="28" t="str">
        <x:f>IF(AND(C88&lt;&gt;"",ISNUMBER(O88),O88&lt;='AJUSTES'!$B$4,ISNUMBER(E88)),ROUND(E88-G88,2),"")</x:f>
      </x:c>
    </x:row>
    <x:row r="89" ht="25" customHeight="1">
      <x:c r="A89" s="22" t="str">
        <x:v>V-085</x:v>
      </x:c>
      <x:c r="B89" s="25" t="str"/>
      <x:c r="C89" s="26" t="str"/>
      <x:c r="D89" s="26" t="str"/>
      <x:c r="E89" s="27" t="str"/>
      <x:c r="F89" s="26" t="str"/>
      <x:c r="G89" s="28" t="str">
        <x:f>IF(C89="","",SUMIFS('PAGOS'!$K$5:$K$504,'PAGOS'!$C$5:$C$504,A89,'PAGOS'!$Q$5:$Q$504,"Aplicar",'PAGOS'!$B$5:$B$504,"&lt;="&amp;'AJUSTES'!$B$4))</x:f>
      </x:c>
      <x:c r="H89" s="28" t="str">
        <x:f>IF(C89="","",IF(AND(ISNUMBER(O89),O89&lt;='AJUSTES'!$B$4),0,IF(OR(P89&lt;&gt;"Incluir",NOT(ISNUMBER(E89)),B89="",B89&gt;'AJUSTES'!$B$4,S89&gt;0),"",MAX(0,ROUND(E89-G89,2)))))</x:f>
      </x:c>
      <x:c r="I89" s="22" t="str">
        <x:f>IF(C89="","",IF(P89="Anulada","Anulada",IF(B89&gt;'AJUSTES'!$B$4,"Posterior al corte",IF(NOT(ISNUMBER(H89)),"Por conciliar",IF(H89&lt;='AJUSTES'!$B$10,"Pagado",IF(J89&gt;0,"Moroso","Vigente"))))))</x:f>
      </x:c>
      <x:c r="J89" s="22" t="str">
        <x:f>IF(OR(C89="",NOT(ISNUMBER(H89)),NOT(ISNUMBER(N89))),"",IF(H89&gt;'AJUSTES'!$B$10,MAX(0,'AJUSTES'!$B$4-N89),0))</x:f>
      </x:c>
      <x:c r="K89" s="27" t="str"/>
      <x:c r="L89" s="26" t="str"/>
      <x:c r="M89" s="26" t="str">
        <x:f>IF(C89="","",'AJUSTES'!$B$5)</x:f>
      </x:c>
      <x:c r="N89" s="29" t="str">
        <x:f>IF(OR(NOT(ISNUMBER(B89)),NOT(ISNUMBER(M89))),"",B89+M89)</x:f>
      </x:c>
      <x:c r="O89" s="25" t="str"/>
      <x:c r="P89" s="26" t="str">
        <x:v>Incluir</x:v>
      </x:c>
      <x:c r="Q89" s="22" t="str"/>
      <x:c r="R89" s="22" t="str"/>
      <x:c r="S89" s="22" t="str">
        <x:f>IF(C89="","",COUNTIFS('PAGOS'!$C$5:$C$504,A89,'PAGOS'!$B$5:$B$504,"&gt;0",'PAGOS'!$B$5:$B$504,"&lt;="&amp;'AJUSTES'!$B$4,'PAGOS'!$N$5:$N$504,"Incluir",'PAGOS'!$Q$5:$Q$504,"&lt;&gt;Aplicar"))</x:f>
      </x:c>
      <x:c r="T89" s="28" t="str">
        <x:f>IF(AND(C89&lt;&gt;"",ISNUMBER(O89),O89&lt;='AJUSTES'!$B$4,ISNUMBER(E89)),ROUND(E89-G89,2),"")</x:f>
      </x:c>
    </x:row>
    <x:row r="90" ht="25" customHeight="1">
      <x:c r="A90" s="22" t="str">
        <x:v>V-086</x:v>
      </x:c>
      <x:c r="B90" s="25" t="str"/>
      <x:c r="C90" s="26" t="str"/>
      <x:c r="D90" s="26" t="str"/>
      <x:c r="E90" s="27" t="str"/>
      <x:c r="F90" s="26" t="str"/>
      <x:c r="G90" s="28" t="str">
        <x:f>IF(C90="","",SUMIFS('PAGOS'!$K$5:$K$504,'PAGOS'!$C$5:$C$504,A90,'PAGOS'!$Q$5:$Q$504,"Aplicar",'PAGOS'!$B$5:$B$504,"&lt;="&amp;'AJUSTES'!$B$4))</x:f>
      </x:c>
      <x:c r="H90" s="28" t="str">
        <x:f>IF(C90="","",IF(AND(ISNUMBER(O90),O90&lt;='AJUSTES'!$B$4),0,IF(OR(P90&lt;&gt;"Incluir",NOT(ISNUMBER(E90)),B90="",B90&gt;'AJUSTES'!$B$4,S90&gt;0),"",MAX(0,ROUND(E90-G90,2)))))</x:f>
      </x:c>
      <x:c r="I90" s="22" t="str">
        <x:f>IF(C90="","",IF(P90="Anulada","Anulada",IF(B90&gt;'AJUSTES'!$B$4,"Posterior al corte",IF(NOT(ISNUMBER(H90)),"Por conciliar",IF(H90&lt;='AJUSTES'!$B$10,"Pagado",IF(J90&gt;0,"Moroso","Vigente"))))))</x:f>
      </x:c>
      <x:c r="J90" s="22" t="str">
        <x:f>IF(OR(C90="",NOT(ISNUMBER(H90)),NOT(ISNUMBER(N90))),"",IF(H90&gt;'AJUSTES'!$B$10,MAX(0,'AJUSTES'!$B$4-N90),0))</x:f>
      </x:c>
      <x:c r="K90" s="27" t="str"/>
      <x:c r="L90" s="26" t="str"/>
      <x:c r="M90" s="26" t="str">
        <x:f>IF(C90="","",'AJUSTES'!$B$5)</x:f>
      </x:c>
      <x:c r="N90" s="29" t="str">
        <x:f>IF(OR(NOT(ISNUMBER(B90)),NOT(ISNUMBER(M90))),"",B90+M90)</x:f>
      </x:c>
      <x:c r="O90" s="25" t="str"/>
      <x:c r="P90" s="26" t="str">
        <x:v>Incluir</x:v>
      </x:c>
      <x:c r="Q90" s="22" t="str"/>
      <x:c r="R90" s="22" t="str"/>
      <x:c r="S90" s="22" t="str">
        <x:f>IF(C90="","",COUNTIFS('PAGOS'!$C$5:$C$504,A90,'PAGOS'!$B$5:$B$504,"&gt;0",'PAGOS'!$B$5:$B$504,"&lt;="&amp;'AJUSTES'!$B$4,'PAGOS'!$N$5:$N$504,"Incluir",'PAGOS'!$Q$5:$Q$504,"&lt;&gt;Aplicar"))</x:f>
      </x:c>
      <x:c r="T90" s="28" t="str">
        <x:f>IF(AND(C90&lt;&gt;"",ISNUMBER(O90),O90&lt;='AJUSTES'!$B$4,ISNUMBER(E90)),ROUND(E90-G90,2),"")</x:f>
      </x:c>
    </x:row>
    <x:row r="91" ht="25" customHeight="1">
      <x:c r="A91" s="22" t="str">
        <x:v>V-087</x:v>
      </x:c>
      <x:c r="B91" s="25" t="str"/>
      <x:c r="C91" s="26" t="str"/>
      <x:c r="D91" s="26" t="str"/>
      <x:c r="E91" s="27" t="str"/>
      <x:c r="F91" s="26" t="str"/>
      <x:c r="G91" s="28" t="str">
        <x:f>IF(C91="","",SUMIFS('PAGOS'!$K$5:$K$504,'PAGOS'!$C$5:$C$504,A91,'PAGOS'!$Q$5:$Q$504,"Aplicar",'PAGOS'!$B$5:$B$504,"&lt;="&amp;'AJUSTES'!$B$4))</x:f>
      </x:c>
      <x:c r="H91" s="28" t="str">
        <x:f>IF(C91="","",IF(AND(ISNUMBER(O91),O91&lt;='AJUSTES'!$B$4),0,IF(OR(P91&lt;&gt;"Incluir",NOT(ISNUMBER(E91)),B91="",B91&gt;'AJUSTES'!$B$4,S91&gt;0),"",MAX(0,ROUND(E91-G91,2)))))</x:f>
      </x:c>
      <x:c r="I91" s="22" t="str">
        <x:f>IF(C91="","",IF(P91="Anulada","Anulada",IF(B91&gt;'AJUSTES'!$B$4,"Posterior al corte",IF(NOT(ISNUMBER(H91)),"Por conciliar",IF(H91&lt;='AJUSTES'!$B$10,"Pagado",IF(J91&gt;0,"Moroso","Vigente"))))))</x:f>
      </x:c>
      <x:c r="J91" s="22" t="str">
        <x:f>IF(OR(C91="",NOT(ISNUMBER(H91)),NOT(ISNUMBER(N91))),"",IF(H91&gt;'AJUSTES'!$B$10,MAX(0,'AJUSTES'!$B$4-N91),0))</x:f>
      </x:c>
      <x:c r="K91" s="27" t="str"/>
      <x:c r="L91" s="26" t="str"/>
      <x:c r="M91" s="26" t="str">
        <x:f>IF(C91="","",'AJUSTES'!$B$5)</x:f>
      </x:c>
      <x:c r="N91" s="29" t="str">
        <x:f>IF(OR(NOT(ISNUMBER(B91)),NOT(ISNUMBER(M91))),"",B91+M91)</x:f>
      </x:c>
      <x:c r="O91" s="25" t="str"/>
      <x:c r="P91" s="26" t="str">
        <x:v>Incluir</x:v>
      </x:c>
      <x:c r="Q91" s="22" t="str"/>
      <x:c r="R91" s="22" t="str"/>
      <x:c r="S91" s="22" t="str">
        <x:f>IF(C91="","",COUNTIFS('PAGOS'!$C$5:$C$504,A91,'PAGOS'!$B$5:$B$504,"&gt;0",'PAGOS'!$B$5:$B$504,"&lt;="&amp;'AJUSTES'!$B$4,'PAGOS'!$N$5:$N$504,"Incluir",'PAGOS'!$Q$5:$Q$504,"&lt;&gt;Aplicar"))</x:f>
      </x:c>
      <x:c r="T91" s="28" t="str">
        <x:f>IF(AND(C91&lt;&gt;"",ISNUMBER(O91),O91&lt;='AJUSTES'!$B$4,ISNUMBER(E91)),ROUND(E91-G91,2),"")</x:f>
      </x:c>
    </x:row>
    <x:row r="92" ht="25" customHeight="1">
      <x:c r="A92" s="22" t="str">
        <x:v>V-088</x:v>
      </x:c>
      <x:c r="B92" s="25" t="str"/>
      <x:c r="C92" s="26" t="str"/>
      <x:c r="D92" s="26" t="str"/>
      <x:c r="E92" s="27" t="str"/>
      <x:c r="F92" s="26" t="str"/>
      <x:c r="G92" s="28" t="str">
        <x:f>IF(C92="","",SUMIFS('PAGOS'!$K$5:$K$504,'PAGOS'!$C$5:$C$504,A92,'PAGOS'!$Q$5:$Q$504,"Aplicar",'PAGOS'!$B$5:$B$504,"&lt;="&amp;'AJUSTES'!$B$4))</x:f>
      </x:c>
      <x:c r="H92" s="28" t="str">
        <x:f>IF(C92="","",IF(AND(ISNUMBER(O92),O92&lt;='AJUSTES'!$B$4),0,IF(OR(P92&lt;&gt;"Incluir",NOT(ISNUMBER(E92)),B92="",B92&gt;'AJUSTES'!$B$4,S92&gt;0),"",MAX(0,ROUND(E92-G92,2)))))</x:f>
      </x:c>
      <x:c r="I92" s="22" t="str">
        <x:f>IF(C92="","",IF(P92="Anulada","Anulada",IF(B92&gt;'AJUSTES'!$B$4,"Posterior al corte",IF(NOT(ISNUMBER(H92)),"Por conciliar",IF(H92&lt;='AJUSTES'!$B$10,"Pagado",IF(J92&gt;0,"Moroso","Vigente"))))))</x:f>
      </x:c>
      <x:c r="J92" s="22" t="str">
        <x:f>IF(OR(C92="",NOT(ISNUMBER(H92)),NOT(ISNUMBER(N92))),"",IF(H92&gt;'AJUSTES'!$B$10,MAX(0,'AJUSTES'!$B$4-N92),0))</x:f>
      </x:c>
      <x:c r="K92" s="27" t="str"/>
      <x:c r="L92" s="26" t="str"/>
      <x:c r="M92" s="26" t="str">
        <x:f>IF(C92="","",'AJUSTES'!$B$5)</x:f>
      </x:c>
      <x:c r="N92" s="29" t="str">
        <x:f>IF(OR(NOT(ISNUMBER(B92)),NOT(ISNUMBER(M92))),"",B92+M92)</x:f>
      </x:c>
      <x:c r="O92" s="25" t="str"/>
      <x:c r="P92" s="26" t="str">
        <x:v>Incluir</x:v>
      </x:c>
      <x:c r="Q92" s="22" t="str"/>
      <x:c r="R92" s="22" t="str"/>
      <x:c r="S92" s="22" t="str">
        <x:f>IF(C92="","",COUNTIFS('PAGOS'!$C$5:$C$504,A92,'PAGOS'!$B$5:$B$504,"&gt;0",'PAGOS'!$B$5:$B$504,"&lt;="&amp;'AJUSTES'!$B$4,'PAGOS'!$N$5:$N$504,"Incluir",'PAGOS'!$Q$5:$Q$504,"&lt;&gt;Aplicar"))</x:f>
      </x:c>
      <x:c r="T92" s="28" t="str">
        <x:f>IF(AND(C92&lt;&gt;"",ISNUMBER(O92),O92&lt;='AJUSTES'!$B$4,ISNUMBER(E92)),ROUND(E92-G92,2),"")</x:f>
      </x:c>
    </x:row>
    <x:row r="93" ht="25" customHeight="1">
      <x:c r="A93" s="22" t="str">
        <x:v>V-089</x:v>
      </x:c>
      <x:c r="B93" s="25" t="str"/>
      <x:c r="C93" s="26" t="str"/>
      <x:c r="D93" s="26" t="str"/>
      <x:c r="E93" s="27" t="str"/>
      <x:c r="F93" s="26" t="str"/>
      <x:c r="G93" s="28" t="str">
        <x:f>IF(C93="","",SUMIFS('PAGOS'!$K$5:$K$504,'PAGOS'!$C$5:$C$504,A93,'PAGOS'!$Q$5:$Q$504,"Aplicar",'PAGOS'!$B$5:$B$504,"&lt;="&amp;'AJUSTES'!$B$4))</x:f>
      </x:c>
      <x:c r="H93" s="28" t="str">
        <x:f>IF(C93="","",IF(AND(ISNUMBER(O93),O93&lt;='AJUSTES'!$B$4),0,IF(OR(P93&lt;&gt;"Incluir",NOT(ISNUMBER(E93)),B93="",B93&gt;'AJUSTES'!$B$4,S93&gt;0),"",MAX(0,ROUND(E93-G93,2)))))</x:f>
      </x:c>
      <x:c r="I93" s="22" t="str">
        <x:f>IF(C93="","",IF(P93="Anulada","Anulada",IF(B93&gt;'AJUSTES'!$B$4,"Posterior al corte",IF(NOT(ISNUMBER(H93)),"Por conciliar",IF(H93&lt;='AJUSTES'!$B$10,"Pagado",IF(J93&gt;0,"Moroso","Vigente"))))))</x:f>
      </x:c>
      <x:c r="J93" s="22" t="str">
        <x:f>IF(OR(C93="",NOT(ISNUMBER(H93)),NOT(ISNUMBER(N93))),"",IF(H93&gt;'AJUSTES'!$B$10,MAX(0,'AJUSTES'!$B$4-N93),0))</x:f>
      </x:c>
      <x:c r="K93" s="27" t="str"/>
      <x:c r="L93" s="26" t="str"/>
      <x:c r="M93" s="26" t="str">
        <x:f>IF(C93="","",'AJUSTES'!$B$5)</x:f>
      </x:c>
      <x:c r="N93" s="29" t="str">
        <x:f>IF(OR(NOT(ISNUMBER(B93)),NOT(ISNUMBER(M93))),"",B93+M93)</x:f>
      </x:c>
      <x:c r="O93" s="25" t="str"/>
      <x:c r="P93" s="26" t="str">
        <x:v>Incluir</x:v>
      </x:c>
      <x:c r="Q93" s="22" t="str"/>
      <x:c r="R93" s="22" t="str"/>
      <x:c r="S93" s="22" t="str">
        <x:f>IF(C93="","",COUNTIFS('PAGOS'!$C$5:$C$504,A93,'PAGOS'!$B$5:$B$504,"&gt;0",'PAGOS'!$B$5:$B$504,"&lt;="&amp;'AJUSTES'!$B$4,'PAGOS'!$N$5:$N$504,"Incluir",'PAGOS'!$Q$5:$Q$504,"&lt;&gt;Aplicar"))</x:f>
      </x:c>
      <x:c r="T93" s="28" t="str">
        <x:f>IF(AND(C93&lt;&gt;"",ISNUMBER(O93),O93&lt;='AJUSTES'!$B$4,ISNUMBER(E93)),ROUND(E93-G93,2),"")</x:f>
      </x:c>
    </x:row>
    <x:row r="94" ht="25" customHeight="1">
      <x:c r="A94" s="22" t="str">
        <x:v>V-090</x:v>
      </x:c>
      <x:c r="B94" s="25" t="str"/>
      <x:c r="C94" s="26" t="str"/>
      <x:c r="D94" s="26" t="str"/>
      <x:c r="E94" s="27" t="str"/>
      <x:c r="F94" s="26" t="str"/>
      <x:c r="G94" s="28" t="str">
        <x:f>IF(C94="","",SUMIFS('PAGOS'!$K$5:$K$504,'PAGOS'!$C$5:$C$504,A94,'PAGOS'!$Q$5:$Q$504,"Aplicar",'PAGOS'!$B$5:$B$504,"&lt;="&amp;'AJUSTES'!$B$4))</x:f>
      </x:c>
      <x:c r="H94" s="28" t="str">
        <x:f>IF(C94="","",IF(AND(ISNUMBER(O94),O94&lt;='AJUSTES'!$B$4),0,IF(OR(P94&lt;&gt;"Incluir",NOT(ISNUMBER(E94)),B94="",B94&gt;'AJUSTES'!$B$4,S94&gt;0),"",MAX(0,ROUND(E94-G94,2)))))</x:f>
      </x:c>
      <x:c r="I94" s="22" t="str">
        <x:f>IF(C94="","",IF(P94="Anulada","Anulada",IF(B94&gt;'AJUSTES'!$B$4,"Posterior al corte",IF(NOT(ISNUMBER(H94)),"Por conciliar",IF(H94&lt;='AJUSTES'!$B$10,"Pagado",IF(J94&gt;0,"Moroso","Vigente"))))))</x:f>
      </x:c>
      <x:c r="J94" s="22" t="str">
        <x:f>IF(OR(C94="",NOT(ISNUMBER(H94)),NOT(ISNUMBER(N94))),"",IF(H94&gt;'AJUSTES'!$B$10,MAX(0,'AJUSTES'!$B$4-N94),0))</x:f>
      </x:c>
      <x:c r="K94" s="27" t="str"/>
      <x:c r="L94" s="26" t="str"/>
      <x:c r="M94" s="26" t="str">
        <x:f>IF(C94="","",'AJUSTES'!$B$5)</x:f>
      </x:c>
      <x:c r="N94" s="29" t="str">
        <x:f>IF(OR(NOT(ISNUMBER(B94)),NOT(ISNUMBER(M94))),"",B94+M94)</x:f>
      </x:c>
      <x:c r="O94" s="25" t="str"/>
      <x:c r="P94" s="26" t="str">
        <x:v>Incluir</x:v>
      </x:c>
      <x:c r="Q94" s="22" t="str"/>
      <x:c r="R94" s="22" t="str"/>
      <x:c r="S94" s="22" t="str">
        <x:f>IF(C94="","",COUNTIFS('PAGOS'!$C$5:$C$504,A94,'PAGOS'!$B$5:$B$504,"&gt;0",'PAGOS'!$B$5:$B$504,"&lt;="&amp;'AJUSTES'!$B$4,'PAGOS'!$N$5:$N$504,"Incluir",'PAGOS'!$Q$5:$Q$504,"&lt;&gt;Aplicar"))</x:f>
      </x:c>
      <x:c r="T94" s="28" t="str">
        <x:f>IF(AND(C94&lt;&gt;"",ISNUMBER(O94),O94&lt;='AJUSTES'!$B$4,ISNUMBER(E94)),ROUND(E94-G94,2),"")</x:f>
      </x:c>
    </x:row>
    <x:row r="95" ht="25" customHeight="1">
      <x:c r="A95" s="22" t="str">
        <x:v>V-091</x:v>
      </x:c>
      <x:c r="B95" s="25" t="str"/>
      <x:c r="C95" s="26" t="str"/>
      <x:c r="D95" s="26" t="str"/>
      <x:c r="E95" s="27" t="str"/>
      <x:c r="F95" s="26" t="str"/>
      <x:c r="G95" s="28" t="str">
        <x:f>IF(C95="","",SUMIFS('PAGOS'!$K$5:$K$504,'PAGOS'!$C$5:$C$504,A95,'PAGOS'!$Q$5:$Q$504,"Aplicar",'PAGOS'!$B$5:$B$504,"&lt;="&amp;'AJUSTES'!$B$4))</x:f>
      </x:c>
      <x:c r="H95" s="28" t="str">
        <x:f>IF(C95="","",IF(AND(ISNUMBER(O95),O95&lt;='AJUSTES'!$B$4),0,IF(OR(P95&lt;&gt;"Incluir",NOT(ISNUMBER(E95)),B95="",B95&gt;'AJUSTES'!$B$4,S95&gt;0),"",MAX(0,ROUND(E95-G95,2)))))</x:f>
      </x:c>
      <x:c r="I95" s="22" t="str">
        <x:f>IF(C95="","",IF(P95="Anulada","Anulada",IF(B95&gt;'AJUSTES'!$B$4,"Posterior al corte",IF(NOT(ISNUMBER(H95)),"Por conciliar",IF(H95&lt;='AJUSTES'!$B$10,"Pagado",IF(J95&gt;0,"Moroso","Vigente"))))))</x:f>
      </x:c>
      <x:c r="J95" s="22" t="str">
        <x:f>IF(OR(C95="",NOT(ISNUMBER(H95)),NOT(ISNUMBER(N95))),"",IF(H95&gt;'AJUSTES'!$B$10,MAX(0,'AJUSTES'!$B$4-N95),0))</x:f>
      </x:c>
      <x:c r="K95" s="27" t="str"/>
      <x:c r="L95" s="26" t="str"/>
      <x:c r="M95" s="26" t="str">
        <x:f>IF(C95="","",'AJUSTES'!$B$5)</x:f>
      </x:c>
      <x:c r="N95" s="29" t="str">
        <x:f>IF(OR(NOT(ISNUMBER(B95)),NOT(ISNUMBER(M95))),"",B95+M95)</x:f>
      </x:c>
      <x:c r="O95" s="25" t="str"/>
      <x:c r="P95" s="26" t="str">
        <x:v>Incluir</x:v>
      </x:c>
      <x:c r="Q95" s="22" t="str"/>
      <x:c r="R95" s="22" t="str"/>
      <x:c r="S95" s="22" t="str">
        <x:f>IF(C95="","",COUNTIFS('PAGOS'!$C$5:$C$504,A95,'PAGOS'!$B$5:$B$504,"&gt;0",'PAGOS'!$B$5:$B$504,"&lt;="&amp;'AJUSTES'!$B$4,'PAGOS'!$N$5:$N$504,"Incluir",'PAGOS'!$Q$5:$Q$504,"&lt;&gt;Aplicar"))</x:f>
      </x:c>
      <x:c r="T95" s="28" t="str">
        <x:f>IF(AND(C95&lt;&gt;"",ISNUMBER(O95),O95&lt;='AJUSTES'!$B$4,ISNUMBER(E95)),ROUND(E95-G95,2),"")</x:f>
      </x:c>
    </x:row>
    <x:row r="96" ht="25" customHeight="1">
      <x:c r="A96" s="22" t="str">
        <x:v>V-092</x:v>
      </x:c>
      <x:c r="B96" s="25" t="str"/>
      <x:c r="C96" s="26" t="str"/>
      <x:c r="D96" s="26" t="str"/>
      <x:c r="E96" s="27" t="str"/>
      <x:c r="F96" s="26" t="str"/>
      <x:c r="G96" s="28" t="str">
        <x:f>IF(C96="","",SUMIFS('PAGOS'!$K$5:$K$504,'PAGOS'!$C$5:$C$504,A96,'PAGOS'!$Q$5:$Q$504,"Aplicar",'PAGOS'!$B$5:$B$504,"&lt;="&amp;'AJUSTES'!$B$4))</x:f>
      </x:c>
      <x:c r="H96" s="28" t="str">
        <x:f>IF(C96="","",IF(AND(ISNUMBER(O96),O96&lt;='AJUSTES'!$B$4),0,IF(OR(P96&lt;&gt;"Incluir",NOT(ISNUMBER(E96)),B96="",B96&gt;'AJUSTES'!$B$4,S96&gt;0),"",MAX(0,ROUND(E96-G96,2)))))</x:f>
      </x:c>
      <x:c r="I96" s="22" t="str">
        <x:f>IF(C96="","",IF(P96="Anulada","Anulada",IF(B96&gt;'AJUSTES'!$B$4,"Posterior al corte",IF(NOT(ISNUMBER(H96)),"Por conciliar",IF(H96&lt;='AJUSTES'!$B$10,"Pagado",IF(J96&gt;0,"Moroso","Vigente"))))))</x:f>
      </x:c>
      <x:c r="J96" s="22" t="str">
        <x:f>IF(OR(C96="",NOT(ISNUMBER(H96)),NOT(ISNUMBER(N96))),"",IF(H96&gt;'AJUSTES'!$B$10,MAX(0,'AJUSTES'!$B$4-N96),0))</x:f>
      </x:c>
      <x:c r="K96" s="27" t="str"/>
      <x:c r="L96" s="26" t="str"/>
      <x:c r="M96" s="26" t="str">
        <x:f>IF(C96="","",'AJUSTES'!$B$5)</x:f>
      </x:c>
      <x:c r="N96" s="29" t="str">
        <x:f>IF(OR(NOT(ISNUMBER(B96)),NOT(ISNUMBER(M96))),"",B96+M96)</x:f>
      </x:c>
      <x:c r="O96" s="25" t="str"/>
      <x:c r="P96" s="26" t="str">
        <x:v>Incluir</x:v>
      </x:c>
      <x:c r="Q96" s="22" t="str"/>
      <x:c r="R96" s="22" t="str"/>
      <x:c r="S96" s="22" t="str">
        <x:f>IF(C96="","",COUNTIFS('PAGOS'!$C$5:$C$504,A96,'PAGOS'!$B$5:$B$504,"&gt;0",'PAGOS'!$B$5:$B$504,"&lt;="&amp;'AJUSTES'!$B$4,'PAGOS'!$N$5:$N$504,"Incluir",'PAGOS'!$Q$5:$Q$504,"&lt;&gt;Aplicar"))</x:f>
      </x:c>
      <x:c r="T96" s="28" t="str">
        <x:f>IF(AND(C96&lt;&gt;"",ISNUMBER(O96),O96&lt;='AJUSTES'!$B$4,ISNUMBER(E96)),ROUND(E96-G96,2),"")</x:f>
      </x:c>
    </x:row>
    <x:row r="97" ht="25" customHeight="1">
      <x:c r="A97" s="22" t="str">
        <x:v>V-093</x:v>
      </x:c>
      <x:c r="B97" s="25" t="str"/>
      <x:c r="C97" s="26" t="str"/>
      <x:c r="D97" s="26" t="str"/>
      <x:c r="E97" s="27" t="str"/>
      <x:c r="F97" s="26" t="str"/>
      <x:c r="G97" s="28" t="str">
        <x:f>IF(C97="","",SUMIFS('PAGOS'!$K$5:$K$504,'PAGOS'!$C$5:$C$504,A97,'PAGOS'!$Q$5:$Q$504,"Aplicar",'PAGOS'!$B$5:$B$504,"&lt;="&amp;'AJUSTES'!$B$4))</x:f>
      </x:c>
      <x:c r="H97" s="28" t="str">
        <x:f>IF(C97="","",IF(AND(ISNUMBER(O97),O97&lt;='AJUSTES'!$B$4),0,IF(OR(P97&lt;&gt;"Incluir",NOT(ISNUMBER(E97)),B97="",B97&gt;'AJUSTES'!$B$4,S97&gt;0),"",MAX(0,ROUND(E97-G97,2)))))</x:f>
      </x:c>
      <x:c r="I97" s="22" t="str">
        <x:f>IF(C97="","",IF(P97="Anulada","Anulada",IF(B97&gt;'AJUSTES'!$B$4,"Posterior al corte",IF(NOT(ISNUMBER(H97)),"Por conciliar",IF(H97&lt;='AJUSTES'!$B$10,"Pagado",IF(J97&gt;0,"Moroso","Vigente"))))))</x:f>
      </x:c>
      <x:c r="J97" s="22" t="str">
        <x:f>IF(OR(C97="",NOT(ISNUMBER(H97)),NOT(ISNUMBER(N97))),"",IF(H97&gt;'AJUSTES'!$B$10,MAX(0,'AJUSTES'!$B$4-N97),0))</x:f>
      </x:c>
      <x:c r="K97" s="27" t="str"/>
      <x:c r="L97" s="26" t="str"/>
      <x:c r="M97" s="26" t="str">
        <x:f>IF(C97="","",'AJUSTES'!$B$5)</x:f>
      </x:c>
      <x:c r="N97" s="29" t="str">
        <x:f>IF(OR(NOT(ISNUMBER(B97)),NOT(ISNUMBER(M97))),"",B97+M97)</x:f>
      </x:c>
      <x:c r="O97" s="25" t="str"/>
      <x:c r="P97" s="26" t="str">
        <x:v>Incluir</x:v>
      </x:c>
      <x:c r="Q97" s="22" t="str"/>
      <x:c r="R97" s="22" t="str"/>
      <x:c r="S97" s="22" t="str">
        <x:f>IF(C97="","",COUNTIFS('PAGOS'!$C$5:$C$504,A97,'PAGOS'!$B$5:$B$504,"&gt;0",'PAGOS'!$B$5:$B$504,"&lt;="&amp;'AJUSTES'!$B$4,'PAGOS'!$N$5:$N$504,"Incluir",'PAGOS'!$Q$5:$Q$504,"&lt;&gt;Aplicar"))</x:f>
      </x:c>
      <x:c r="T97" s="28" t="str">
        <x:f>IF(AND(C97&lt;&gt;"",ISNUMBER(O97),O97&lt;='AJUSTES'!$B$4,ISNUMBER(E97)),ROUND(E97-G97,2),"")</x:f>
      </x:c>
    </x:row>
    <x:row r="98" ht="25" customHeight="1">
      <x:c r="A98" s="22" t="str">
        <x:v>V-094</x:v>
      </x:c>
      <x:c r="B98" s="25" t="str"/>
      <x:c r="C98" s="26" t="str"/>
      <x:c r="D98" s="26" t="str"/>
      <x:c r="E98" s="27" t="str"/>
      <x:c r="F98" s="26" t="str"/>
      <x:c r="G98" s="28" t="str">
        <x:f>IF(C98="","",SUMIFS('PAGOS'!$K$5:$K$504,'PAGOS'!$C$5:$C$504,A98,'PAGOS'!$Q$5:$Q$504,"Aplicar",'PAGOS'!$B$5:$B$504,"&lt;="&amp;'AJUSTES'!$B$4))</x:f>
      </x:c>
      <x:c r="H98" s="28" t="str">
        <x:f>IF(C98="","",IF(AND(ISNUMBER(O98),O98&lt;='AJUSTES'!$B$4),0,IF(OR(P98&lt;&gt;"Incluir",NOT(ISNUMBER(E98)),B98="",B98&gt;'AJUSTES'!$B$4,S98&gt;0),"",MAX(0,ROUND(E98-G98,2)))))</x:f>
      </x:c>
      <x:c r="I98" s="22" t="str">
        <x:f>IF(C98="","",IF(P98="Anulada","Anulada",IF(B98&gt;'AJUSTES'!$B$4,"Posterior al corte",IF(NOT(ISNUMBER(H98)),"Por conciliar",IF(H98&lt;='AJUSTES'!$B$10,"Pagado",IF(J98&gt;0,"Moroso","Vigente"))))))</x:f>
      </x:c>
      <x:c r="J98" s="22" t="str">
        <x:f>IF(OR(C98="",NOT(ISNUMBER(H98)),NOT(ISNUMBER(N98))),"",IF(H98&gt;'AJUSTES'!$B$10,MAX(0,'AJUSTES'!$B$4-N98),0))</x:f>
      </x:c>
      <x:c r="K98" s="27" t="str"/>
      <x:c r="L98" s="26" t="str"/>
      <x:c r="M98" s="26" t="str">
        <x:f>IF(C98="","",'AJUSTES'!$B$5)</x:f>
      </x:c>
      <x:c r="N98" s="29" t="str">
        <x:f>IF(OR(NOT(ISNUMBER(B98)),NOT(ISNUMBER(M98))),"",B98+M98)</x:f>
      </x:c>
      <x:c r="O98" s="25" t="str"/>
      <x:c r="P98" s="26" t="str">
        <x:v>Incluir</x:v>
      </x:c>
      <x:c r="Q98" s="22" t="str"/>
      <x:c r="R98" s="22" t="str"/>
      <x:c r="S98" s="22" t="str">
        <x:f>IF(C98="","",COUNTIFS('PAGOS'!$C$5:$C$504,A98,'PAGOS'!$B$5:$B$504,"&gt;0",'PAGOS'!$B$5:$B$504,"&lt;="&amp;'AJUSTES'!$B$4,'PAGOS'!$N$5:$N$504,"Incluir",'PAGOS'!$Q$5:$Q$504,"&lt;&gt;Aplicar"))</x:f>
      </x:c>
      <x:c r="T98" s="28" t="str">
        <x:f>IF(AND(C98&lt;&gt;"",ISNUMBER(O98),O98&lt;='AJUSTES'!$B$4,ISNUMBER(E98)),ROUND(E98-G98,2),"")</x:f>
      </x:c>
    </x:row>
    <x:row r="99" ht="25" customHeight="1">
      <x:c r="A99" s="22" t="str">
        <x:v>V-095</x:v>
      </x:c>
      <x:c r="B99" s="25" t="str"/>
      <x:c r="C99" s="26" t="str"/>
      <x:c r="D99" s="26" t="str"/>
      <x:c r="E99" s="27" t="str"/>
      <x:c r="F99" s="26" t="str"/>
      <x:c r="G99" s="28" t="str">
        <x:f>IF(C99="","",SUMIFS('PAGOS'!$K$5:$K$504,'PAGOS'!$C$5:$C$504,A99,'PAGOS'!$Q$5:$Q$504,"Aplicar",'PAGOS'!$B$5:$B$504,"&lt;="&amp;'AJUSTES'!$B$4))</x:f>
      </x:c>
      <x:c r="H99" s="28" t="str">
        <x:f>IF(C99="","",IF(AND(ISNUMBER(O99),O99&lt;='AJUSTES'!$B$4),0,IF(OR(P99&lt;&gt;"Incluir",NOT(ISNUMBER(E99)),B99="",B99&gt;'AJUSTES'!$B$4,S99&gt;0),"",MAX(0,ROUND(E99-G99,2)))))</x:f>
      </x:c>
      <x:c r="I99" s="22" t="str">
        <x:f>IF(C99="","",IF(P99="Anulada","Anulada",IF(B99&gt;'AJUSTES'!$B$4,"Posterior al corte",IF(NOT(ISNUMBER(H99)),"Por conciliar",IF(H99&lt;='AJUSTES'!$B$10,"Pagado",IF(J99&gt;0,"Moroso","Vigente"))))))</x:f>
      </x:c>
      <x:c r="J99" s="22" t="str">
        <x:f>IF(OR(C99="",NOT(ISNUMBER(H99)),NOT(ISNUMBER(N99))),"",IF(H99&gt;'AJUSTES'!$B$10,MAX(0,'AJUSTES'!$B$4-N99),0))</x:f>
      </x:c>
      <x:c r="K99" s="27" t="str"/>
      <x:c r="L99" s="26" t="str"/>
      <x:c r="M99" s="26" t="str">
        <x:f>IF(C99="","",'AJUSTES'!$B$5)</x:f>
      </x:c>
      <x:c r="N99" s="29" t="str">
        <x:f>IF(OR(NOT(ISNUMBER(B99)),NOT(ISNUMBER(M99))),"",B99+M99)</x:f>
      </x:c>
      <x:c r="O99" s="25" t="str"/>
      <x:c r="P99" s="26" t="str">
        <x:v>Incluir</x:v>
      </x:c>
      <x:c r="Q99" s="22" t="str"/>
      <x:c r="R99" s="22" t="str"/>
      <x:c r="S99" s="22" t="str">
        <x:f>IF(C99="","",COUNTIFS('PAGOS'!$C$5:$C$504,A99,'PAGOS'!$B$5:$B$504,"&gt;0",'PAGOS'!$B$5:$B$504,"&lt;="&amp;'AJUSTES'!$B$4,'PAGOS'!$N$5:$N$504,"Incluir",'PAGOS'!$Q$5:$Q$504,"&lt;&gt;Aplicar"))</x:f>
      </x:c>
      <x:c r="T99" s="28" t="str">
        <x:f>IF(AND(C99&lt;&gt;"",ISNUMBER(O99),O99&lt;='AJUSTES'!$B$4,ISNUMBER(E99)),ROUND(E99-G99,2),"")</x:f>
      </x:c>
    </x:row>
    <x:row r="100" ht="25" customHeight="1">
      <x:c r="A100" s="22" t="str">
        <x:v>V-096</x:v>
      </x:c>
      <x:c r="B100" s="25"/>
      <x:c r="C100" s="26"/>
      <x:c r="D100" s="26"/>
      <x:c r="E100" s="27"/>
      <x:c r="F100" s="26"/>
      <x:c r="G100" s="28" t="str">
        <x:f>IF(C100="","",SUMIFS('PAGOS'!$K$5:$K$504,'PAGOS'!$C$5:$C$504,A100,'PAGOS'!$Q$5:$Q$504,"Aplicar",'PAGOS'!$B$5:$B$504,"&lt;="&amp;'AJUSTES'!$B$4))</x:f>
      </x:c>
      <x:c r="H100" s="28" t="str">
        <x:f>IF(C100="","",IF(AND(ISNUMBER(O100),O100&lt;='AJUSTES'!$B$4),0,IF(OR(P100&lt;&gt;"Incluir",NOT(ISNUMBER(E100)),B100="",B100&gt;'AJUSTES'!$B$4,S100&gt;0),"",MAX(0,ROUND(E100-G100,2)))))</x:f>
      </x:c>
      <x:c r="I100" s="22" t="str">
        <x:f>IF(C100="","",IF(P100="Anulada","Anulada",IF(B100&gt;'AJUSTES'!$B$4,"Posterior al corte",IF(NOT(ISNUMBER(H100)),"Por conciliar",IF(H100&lt;='AJUSTES'!$B$10,"Pagado",IF(J100&gt;0,"Moroso","Vigente"))))))</x:f>
      </x:c>
      <x:c r="J100" s="22" t="str">
        <x:f>IF(OR(C100="",NOT(ISNUMBER(H100)),NOT(ISNUMBER(N100))),"",IF(H100&gt;'AJUSTES'!$B$10,MAX(0,'AJUSTES'!$B$4-N100),0))</x:f>
      </x:c>
      <x:c r="K100" s="27" t="str"/>
      <x:c r="L100" s="26" t="str"/>
      <x:c r="M100" s="26" t="str">
        <x:f>IF(C100="","",'AJUSTES'!$B$5)</x:f>
      </x:c>
      <x:c r="N100" s="29" t="str">
        <x:f>IF(OR(NOT(ISNUMBER(B100)),NOT(ISNUMBER(M100))),"",B100+M100)</x:f>
      </x:c>
      <x:c r="O100" s="25" t="str"/>
      <x:c r="P100" s="26" t="str">
        <x:v>Incluir</x:v>
      </x:c>
      <x:c r="Q100" s="22" t="str"/>
      <x:c r="R100" s="22" t="str"/>
      <x:c r="S100" s="22" t="str">
        <x:f>IF(C100="","",COUNTIFS('PAGOS'!$C$5:$C$504,A100,'PAGOS'!$B$5:$B$504,"&gt;0",'PAGOS'!$B$5:$B$504,"&lt;="&amp;'AJUSTES'!$B$4,'PAGOS'!$N$5:$N$504,"Incluir",'PAGOS'!$Q$5:$Q$504,"&lt;&gt;Aplicar"))</x:f>
      </x:c>
      <x:c r="T100" s="28" t="str">
        <x:f>IF(AND(C100&lt;&gt;"",ISNUMBER(O100),O100&lt;='AJUSTES'!$B$4,ISNUMBER(E100)),ROUND(E100-G100,2),"")</x:f>
      </x:c>
    </x:row>
    <x:row r="101" ht="25" customHeight="1">
      <x:c r="A101" s="22" t="str">
        <x:v>V-097</x:v>
      </x:c>
      <x:c r="B101" s="25" t="str"/>
      <x:c r="C101" s="26" t="str"/>
      <x:c r="D101" s="26" t="str"/>
      <x:c r="E101" s="27" t="str"/>
      <x:c r="F101" s="26" t="str"/>
      <x:c r="G101" s="28" t="str">
        <x:f>IF(C101="","",SUMIFS('PAGOS'!$K$5:$K$504,'PAGOS'!$C$5:$C$504,A101,'PAGOS'!$Q$5:$Q$504,"Aplicar",'PAGOS'!$B$5:$B$504,"&lt;="&amp;'AJUSTES'!$B$4))</x:f>
      </x:c>
      <x:c r="H101" s="28" t="str">
        <x:f>IF(C101="","",IF(AND(ISNUMBER(O101),O101&lt;='AJUSTES'!$B$4),0,IF(OR(P101&lt;&gt;"Incluir",NOT(ISNUMBER(E101)),B101="",B101&gt;'AJUSTES'!$B$4,S101&gt;0),"",MAX(0,ROUND(E101-G101,2)))))</x:f>
      </x:c>
      <x:c r="I101" s="22" t="str">
        <x:f>IF(C101="","",IF(P101="Anulada","Anulada",IF(B101&gt;'AJUSTES'!$B$4,"Posterior al corte",IF(NOT(ISNUMBER(H101)),"Por conciliar",IF(H101&lt;='AJUSTES'!$B$10,"Pagado",IF(J101&gt;0,"Moroso","Vigente"))))))</x:f>
      </x:c>
      <x:c r="J101" s="22" t="str">
        <x:f>IF(OR(C101="",NOT(ISNUMBER(H101)),NOT(ISNUMBER(N101))),"",IF(H101&gt;'AJUSTES'!$B$10,MAX(0,'AJUSTES'!$B$4-N101),0))</x:f>
      </x:c>
      <x:c r="K101" s="27" t="str"/>
      <x:c r="L101" s="26" t="str"/>
      <x:c r="M101" s="26" t="str">
        <x:f>IF(C101="","",'AJUSTES'!$B$5)</x:f>
      </x:c>
      <x:c r="N101" s="29" t="str">
        <x:f>IF(OR(NOT(ISNUMBER(B101)),NOT(ISNUMBER(M101))),"",B101+M101)</x:f>
      </x:c>
      <x:c r="O101" s="25" t="str"/>
      <x:c r="P101" s="26" t="str">
        <x:v>Incluir</x:v>
      </x:c>
      <x:c r="Q101" s="22" t="str"/>
      <x:c r="R101" s="22" t="str"/>
      <x:c r="S101" s="22" t="str">
        <x:f>IF(C101="","",COUNTIFS('PAGOS'!$C$5:$C$504,A101,'PAGOS'!$B$5:$B$504,"&gt;0",'PAGOS'!$B$5:$B$504,"&lt;="&amp;'AJUSTES'!$B$4,'PAGOS'!$N$5:$N$504,"Incluir",'PAGOS'!$Q$5:$Q$504,"&lt;&gt;Aplicar"))</x:f>
      </x:c>
      <x:c r="T101" s="28" t="str">
        <x:f>IF(AND(C101&lt;&gt;"",ISNUMBER(O101),O101&lt;='AJUSTES'!$B$4,ISNUMBER(E101)),ROUND(E101-G101,2),"")</x:f>
      </x:c>
    </x:row>
    <x:row r="102" ht="25" customHeight="1">
      <x:c r="A102" s="22" t="str">
        <x:v>V-098</x:v>
      </x:c>
      <x:c r="B102" s="25" t="str"/>
      <x:c r="C102" s="26" t="str"/>
      <x:c r="D102" s="26" t="str"/>
      <x:c r="E102" s="27" t="str"/>
      <x:c r="F102" s="26" t="str"/>
      <x:c r="G102" s="28" t="str">
        <x:f>IF(C102="","",SUMIFS('PAGOS'!$K$5:$K$504,'PAGOS'!$C$5:$C$504,A102,'PAGOS'!$Q$5:$Q$504,"Aplicar",'PAGOS'!$B$5:$B$504,"&lt;="&amp;'AJUSTES'!$B$4))</x:f>
      </x:c>
      <x:c r="H102" s="28" t="str">
        <x:f>IF(C102="","",IF(AND(ISNUMBER(O102),O102&lt;='AJUSTES'!$B$4),0,IF(OR(P102&lt;&gt;"Incluir",NOT(ISNUMBER(E102)),B102="",B102&gt;'AJUSTES'!$B$4,S102&gt;0),"",MAX(0,ROUND(E102-G102,2)))))</x:f>
      </x:c>
      <x:c r="I102" s="22" t="str">
        <x:f>IF(C102="","",IF(P102="Anulada","Anulada",IF(B102&gt;'AJUSTES'!$B$4,"Posterior al corte",IF(NOT(ISNUMBER(H102)),"Por conciliar",IF(H102&lt;='AJUSTES'!$B$10,"Pagado",IF(J102&gt;0,"Moroso","Vigente"))))))</x:f>
      </x:c>
      <x:c r="J102" s="22" t="str">
        <x:f>IF(OR(C102="",NOT(ISNUMBER(H102)),NOT(ISNUMBER(N102))),"",IF(H102&gt;'AJUSTES'!$B$10,MAX(0,'AJUSTES'!$B$4-N102),0))</x:f>
      </x:c>
      <x:c r="K102" s="27" t="str"/>
      <x:c r="L102" s="26" t="str"/>
      <x:c r="M102" s="26" t="str">
        <x:f>IF(C102="","",'AJUSTES'!$B$5)</x:f>
      </x:c>
      <x:c r="N102" s="29" t="str">
        <x:f>IF(OR(NOT(ISNUMBER(B102)),NOT(ISNUMBER(M102))),"",B102+M102)</x:f>
      </x:c>
      <x:c r="O102" s="25" t="str"/>
      <x:c r="P102" s="26" t="str">
        <x:v>Incluir</x:v>
      </x:c>
      <x:c r="Q102" s="22" t="str"/>
      <x:c r="R102" s="22" t="str"/>
      <x:c r="S102" s="22" t="str">
        <x:f>IF(C102="","",COUNTIFS('PAGOS'!$C$5:$C$504,A102,'PAGOS'!$B$5:$B$504,"&gt;0",'PAGOS'!$B$5:$B$504,"&lt;="&amp;'AJUSTES'!$B$4,'PAGOS'!$N$5:$N$504,"Incluir",'PAGOS'!$Q$5:$Q$504,"&lt;&gt;Aplicar"))</x:f>
      </x:c>
      <x:c r="T102" s="28" t="str">
        <x:f>IF(AND(C102&lt;&gt;"",ISNUMBER(O102),O102&lt;='AJUSTES'!$B$4,ISNUMBER(E102)),ROUND(E102-G102,2),"")</x:f>
      </x:c>
    </x:row>
    <x:row r="103" ht="25" customHeight="1">
      <x:c r="A103" s="22" t="str">
        <x:v>V-099</x:v>
      </x:c>
      <x:c r="B103" s="25" t="str"/>
      <x:c r="C103" s="26" t="str"/>
      <x:c r="D103" s="26" t="str"/>
      <x:c r="E103" s="27" t="str"/>
      <x:c r="F103" s="26" t="str"/>
      <x:c r="G103" s="28" t="str">
        <x:f>IF(C103="","",SUMIFS('PAGOS'!$K$5:$K$504,'PAGOS'!$C$5:$C$504,A103,'PAGOS'!$Q$5:$Q$504,"Aplicar",'PAGOS'!$B$5:$B$504,"&lt;="&amp;'AJUSTES'!$B$4))</x:f>
      </x:c>
      <x:c r="H103" s="28" t="str">
        <x:f>IF(C103="","",IF(AND(ISNUMBER(O103),O103&lt;='AJUSTES'!$B$4),0,IF(OR(P103&lt;&gt;"Incluir",NOT(ISNUMBER(E103)),B103="",B103&gt;'AJUSTES'!$B$4,S103&gt;0),"",MAX(0,ROUND(E103-G103,2)))))</x:f>
      </x:c>
      <x:c r="I103" s="22" t="str">
        <x:f>IF(C103="","",IF(P103="Anulada","Anulada",IF(B103&gt;'AJUSTES'!$B$4,"Posterior al corte",IF(NOT(ISNUMBER(H103)),"Por conciliar",IF(H103&lt;='AJUSTES'!$B$10,"Pagado",IF(J103&gt;0,"Moroso","Vigente"))))))</x:f>
      </x:c>
      <x:c r="J103" s="22" t="str">
        <x:f>IF(OR(C103="",NOT(ISNUMBER(H103)),NOT(ISNUMBER(N103))),"",IF(H103&gt;'AJUSTES'!$B$10,MAX(0,'AJUSTES'!$B$4-N103),0))</x:f>
      </x:c>
      <x:c r="K103" s="27" t="str"/>
      <x:c r="L103" s="26" t="str"/>
      <x:c r="M103" s="26" t="str">
        <x:f>IF(C103="","",'AJUSTES'!$B$5)</x:f>
      </x:c>
      <x:c r="N103" s="29" t="str">
        <x:f>IF(OR(NOT(ISNUMBER(B103)),NOT(ISNUMBER(M103))),"",B103+M103)</x:f>
      </x:c>
      <x:c r="O103" s="25" t="str"/>
      <x:c r="P103" s="26" t="str">
        <x:v>Incluir</x:v>
      </x:c>
      <x:c r="Q103" s="22" t="str"/>
      <x:c r="R103" s="22" t="str"/>
      <x:c r="S103" s="22" t="str">
        <x:f>IF(C103="","",COUNTIFS('PAGOS'!$C$5:$C$504,A103,'PAGOS'!$B$5:$B$504,"&gt;0",'PAGOS'!$B$5:$B$504,"&lt;="&amp;'AJUSTES'!$B$4,'PAGOS'!$N$5:$N$504,"Incluir",'PAGOS'!$Q$5:$Q$504,"&lt;&gt;Aplicar"))</x:f>
      </x:c>
      <x:c r="T103" s="28" t="str">
        <x:f>IF(AND(C103&lt;&gt;"",ISNUMBER(O103),O103&lt;='AJUSTES'!$B$4,ISNUMBER(E103)),ROUND(E103-G103,2),"")</x:f>
      </x:c>
    </x:row>
    <x:row r="104" ht="25" customHeight="1">
      <x:c r="A104" s="22" t="str">
        <x:v>V-100</x:v>
      </x:c>
      <x:c r="B104" s="25" t="str"/>
      <x:c r="C104" s="26" t="str"/>
      <x:c r="D104" s="26" t="str"/>
      <x:c r="E104" s="27" t="str"/>
      <x:c r="F104" s="26" t="str"/>
      <x:c r="G104" s="28" t="str">
        <x:f>IF(C104="","",SUMIFS('PAGOS'!$K$5:$K$504,'PAGOS'!$C$5:$C$504,A104,'PAGOS'!$Q$5:$Q$504,"Aplicar",'PAGOS'!$B$5:$B$504,"&lt;="&amp;'AJUSTES'!$B$4))</x:f>
      </x:c>
      <x:c r="H104" s="28" t="str">
        <x:f>IF(C104="","",IF(AND(ISNUMBER(O104),O104&lt;='AJUSTES'!$B$4),0,IF(OR(P104&lt;&gt;"Incluir",NOT(ISNUMBER(E104)),B104="",B104&gt;'AJUSTES'!$B$4,S104&gt;0),"",MAX(0,ROUND(E104-G104,2)))))</x:f>
      </x:c>
      <x:c r="I104" s="22" t="str">
        <x:f>IF(C104="","",IF(P104="Anulada","Anulada",IF(B104&gt;'AJUSTES'!$B$4,"Posterior al corte",IF(NOT(ISNUMBER(H104)),"Por conciliar",IF(H104&lt;='AJUSTES'!$B$10,"Pagado",IF(J104&gt;0,"Moroso","Vigente"))))))</x:f>
      </x:c>
      <x:c r="J104" s="22" t="str">
        <x:f>IF(OR(C104="",NOT(ISNUMBER(H104)),NOT(ISNUMBER(N104))),"",IF(H104&gt;'AJUSTES'!$B$10,MAX(0,'AJUSTES'!$B$4-N104),0))</x:f>
      </x:c>
      <x:c r="K104" s="27" t="str"/>
      <x:c r="L104" s="26" t="str"/>
      <x:c r="M104" s="26" t="str">
        <x:f>IF(C104="","",'AJUSTES'!$B$5)</x:f>
      </x:c>
      <x:c r="N104" s="29" t="str">
        <x:f>IF(OR(NOT(ISNUMBER(B104)),NOT(ISNUMBER(M104))),"",B104+M104)</x:f>
      </x:c>
      <x:c r="O104" s="25" t="str"/>
      <x:c r="P104" s="26" t="str">
        <x:v>Incluir</x:v>
      </x:c>
      <x:c r="Q104" s="22" t="str"/>
      <x:c r="R104" s="22" t="str"/>
      <x:c r="S104" s="22" t="str">
        <x:f>IF(C104="","",COUNTIFS('PAGOS'!$C$5:$C$504,A104,'PAGOS'!$B$5:$B$504,"&gt;0",'PAGOS'!$B$5:$B$504,"&lt;="&amp;'AJUSTES'!$B$4,'PAGOS'!$N$5:$N$504,"Incluir",'PAGOS'!$Q$5:$Q$504,"&lt;&gt;Aplicar"))</x:f>
      </x:c>
      <x:c r="T104" s="28" t="str">
        <x:f>IF(AND(C104&lt;&gt;"",ISNUMBER(O104),O104&lt;='AJUSTES'!$B$4,ISNUMBER(E104)),ROUND(E104-G104,2),"")</x:f>
      </x:c>
    </x:row>
    <x:row r="105" ht="25" customHeight="1">
      <x:c r="A105" s="22" t="str">
        <x:v>V-101</x:v>
      </x:c>
      <x:c r="B105" s="25" t="str"/>
      <x:c r="C105" s="26" t="str"/>
      <x:c r="D105" s="26" t="str"/>
      <x:c r="E105" s="27" t="str"/>
      <x:c r="F105" s="26" t="str"/>
      <x:c r="G105" s="28" t="str">
        <x:f>IF(C105="","",SUMIFS('PAGOS'!$K$5:$K$504,'PAGOS'!$C$5:$C$504,A105,'PAGOS'!$Q$5:$Q$504,"Aplicar",'PAGOS'!$B$5:$B$504,"&lt;="&amp;'AJUSTES'!$B$4))</x:f>
      </x:c>
      <x:c r="H105" s="28" t="str">
        <x:f>IF(C105="","",IF(AND(ISNUMBER(O105),O105&lt;='AJUSTES'!$B$4),0,IF(OR(P105&lt;&gt;"Incluir",NOT(ISNUMBER(E105)),B105="",B105&gt;'AJUSTES'!$B$4,S105&gt;0),"",MAX(0,ROUND(E105-G105,2)))))</x:f>
      </x:c>
      <x:c r="I105" s="22" t="str">
        <x:f>IF(C105="","",IF(P105="Anulada","Anulada",IF(B105&gt;'AJUSTES'!$B$4,"Posterior al corte",IF(NOT(ISNUMBER(H105)),"Por conciliar",IF(H105&lt;='AJUSTES'!$B$10,"Pagado",IF(J105&gt;0,"Moroso","Vigente"))))))</x:f>
      </x:c>
      <x:c r="J105" s="22" t="str">
        <x:f>IF(OR(C105="",NOT(ISNUMBER(H105)),NOT(ISNUMBER(N105))),"",IF(H105&gt;'AJUSTES'!$B$10,MAX(0,'AJUSTES'!$B$4-N105),0))</x:f>
      </x:c>
      <x:c r="K105" s="27" t="str"/>
      <x:c r="L105" s="26" t="str"/>
      <x:c r="M105" s="26" t="str">
        <x:f>IF(C105="","",'AJUSTES'!$B$5)</x:f>
      </x:c>
      <x:c r="N105" s="29" t="str">
        <x:f>IF(OR(NOT(ISNUMBER(B105)),NOT(ISNUMBER(M105))),"",B105+M105)</x:f>
      </x:c>
      <x:c r="O105" s="25" t="str"/>
      <x:c r="P105" s="26" t="str">
        <x:v>Incluir</x:v>
      </x:c>
      <x:c r="Q105" s="22" t="str"/>
      <x:c r="R105" s="22" t="str"/>
      <x:c r="S105" s="22" t="str">
        <x:f>IF(C105="","",COUNTIFS('PAGOS'!$C$5:$C$504,A105,'PAGOS'!$B$5:$B$504,"&gt;0",'PAGOS'!$B$5:$B$504,"&lt;="&amp;'AJUSTES'!$B$4,'PAGOS'!$N$5:$N$504,"Incluir",'PAGOS'!$Q$5:$Q$504,"&lt;&gt;Aplicar"))</x:f>
      </x:c>
      <x:c r="T105" s="28" t="str">
        <x:f>IF(AND(C105&lt;&gt;"",ISNUMBER(O105),O105&lt;='AJUSTES'!$B$4,ISNUMBER(E105)),ROUND(E105-G105,2),"")</x:f>
      </x:c>
    </x:row>
    <x:row r="106" ht="25" customHeight="1">
      <x:c r="A106" s="22" t="str">
        <x:v>V-102</x:v>
      </x:c>
      <x:c r="B106" s="25" t="str"/>
      <x:c r="C106" s="26" t="str"/>
      <x:c r="D106" s="26" t="str"/>
      <x:c r="E106" s="27" t="str"/>
      <x:c r="F106" s="26" t="str"/>
      <x:c r="G106" s="28" t="str">
        <x:f>IF(C106="","",SUMIFS('PAGOS'!$K$5:$K$504,'PAGOS'!$C$5:$C$504,A106,'PAGOS'!$Q$5:$Q$504,"Aplicar",'PAGOS'!$B$5:$B$504,"&lt;="&amp;'AJUSTES'!$B$4))</x:f>
      </x:c>
      <x:c r="H106" s="28" t="str">
        <x:f>IF(C106="","",IF(AND(ISNUMBER(O106),O106&lt;='AJUSTES'!$B$4),0,IF(OR(P106&lt;&gt;"Incluir",NOT(ISNUMBER(E106)),B106="",B106&gt;'AJUSTES'!$B$4,S106&gt;0),"",MAX(0,ROUND(E106-G106,2)))))</x:f>
      </x:c>
      <x:c r="I106" s="22" t="str">
        <x:f>IF(C106="","",IF(P106="Anulada","Anulada",IF(B106&gt;'AJUSTES'!$B$4,"Posterior al corte",IF(NOT(ISNUMBER(H106)),"Por conciliar",IF(H106&lt;='AJUSTES'!$B$10,"Pagado",IF(J106&gt;0,"Moroso","Vigente"))))))</x:f>
      </x:c>
      <x:c r="J106" s="22" t="str">
        <x:f>IF(OR(C106="",NOT(ISNUMBER(H106)),NOT(ISNUMBER(N106))),"",IF(H106&gt;'AJUSTES'!$B$10,MAX(0,'AJUSTES'!$B$4-N106),0))</x:f>
      </x:c>
      <x:c r="K106" s="27" t="str"/>
      <x:c r="L106" s="26" t="str"/>
      <x:c r="M106" s="26" t="str">
        <x:f>IF(C106="","",'AJUSTES'!$B$5)</x:f>
      </x:c>
      <x:c r="N106" s="29" t="str">
        <x:f>IF(OR(NOT(ISNUMBER(B106)),NOT(ISNUMBER(M106))),"",B106+M106)</x:f>
      </x:c>
      <x:c r="O106" s="25" t="str"/>
      <x:c r="P106" s="26" t="str">
        <x:v>Incluir</x:v>
      </x:c>
      <x:c r="Q106" s="22" t="str"/>
      <x:c r="R106" s="22" t="str"/>
      <x:c r="S106" s="22" t="str">
        <x:f>IF(C106="","",COUNTIFS('PAGOS'!$C$5:$C$504,A106,'PAGOS'!$B$5:$B$504,"&gt;0",'PAGOS'!$B$5:$B$504,"&lt;="&amp;'AJUSTES'!$B$4,'PAGOS'!$N$5:$N$504,"Incluir",'PAGOS'!$Q$5:$Q$504,"&lt;&gt;Aplicar"))</x:f>
      </x:c>
      <x:c r="T106" s="28" t="str">
        <x:f>IF(AND(C106&lt;&gt;"",ISNUMBER(O106),O106&lt;='AJUSTES'!$B$4,ISNUMBER(E106)),ROUND(E106-G106,2),"")</x:f>
      </x:c>
    </x:row>
    <x:row r="107" ht="25" customHeight="1">
      <x:c r="A107" s="22" t="str">
        <x:v>V-103</x:v>
      </x:c>
      <x:c r="B107" s="25" t="str"/>
      <x:c r="C107" s="26" t="str"/>
      <x:c r="D107" s="26" t="str"/>
      <x:c r="E107" s="27" t="str"/>
      <x:c r="F107" s="26" t="str"/>
      <x:c r="G107" s="28" t="str">
        <x:f>IF(C107="","",SUMIFS('PAGOS'!$K$5:$K$504,'PAGOS'!$C$5:$C$504,A107,'PAGOS'!$Q$5:$Q$504,"Aplicar",'PAGOS'!$B$5:$B$504,"&lt;="&amp;'AJUSTES'!$B$4))</x:f>
      </x:c>
      <x:c r="H107" s="28" t="str">
        <x:f>IF(C107="","",IF(AND(ISNUMBER(O107),O107&lt;='AJUSTES'!$B$4),0,IF(OR(P107&lt;&gt;"Incluir",NOT(ISNUMBER(E107)),B107="",B107&gt;'AJUSTES'!$B$4,S107&gt;0),"",MAX(0,ROUND(E107-G107,2)))))</x:f>
      </x:c>
      <x:c r="I107" s="22" t="str">
        <x:f>IF(C107="","",IF(P107="Anulada","Anulada",IF(B107&gt;'AJUSTES'!$B$4,"Posterior al corte",IF(NOT(ISNUMBER(H107)),"Por conciliar",IF(H107&lt;='AJUSTES'!$B$10,"Pagado",IF(J107&gt;0,"Moroso","Vigente"))))))</x:f>
      </x:c>
      <x:c r="J107" s="22" t="str">
        <x:f>IF(OR(C107="",NOT(ISNUMBER(H107)),NOT(ISNUMBER(N107))),"",IF(H107&gt;'AJUSTES'!$B$10,MAX(0,'AJUSTES'!$B$4-N107),0))</x:f>
      </x:c>
      <x:c r="K107" s="27" t="str"/>
      <x:c r="L107" s="26" t="str"/>
      <x:c r="M107" s="26" t="str">
        <x:f>IF(C107="","",'AJUSTES'!$B$5)</x:f>
      </x:c>
      <x:c r="N107" s="29" t="str">
        <x:f>IF(OR(NOT(ISNUMBER(B107)),NOT(ISNUMBER(M107))),"",B107+M107)</x:f>
      </x:c>
      <x:c r="O107" s="25" t="str"/>
      <x:c r="P107" s="26" t="str">
        <x:v>Incluir</x:v>
      </x:c>
      <x:c r="Q107" s="22" t="str"/>
      <x:c r="R107" s="22" t="str"/>
      <x:c r="S107" s="22" t="str">
        <x:f>IF(C107="","",COUNTIFS('PAGOS'!$C$5:$C$504,A107,'PAGOS'!$B$5:$B$504,"&gt;0",'PAGOS'!$B$5:$B$504,"&lt;="&amp;'AJUSTES'!$B$4,'PAGOS'!$N$5:$N$504,"Incluir",'PAGOS'!$Q$5:$Q$504,"&lt;&gt;Aplicar"))</x:f>
      </x:c>
      <x:c r="T107" s="28" t="str">
        <x:f>IF(AND(C107&lt;&gt;"",ISNUMBER(O107),O107&lt;='AJUSTES'!$B$4,ISNUMBER(E107)),ROUND(E107-G107,2),"")</x:f>
      </x:c>
    </x:row>
    <x:row r="108" ht="25" customHeight="1">
      <x:c r="A108" s="22" t="str">
        <x:v>V-104</x:v>
      </x:c>
      <x:c r="B108" s="25" t="str"/>
      <x:c r="C108" s="26" t="str"/>
      <x:c r="D108" s="26" t="str"/>
      <x:c r="E108" s="27" t="str"/>
      <x:c r="F108" s="26" t="str"/>
      <x:c r="G108" s="28" t="str">
        <x:f>IF(C108="","",SUMIFS('PAGOS'!$K$5:$K$504,'PAGOS'!$C$5:$C$504,A108,'PAGOS'!$Q$5:$Q$504,"Aplicar",'PAGOS'!$B$5:$B$504,"&lt;="&amp;'AJUSTES'!$B$4))</x:f>
      </x:c>
      <x:c r="H108" s="28" t="str">
        <x:f>IF(C108="","",IF(AND(ISNUMBER(O108),O108&lt;='AJUSTES'!$B$4),0,IF(OR(P108&lt;&gt;"Incluir",NOT(ISNUMBER(E108)),B108="",B108&gt;'AJUSTES'!$B$4,S108&gt;0),"",MAX(0,ROUND(E108-G108,2)))))</x:f>
      </x:c>
      <x:c r="I108" s="22" t="str">
        <x:f>IF(C108="","",IF(P108="Anulada","Anulada",IF(B108&gt;'AJUSTES'!$B$4,"Posterior al corte",IF(NOT(ISNUMBER(H108)),"Por conciliar",IF(H108&lt;='AJUSTES'!$B$10,"Pagado",IF(J108&gt;0,"Moroso","Vigente"))))))</x:f>
      </x:c>
      <x:c r="J108" s="22" t="str">
        <x:f>IF(OR(C108="",NOT(ISNUMBER(H108)),NOT(ISNUMBER(N108))),"",IF(H108&gt;'AJUSTES'!$B$10,MAX(0,'AJUSTES'!$B$4-N108),0))</x:f>
      </x:c>
      <x:c r="K108" s="27" t="str"/>
      <x:c r="L108" s="26" t="str"/>
      <x:c r="M108" s="26" t="str">
        <x:f>IF(C108="","",'AJUSTES'!$B$5)</x:f>
      </x:c>
      <x:c r="N108" s="29" t="str">
        <x:f>IF(OR(NOT(ISNUMBER(B108)),NOT(ISNUMBER(M108))),"",B108+M108)</x:f>
      </x:c>
      <x:c r="O108" s="25" t="str"/>
      <x:c r="P108" s="26" t="str">
        <x:v>Incluir</x:v>
      </x:c>
      <x:c r="Q108" s="22" t="str"/>
      <x:c r="R108" s="22" t="str"/>
      <x:c r="S108" s="22" t="str">
        <x:f>IF(C108="","",COUNTIFS('PAGOS'!$C$5:$C$504,A108,'PAGOS'!$B$5:$B$504,"&gt;0",'PAGOS'!$B$5:$B$504,"&lt;="&amp;'AJUSTES'!$B$4,'PAGOS'!$N$5:$N$504,"Incluir",'PAGOS'!$Q$5:$Q$504,"&lt;&gt;Aplicar"))</x:f>
      </x:c>
      <x:c r="T108" s="28" t="str">
        <x:f>IF(AND(C108&lt;&gt;"",ISNUMBER(O108),O108&lt;='AJUSTES'!$B$4,ISNUMBER(E108)),ROUND(E108-G108,2),"")</x:f>
      </x:c>
    </x:row>
    <x:row r="109" ht="25" customHeight="1">
      <x:c r="A109" s="22" t="str">
        <x:v>V-105</x:v>
      </x:c>
      <x:c r="B109" s="25" t="str"/>
      <x:c r="C109" s="26" t="str"/>
      <x:c r="D109" s="26" t="str"/>
      <x:c r="E109" s="27" t="str"/>
      <x:c r="F109" s="26" t="str"/>
      <x:c r="G109" s="28" t="str">
        <x:f>IF(C109="","",SUMIFS('PAGOS'!$K$5:$K$504,'PAGOS'!$C$5:$C$504,A109,'PAGOS'!$Q$5:$Q$504,"Aplicar",'PAGOS'!$B$5:$B$504,"&lt;="&amp;'AJUSTES'!$B$4))</x:f>
      </x:c>
      <x:c r="H109" s="28" t="str">
        <x:f>IF(C109="","",IF(AND(ISNUMBER(O109),O109&lt;='AJUSTES'!$B$4),0,IF(OR(P109&lt;&gt;"Incluir",NOT(ISNUMBER(E109)),B109="",B109&gt;'AJUSTES'!$B$4,S109&gt;0),"",MAX(0,ROUND(E109-G109,2)))))</x:f>
      </x:c>
      <x:c r="I109" s="22" t="str">
        <x:f>IF(C109="","",IF(P109="Anulada","Anulada",IF(B109&gt;'AJUSTES'!$B$4,"Posterior al corte",IF(NOT(ISNUMBER(H109)),"Por conciliar",IF(H109&lt;='AJUSTES'!$B$10,"Pagado",IF(J109&gt;0,"Moroso","Vigente"))))))</x:f>
      </x:c>
      <x:c r="J109" s="22" t="str">
        <x:f>IF(OR(C109="",NOT(ISNUMBER(H109)),NOT(ISNUMBER(N109))),"",IF(H109&gt;'AJUSTES'!$B$10,MAX(0,'AJUSTES'!$B$4-N109),0))</x:f>
      </x:c>
      <x:c r="K109" s="27" t="str"/>
      <x:c r="L109" s="26" t="str"/>
      <x:c r="M109" s="26" t="str">
        <x:f>IF(C109="","",'AJUSTES'!$B$5)</x:f>
      </x:c>
      <x:c r="N109" s="29" t="str">
        <x:f>IF(OR(NOT(ISNUMBER(B109)),NOT(ISNUMBER(M109))),"",B109+M109)</x:f>
      </x:c>
      <x:c r="O109" s="25" t="str"/>
      <x:c r="P109" s="26" t="str">
        <x:v>Incluir</x:v>
      </x:c>
      <x:c r="Q109" s="22" t="str"/>
      <x:c r="R109" s="22" t="str"/>
      <x:c r="S109" s="22" t="str">
        <x:f>IF(C109="","",COUNTIFS('PAGOS'!$C$5:$C$504,A109,'PAGOS'!$B$5:$B$504,"&gt;0",'PAGOS'!$B$5:$B$504,"&lt;="&amp;'AJUSTES'!$B$4,'PAGOS'!$N$5:$N$504,"Incluir",'PAGOS'!$Q$5:$Q$504,"&lt;&gt;Aplicar"))</x:f>
      </x:c>
      <x:c r="T109" s="28" t="str">
        <x:f>IF(AND(C109&lt;&gt;"",ISNUMBER(O109),O109&lt;='AJUSTES'!$B$4,ISNUMBER(E109)),ROUND(E109-G109,2),"")</x:f>
      </x:c>
    </x:row>
    <x:row r="110" ht="25" customHeight="1">
      <x:c r="A110" s="22" t="str">
        <x:v>V-106</x:v>
      </x:c>
      <x:c r="B110" s="25" t="str"/>
      <x:c r="C110" s="26" t="str"/>
      <x:c r="D110" s="26" t="str"/>
      <x:c r="E110" s="27" t="str"/>
      <x:c r="F110" s="26" t="str"/>
      <x:c r="G110" s="28" t="str">
        <x:f>IF(C110="","",SUMIFS('PAGOS'!$K$5:$K$504,'PAGOS'!$C$5:$C$504,A110,'PAGOS'!$Q$5:$Q$504,"Aplicar",'PAGOS'!$B$5:$B$504,"&lt;="&amp;'AJUSTES'!$B$4))</x:f>
      </x:c>
      <x:c r="H110" s="28" t="str">
        <x:f>IF(C110="","",IF(AND(ISNUMBER(O110),O110&lt;='AJUSTES'!$B$4),0,IF(OR(P110&lt;&gt;"Incluir",NOT(ISNUMBER(E110)),B110="",B110&gt;'AJUSTES'!$B$4,S110&gt;0),"",MAX(0,ROUND(E110-G110,2)))))</x:f>
      </x:c>
      <x:c r="I110" s="22" t="str">
        <x:f>IF(C110="","",IF(P110="Anulada","Anulada",IF(B110&gt;'AJUSTES'!$B$4,"Posterior al corte",IF(NOT(ISNUMBER(H110)),"Por conciliar",IF(H110&lt;='AJUSTES'!$B$10,"Pagado",IF(J110&gt;0,"Moroso","Vigente"))))))</x:f>
      </x:c>
      <x:c r="J110" s="22" t="str">
        <x:f>IF(OR(C110="",NOT(ISNUMBER(H110)),NOT(ISNUMBER(N110))),"",IF(H110&gt;'AJUSTES'!$B$10,MAX(0,'AJUSTES'!$B$4-N110),0))</x:f>
      </x:c>
      <x:c r="K110" s="27" t="str"/>
      <x:c r="L110" s="26" t="str"/>
      <x:c r="M110" s="26" t="str">
        <x:f>IF(C110="","",'AJUSTES'!$B$5)</x:f>
      </x:c>
      <x:c r="N110" s="29" t="str">
        <x:f>IF(OR(NOT(ISNUMBER(B110)),NOT(ISNUMBER(M110))),"",B110+M110)</x:f>
      </x:c>
      <x:c r="O110" s="25" t="str"/>
      <x:c r="P110" s="26" t="str">
        <x:v>Incluir</x:v>
      </x:c>
      <x:c r="Q110" s="22" t="str"/>
      <x:c r="R110" s="22" t="str"/>
      <x:c r="S110" s="22" t="str">
        <x:f>IF(C110="","",COUNTIFS('PAGOS'!$C$5:$C$504,A110,'PAGOS'!$B$5:$B$504,"&gt;0",'PAGOS'!$B$5:$B$504,"&lt;="&amp;'AJUSTES'!$B$4,'PAGOS'!$N$5:$N$504,"Incluir",'PAGOS'!$Q$5:$Q$504,"&lt;&gt;Aplicar"))</x:f>
      </x:c>
      <x:c r="T110" s="28" t="str">
        <x:f>IF(AND(C110&lt;&gt;"",ISNUMBER(O110),O110&lt;='AJUSTES'!$B$4,ISNUMBER(E110)),ROUND(E110-G110,2),"")</x:f>
      </x:c>
    </x:row>
    <x:row r="111" ht="25" customHeight="1">
      <x:c r="A111" s="22" t="str">
        <x:v>V-107</x:v>
      </x:c>
      <x:c r="B111" s="25" t="str"/>
      <x:c r="C111" s="26" t="str"/>
      <x:c r="D111" s="26" t="str"/>
      <x:c r="E111" s="27" t="str"/>
      <x:c r="F111" s="26" t="str"/>
      <x:c r="G111" s="28" t="str">
        <x:f>IF(C111="","",SUMIFS('PAGOS'!$K$5:$K$504,'PAGOS'!$C$5:$C$504,A111,'PAGOS'!$Q$5:$Q$504,"Aplicar",'PAGOS'!$B$5:$B$504,"&lt;="&amp;'AJUSTES'!$B$4))</x:f>
      </x:c>
      <x:c r="H111" s="28" t="str">
        <x:f>IF(C111="","",IF(AND(ISNUMBER(O111),O111&lt;='AJUSTES'!$B$4),0,IF(OR(P111&lt;&gt;"Incluir",NOT(ISNUMBER(E111)),B111="",B111&gt;'AJUSTES'!$B$4,S111&gt;0),"",MAX(0,ROUND(E111-G111,2)))))</x:f>
      </x:c>
      <x:c r="I111" s="22" t="str">
        <x:f>IF(C111="","",IF(P111="Anulada","Anulada",IF(B111&gt;'AJUSTES'!$B$4,"Posterior al corte",IF(NOT(ISNUMBER(H111)),"Por conciliar",IF(H111&lt;='AJUSTES'!$B$10,"Pagado",IF(J111&gt;0,"Moroso","Vigente"))))))</x:f>
      </x:c>
      <x:c r="J111" s="22" t="str">
        <x:f>IF(OR(C111="",NOT(ISNUMBER(H111)),NOT(ISNUMBER(N111))),"",IF(H111&gt;'AJUSTES'!$B$10,MAX(0,'AJUSTES'!$B$4-N111),0))</x:f>
      </x:c>
      <x:c r="K111" s="27" t="str"/>
      <x:c r="L111" s="26" t="str"/>
      <x:c r="M111" s="26" t="str">
        <x:f>IF(C111="","",'AJUSTES'!$B$5)</x:f>
      </x:c>
      <x:c r="N111" s="29" t="str">
        <x:f>IF(OR(NOT(ISNUMBER(B111)),NOT(ISNUMBER(M111))),"",B111+M111)</x:f>
      </x:c>
      <x:c r="O111" s="25" t="str"/>
      <x:c r="P111" s="26" t="str">
        <x:v>Incluir</x:v>
      </x:c>
      <x:c r="Q111" s="22" t="str"/>
      <x:c r="R111" s="22" t="str"/>
      <x:c r="S111" s="22" t="str">
        <x:f>IF(C111="","",COUNTIFS('PAGOS'!$C$5:$C$504,A111,'PAGOS'!$B$5:$B$504,"&gt;0",'PAGOS'!$B$5:$B$504,"&lt;="&amp;'AJUSTES'!$B$4,'PAGOS'!$N$5:$N$504,"Incluir",'PAGOS'!$Q$5:$Q$504,"&lt;&gt;Aplicar"))</x:f>
      </x:c>
      <x:c r="T111" s="28" t="str">
        <x:f>IF(AND(C111&lt;&gt;"",ISNUMBER(O111),O111&lt;='AJUSTES'!$B$4,ISNUMBER(E111)),ROUND(E111-G111,2),"")</x:f>
      </x:c>
    </x:row>
    <x:row r="112" ht="25" customHeight="1">
      <x:c r="A112" s="22" t="str">
        <x:v>V-108</x:v>
      </x:c>
      <x:c r="B112" s="25" t="str"/>
      <x:c r="C112" s="26" t="str"/>
      <x:c r="D112" s="26" t="str"/>
      <x:c r="E112" s="27" t="str"/>
      <x:c r="F112" s="26" t="str"/>
      <x:c r="G112" s="28" t="str">
        <x:f>IF(C112="","",SUMIFS('PAGOS'!$K$5:$K$504,'PAGOS'!$C$5:$C$504,A112,'PAGOS'!$Q$5:$Q$504,"Aplicar",'PAGOS'!$B$5:$B$504,"&lt;="&amp;'AJUSTES'!$B$4))</x:f>
      </x:c>
      <x:c r="H112" s="28" t="str">
        <x:f>IF(C112="","",IF(AND(ISNUMBER(O112),O112&lt;='AJUSTES'!$B$4),0,IF(OR(P112&lt;&gt;"Incluir",NOT(ISNUMBER(E112)),B112="",B112&gt;'AJUSTES'!$B$4,S112&gt;0),"",MAX(0,ROUND(E112-G112,2)))))</x:f>
      </x:c>
      <x:c r="I112" s="22" t="str">
        <x:f>IF(C112="","",IF(P112="Anulada","Anulada",IF(B112&gt;'AJUSTES'!$B$4,"Posterior al corte",IF(NOT(ISNUMBER(H112)),"Por conciliar",IF(H112&lt;='AJUSTES'!$B$10,"Pagado",IF(J112&gt;0,"Moroso","Vigente"))))))</x:f>
      </x:c>
      <x:c r="J112" s="22" t="str">
        <x:f>IF(OR(C112="",NOT(ISNUMBER(H112)),NOT(ISNUMBER(N112))),"",IF(H112&gt;'AJUSTES'!$B$10,MAX(0,'AJUSTES'!$B$4-N112),0))</x:f>
      </x:c>
      <x:c r="K112" s="27" t="str"/>
      <x:c r="L112" s="26" t="str"/>
      <x:c r="M112" s="26" t="str">
        <x:f>IF(C112="","",'AJUSTES'!$B$5)</x:f>
      </x:c>
      <x:c r="N112" s="29" t="str">
        <x:f>IF(OR(NOT(ISNUMBER(B112)),NOT(ISNUMBER(M112))),"",B112+M112)</x:f>
      </x:c>
      <x:c r="O112" s="25" t="str"/>
      <x:c r="P112" s="26" t="str">
        <x:v>Incluir</x:v>
      </x:c>
      <x:c r="Q112" s="22" t="str"/>
      <x:c r="R112" s="22" t="str"/>
      <x:c r="S112" s="22" t="str">
        <x:f>IF(C112="","",COUNTIFS('PAGOS'!$C$5:$C$504,A112,'PAGOS'!$B$5:$B$504,"&gt;0",'PAGOS'!$B$5:$B$504,"&lt;="&amp;'AJUSTES'!$B$4,'PAGOS'!$N$5:$N$504,"Incluir",'PAGOS'!$Q$5:$Q$504,"&lt;&gt;Aplicar"))</x:f>
      </x:c>
      <x:c r="T112" s="28" t="str">
        <x:f>IF(AND(C112&lt;&gt;"",ISNUMBER(O112),O112&lt;='AJUSTES'!$B$4,ISNUMBER(E112)),ROUND(E112-G112,2),"")</x:f>
      </x:c>
    </x:row>
    <x:row r="113" ht="25" customHeight="1">
      <x:c r="A113" s="22" t="str">
        <x:v>V-109</x:v>
      </x:c>
      <x:c r="B113" s="25" t="str"/>
      <x:c r="C113" s="26" t="str"/>
      <x:c r="D113" s="26" t="str"/>
      <x:c r="E113" s="27" t="str"/>
      <x:c r="F113" s="26" t="str"/>
      <x:c r="G113" s="28" t="str">
        <x:f>IF(C113="","",SUMIFS('PAGOS'!$K$5:$K$504,'PAGOS'!$C$5:$C$504,A113,'PAGOS'!$Q$5:$Q$504,"Aplicar",'PAGOS'!$B$5:$B$504,"&lt;="&amp;'AJUSTES'!$B$4))</x:f>
      </x:c>
      <x:c r="H113" s="28" t="str">
        <x:f>IF(C113="","",IF(AND(ISNUMBER(O113),O113&lt;='AJUSTES'!$B$4),0,IF(OR(P113&lt;&gt;"Incluir",NOT(ISNUMBER(E113)),B113="",B113&gt;'AJUSTES'!$B$4,S113&gt;0),"",MAX(0,ROUND(E113-G113,2)))))</x:f>
      </x:c>
      <x:c r="I113" s="22" t="str">
        <x:f>IF(C113="","",IF(P113="Anulada","Anulada",IF(B113&gt;'AJUSTES'!$B$4,"Posterior al corte",IF(NOT(ISNUMBER(H113)),"Por conciliar",IF(H113&lt;='AJUSTES'!$B$10,"Pagado",IF(J113&gt;0,"Moroso","Vigente"))))))</x:f>
      </x:c>
      <x:c r="J113" s="22" t="str">
        <x:f>IF(OR(C113="",NOT(ISNUMBER(H113)),NOT(ISNUMBER(N113))),"",IF(H113&gt;'AJUSTES'!$B$10,MAX(0,'AJUSTES'!$B$4-N113),0))</x:f>
      </x:c>
      <x:c r="K113" s="27" t="str"/>
      <x:c r="L113" s="26" t="str"/>
      <x:c r="M113" s="26" t="str">
        <x:f>IF(C113="","",'AJUSTES'!$B$5)</x:f>
      </x:c>
      <x:c r="N113" s="29" t="str">
        <x:f>IF(OR(NOT(ISNUMBER(B113)),NOT(ISNUMBER(M113))),"",B113+M113)</x:f>
      </x:c>
      <x:c r="O113" s="25" t="str"/>
      <x:c r="P113" s="26" t="str">
        <x:v>Incluir</x:v>
      </x:c>
      <x:c r="Q113" s="22" t="str"/>
      <x:c r="R113" s="22" t="str"/>
      <x:c r="S113" s="22" t="str">
        <x:f>IF(C113="","",COUNTIFS('PAGOS'!$C$5:$C$504,A113,'PAGOS'!$B$5:$B$504,"&gt;0",'PAGOS'!$B$5:$B$504,"&lt;="&amp;'AJUSTES'!$B$4,'PAGOS'!$N$5:$N$504,"Incluir",'PAGOS'!$Q$5:$Q$504,"&lt;&gt;Aplicar"))</x:f>
      </x:c>
      <x:c r="T113" s="28" t="str">
        <x:f>IF(AND(C113&lt;&gt;"",ISNUMBER(O113),O113&lt;='AJUSTES'!$B$4,ISNUMBER(E113)),ROUND(E113-G113,2),"")</x:f>
      </x:c>
    </x:row>
    <x:row r="114" ht="25" customHeight="1">
      <x:c r="A114" s="22" t="str">
        <x:v>V-110</x:v>
      </x:c>
      <x:c r="B114" s="25" t="str"/>
      <x:c r="C114" s="26" t="str"/>
      <x:c r="D114" s="26" t="str"/>
      <x:c r="E114" s="27" t="str"/>
      <x:c r="F114" s="26" t="str"/>
      <x:c r="G114" s="28" t="str">
        <x:f>IF(C114="","",SUMIFS('PAGOS'!$K$5:$K$504,'PAGOS'!$C$5:$C$504,A114,'PAGOS'!$Q$5:$Q$504,"Aplicar",'PAGOS'!$B$5:$B$504,"&lt;="&amp;'AJUSTES'!$B$4))</x:f>
      </x:c>
      <x:c r="H114" s="28" t="str">
        <x:f>IF(C114="","",IF(AND(ISNUMBER(O114),O114&lt;='AJUSTES'!$B$4),0,IF(OR(P114&lt;&gt;"Incluir",NOT(ISNUMBER(E114)),B114="",B114&gt;'AJUSTES'!$B$4,S114&gt;0),"",MAX(0,ROUND(E114-G114,2)))))</x:f>
      </x:c>
      <x:c r="I114" s="22" t="str">
        <x:f>IF(C114="","",IF(P114="Anulada","Anulada",IF(B114&gt;'AJUSTES'!$B$4,"Posterior al corte",IF(NOT(ISNUMBER(H114)),"Por conciliar",IF(H114&lt;='AJUSTES'!$B$10,"Pagado",IF(J114&gt;0,"Moroso","Vigente"))))))</x:f>
      </x:c>
      <x:c r="J114" s="22" t="str">
        <x:f>IF(OR(C114="",NOT(ISNUMBER(H114)),NOT(ISNUMBER(N114))),"",IF(H114&gt;'AJUSTES'!$B$10,MAX(0,'AJUSTES'!$B$4-N114),0))</x:f>
      </x:c>
      <x:c r="K114" s="27" t="str"/>
      <x:c r="L114" s="26" t="str"/>
      <x:c r="M114" s="26" t="str">
        <x:f>IF(C114="","",'AJUSTES'!$B$5)</x:f>
      </x:c>
      <x:c r="N114" s="29" t="str">
        <x:f>IF(OR(NOT(ISNUMBER(B114)),NOT(ISNUMBER(M114))),"",B114+M114)</x:f>
      </x:c>
      <x:c r="O114" s="25" t="str"/>
      <x:c r="P114" s="26" t="str">
        <x:v>Incluir</x:v>
      </x:c>
      <x:c r="Q114" s="22" t="str"/>
      <x:c r="R114" s="22" t="str"/>
      <x:c r="S114" s="22" t="str">
        <x:f>IF(C114="","",COUNTIFS('PAGOS'!$C$5:$C$504,A114,'PAGOS'!$B$5:$B$504,"&gt;0",'PAGOS'!$B$5:$B$504,"&lt;="&amp;'AJUSTES'!$B$4,'PAGOS'!$N$5:$N$504,"Incluir",'PAGOS'!$Q$5:$Q$504,"&lt;&gt;Aplicar"))</x:f>
      </x:c>
      <x:c r="T114" s="28" t="str">
        <x:f>IF(AND(C114&lt;&gt;"",ISNUMBER(O114),O114&lt;='AJUSTES'!$B$4,ISNUMBER(E114)),ROUND(E114-G114,2),"")</x:f>
      </x:c>
    </x:row>
    <x:row r="115" ht="25" customHeight="1">
      <x:c r="A115" s="22" t="str">
        <x:v>V-111</x:v>
      </x:c>
      <x:c r="B115" s="25" t="str"/>
      <x:c r="C115" s="26" t="str"/>
      <x:c r="D115" s="26" t="str"/>
      <x:c r="E115" s="27" t="str"/>
      <x:c r="F115" s="26" t="str"/>
      <x:c r="G115" s="28" t="str">
        <x:f>IF(C115="","",SUMIFS('PAGOS'!$K$5:$K$504,'PAGOS'!$C$5:$C$504,A115,'PAGOS'!$Q$5:$Q$504,"Aplicar",'PAGOS'!$B$5:$B$504,"&lt;="&amp;'AJUSTES'!$B$4))</x:f>
      </x:c>
      <x:c r="H115" s="28" t="str">
        <x:f>IF(C115="","",IF(AND(ISNUMBER(O115),O115&lt;='AJUSTES'!$B$4),0,IF(OR(P115&lt;&gt;"Incluir",NOT(ISNUMBER(E115)),B115="",B115&gt;'AJUSTES'!$B$4,S115&gt;0),"",MAX(0,ROUND(E115-G115,2)))))</x:f>
      </x:c>
      <x:c r="I115" s="22" t="str">
        <x:f>IF(C115="","",IF(P115="Anulada","Anulada",IF(B115&gt;'AJUSTES'!$B$4,"Posterior al corte",IF(NOT(ISNUMBER(H115)),"Por conciliar",IF(H115&lt;='AJUSTES'!$B$10,"Pagado",IF(J115&gt;0,"Moroso","Vigente"))))))</x:f>
      </x:c>
      <x:c r="J115" s="22" t="str">
        <x:f>IF(OR(C115="",NOT(ISNUMBER(H115)),NOT(ISNUMBER(N115))),"",IF(H115&gt;'AJUSTES'!$B$10,MAX(0,'AJUSTES'!$B$4-N115),0))</x:f>
      </x:c>
      <x:c r="K115" s="27" t="str"/>
      <x:c r="L115" s="26" t="str"/>
      <x:c r="M115" s="26" t="str">
        <x:f>IF(C115="","",'AJUSTES'!$B$5)</x:f>
      </x:c>
      <x:c r="N115" s="29" t="str">
        <x:f>IF(OR(NOT(ISNUMBER(B115)),NOT(ISNUMBER(M115))),"",B115+M115)</x:f>
      </x:c>
      <x:c r="O115" s="25" t="str"/>
      <x:c r="P115" s="26" t="str">
        <x:v>Incluir</x:v>
      </x:c>
      <x:c r="Q115" s="22" t="str"/>
      <x:c r="R115" s="22" t="str"/>
      <x:c r="S115" s="22" t="str">
        <x:f>IF(C115="","",COUNTIFS('PAGOS'!$C$5:$C$504,A115,'PAGOS'!$B$5:$B$504,"&gt;0",'PAGOS'!$B$5:$B$504,"&lt;="&amp;'AJUSTES'!$B$4,'PAGOS'!$N$5:$N$504,"Incluir",'PAGOS'!$Q$5:$Q$504,"&lt;&gt;Aplicar"))</x:f>
      </x:c>
      <x:c r="T115" s="28" t="str">
        <x:f>IF(AND(C115&lt;&gt;"",ISNUMBER(O115),O115&lt;='AJUSTES'!$B$4,ISNUMBER(E115)),ROUND(E115-G115,2),"")</x:f>
      </x:c>
    </x:row>
    <x:row r="116" ht="25" customHeight="1">
      <x:c r="A116" s="22" t="str">
        <x:v>V-112</x:v>
      </x:c>
      <x:c r="B116" s="25" t="str"/>
      <x:c r="C116" s="26" t="str"/>
      <x:c r="D116" s="26" t="str"/>
      <x:c r="E116" s="27" t="str"/>
      <x:c r="F116" s="26" t="str"/>
      <x:c r="G116" s="28" t="str">
        <x:f>IF(C116="","",SUMIFS('PAGOS'!$K$5:$K$504,'PAGOS'!$C$5:$C$504,A116,'PAGOS'!$Q$5:$Q$504,"Aplicar",'PAGOS'!$B$5:$B$504,"&lt;="&amp;'AJUSTES'!$B$4))</x:f>
      </x:c>
      <x:c r="H116" s="28" t="str">
        <x:f>IF(C116="","",IF(AND(ISNUMBER(O116),O116&lt;='AJUSTES'!$B$4),0,IF(OR(P116&lt;&gt;"Incluir",NOT(ISNUMBER(E116)),B116="",B116&gt;'AJUSTES'!$B$4,S116&gt;0),"",MAX(0,ROUND(E116-G116,2)))))</x:f>
      </x:c>
      <x:c r="I116" s="22" t="str">
        <x:f>IF(C116="","",IF(P116="Anulada","Anulada",IF(B116&gt;'AJUSTES'!$B$4,"Posterior al corte",IF(NOT(ISNUMBER(H116)),"Por conciliar",IF(H116&lt;='AJUSTES'!$B$10,"Pagado",IF(J116&gt;0,"Moroso","Vigente"))))))</x:f>
      </x:c>
      <x:c r="J116" s="22" t="str">
        <x:f>IF(OR(C116="",NOT(ISNUMBER(H116)),NOT(ISNUMBER(N116))),"",IF(H116&gt;'AJUSTES'!$B$10,MAX(0,'AJUSTES'!$B$4-N116),0))</x:f>
      </x:c>
      <x:c r="K116" s="27" t="str"/>
      <x:c r="L116" s="26" t="str"/>
      <x:c r="M116" s="26" t="str">
        <x:f>IF(C116="","",'AJUSTES'!$B$5)</x:f>
      </x:c>
      <x:c r="N116" s="29" t="str">
        <x:f>IF(OR(NOT(ISNUMBER(B116)),NOT(ISNUMBER(M116))),"",B116+M116)</x:f>
      </x:c>
      <x:c r="O116" s="25" t="str"/>
      <x:c r="P116" s="26" t="str">
        <x:v>Incluir</x:v>
      </x:c>
      <x:c r="Q116" s="22" t="str"/>
      <x:c r="R116" s="22" t="str"/>
      <x:c r="S116" s="22" t="str">
        <x:f>IF(C116="","",COUNTIFS('PAGOS'!$C$5:$C$504,A116,'PAGOS'!$B$5:$B$504,"&gt;0",'PAGOS'!$B$5:$B$504,"&lt;="&amp;'AJUSTES'!$B$4,'PAGOS'!$N$5:$N$504,"Incluir",'PAGOS'!$Q$5:$Q$504,"&lt;&gt;Aplicar"))</x:f>
      </x:c>
      <x:c r="T116" s="28" t="str">
        <x:f>IF(AND(C116&lt;&gt;"",ISNUMBER(O116),O116&lt;='AJUSTES'!$B$4,ISNUMBER(E116)),ROUND(E116-G116,2),"")</x:f>
      </x:c>
    </x:row>
    <x:row r="117" ht="25" customHeight="1">
      <x:c r="A117" s="22" t="str">
        <x:v>V-113</x:v>
      </x:c>
      <x:c r="B117" s="25" t="str"/>
      <x:c r="C117" s="26" t="str"/>
      <x:c r="D117" s="26" t="str"/>
      <x:c r="E117" s="27" t="str"/>
      <x:c r="F117" s="26" t="str"/>
      <x:c r="G117" s="28" t="str">
        <x:f>IF(C117="","",SUMIFS('PAGOS'!$K$5:$K$504,'PAGOS'!$C$5:$C$504,A117,'PAGOS'!$Q$5:$Q$504,"Aplicar",'PAGOS'!$B$5:$B$504,"&lt;="&amp;'AJUSTES'!$B$4))</x:f>
      </x:c>
      <x:c r="H117" s="28" t="str">
        <x:f>IF(C117="","",IF(AND(ISNUMBER(O117),O117&lt;='AJUSTES'!$B$4),0,IF(OR(P117&lt;&gt;"Incluir",NOT(ISNUMBER(E117)),B117="",B117&gt;'AJUSTES'!$B$4,S117&gt;0),"",MAX(0,ROUND(E117-G117,2)))))</x:f>
      </x:c>
      <x:c r="I117" s="22" t="str">
        <x:f>IF(C117="","",IF(P117="Anulada","Anulada",IF(B117&gt;'AJUSTES'!$B$4,"Posterior al corte",IF(NOT(ISNUMBER(H117)),"Por conciliar",IF(H117&lt;='AJUSTES'!$B$10,"Pagado",IF(J117&gt;0,"Moroso","Vigente"))))))</x:f>
      </x:c>
      <x:c r="J117" s="22" t="str">
        <x:f>IF(OR(C117="",NOT(ISNUMBER(H117)),NOT(ISNUMBER(N117))),"",IF(H117&gt;'AJUSTES'!$B$10,MAX(0,'AJUSTES'!$B$4-N117),0))</x:f>
      </x:c>
      <x:c r="K117" s="27" t="str"/>
      <x:c r="L117" s="26" t="str"/>
      <x:c r="M117" s="26" t="str">
        <x:f>IF(C117="","",'AJUSTES'!$B$5)</x:f>
      </x:c>
      <x:c r="N117" s="29" t="str">
        <x:f>IF(OR(NOT(ISNUMBER(B117)),NOT(ISNUMBER(M117))),"",B117+M117)</x:f>
      </x:c>
      <x:c r="O117" s="25" t="str"/>
      <x:c r="P117" s="26" t="str">
        <x:v>Incluir</x:v>
      </x:c>
      <x:c r="Q117" s="22" t="str"/>
      <x:c r="R117" s="22" t="str"/>
      <x:c r="S117" s="22" t="str">
        <x:f>IF(C117="","",COUNTIFS('PAGOS'!$C$5:$C$504,A117,'PAGOS'!$B$5:$B$504,"&gt;0",'PAGOS'!$B$5:$B$504,"&lt;="&amp;'AJUSTES'!$B$4,'PAGOS'!$N$5:$N$504,"Incluir",'PAGOS'!$Q$5:$Q$504,"&lt;&gt;Aplicar"))</x:f>
      </x:c>
      <x:c r="T117" s="28" t="str">
        <x:f>IF(AND(C117&lt;&gt;"",ISNUMBER(O117),O117&lt;='AJUSTES'!$B$4,ISNUMBER(E117)),ROUND(E117-G117,2),"")</x:f>
      </x:c>
    </x:row>
    <x:row r="118" ht="25" customHeight="1">
      <x:c r="A118" s="22" t="str">
        <x:v>V-114</x:v>
      </x:c>
      <x:c r="B118" s="25" t="str"/>
      <x:c r="C118" s="26" t="str"/>
      <x:c r="D118" s="26" t="str"/>
      <x:c r="E118" s="27" t="str"/>
      <x:c r="F118" s="26" t="str"/>
      <x:c r="G118" s="28" t="str">
        <x:f>IF(C118="","",SUMIFS('PAGOS'!$K$5:$K$504,'PAGOS'!$C$5:$C$504,A118,'PAGOS'!$Q$5:$Q$504,"Aplicar",'PAGOS'!$B$5:$B$504,"&lt;="&amp;'AJUSTES'!$B$4))</x:f>
      </x:c>
      <x:c r="H118" s="28" t="str">
        <x:f>IF(C118="","",IF(AND(ISNUMBER(O118),O118&lt;='AJUSTES'!$B$4),0,IF(OR(P118&lt;&gt;"Incluir",NOT(ISNUMBER(E118)),B118="",B118&gt;'AJUSTES'!$B$4,S118&gt;0),"",MAX(0,ROUND(E118-G118,2)))))</x:f>
      </x:c>
      <x:c r="I118" s="22" t="str">
        <x:f>IF(C118="","",IF(P118="Anulada","Anulada",IF(B118&gt;'AJUSTES'!$B$4,"Posterior al corte",IF(NOT(ISNUMBER(H118)),"Por conciliar",IF(H118&lt;='AJUSTES'!$B$10,"Pagado",IF(J118&gt;0,"Moroso","Vigente"))))))</x:f>
      </x:c>
      <x:c r="J118" s="22" t="str">
        <x:f>IF(OR(C118="",NOT(ISNUMBER(H118)),NOT(ISNUMBER(N118))),"",IF(H118&gt;'AJUSTES'!$B$10,MAX(0,'AJUSTES'!$B$4-N118),0))</x:f>
      </x:c>
      <x:c r="K118" s="27" t="str"/>
      <x:c r="L118" s="26" t="str"/>
      <x:c r="M118" s="26" t="str">
        <x:f>IF(C118="","",'AJUSTES'!$B$5)</x:f>
      </x:c>
      <x:c r="N118" s="29" t="str">
        <x:f>IF(OR(NOT(ISNUMBER(B118)),NOT(ISNUMBER(M118))),"",B118+M118)</x:f>
      </x:c>
      <x:c r="O118" s="25" t="str"/>
      <x:c r="P118" s="26" t="str">
        <x:v>Incluir</x:v>
      </x:c>
      <x:c r="Q118" s="22" t="str"/>
      <x:c r="R118" s="22" t="str"/>
      <x:c r="S118" s="22" t="str">
        <x:f>IF(C118="","",COUNTIFS('PAGOS'!$C$5:$C$504,A118,'PAGOS'!$B$5:$B$504,"&gt;0",'PAGOS'!$B$5:$B$504,"&lt;="&amp;'AJUSTES'!$B$4,'PAGOS'!$N$5:$N$504,"Incluir",'PAGOS'!$Q$5:$Q$504,"&lt;&gt;Aplicar"))</x:f>
      </x:c>
      <x:c r="T118" s="28" t="str">
        <x:f>IF(AND(C118&lt;&gt;"",ISNUMBER(O118),O118&lt;='AJUSTES'!$B$4,ISNUMBER(E118)),ROUND(E118-G118,2),"")</x:f>
      </x:c>
    </x:row>
    <x:row r="119" ht="25" customHeight="1">
      <x:c r="A119" s="22" t="str">
        <x:v>V-115</x:v>
      </x:c>
      <x:c r="B119" s="25" t="str"/>
      <x:c r="C119" s="26" t="str"/>
      <x:c r="D119" s="26" t="str"/>
      <x:c r="E119" s="27" t="str"/>
      <x:c r="F119" s="26" t="str"/>
      <x:c r="G119" s="28" t="str">
        <x:f>IF(C119="","",SUMIFS('PAGOS'!$K$5:$K$504,'PAGOS'!$C$5:$C$504,A119,'PAGOS'!$Q$5:$Q$504,"Aplicar",'PAGOS'!$B$5:$B$504,"&lt;="&amp;'AJUSTES'!$B$4))</x:f>
      </x:c>
      <x:c r="H119" s="28" t="str">
        <x:f>IF(C119="","",IF(AND(ISNUMBER(O119),O119&lt;='AJUSTES'!$B$4),0,IF(OR(P119&lt;&gt;"Incluir",NOT(ISNUMBER(E119)),B119="",B119&gt;'AJUSTES'!$B$4,S119&gt;0),"",MAX(0,ROUND(E119-G119,2)))))</x:f>
      </x:c>
      <x:c r="I119" s="22" t="str">
        <x:f>IF(C119="","",IF(P119="Anulada","Anulada",IF(B119&gt;'AJUSTES'!$B$4,"Posterior al corte",IF(NOT(ISNUMBER(H119)),"Por conciliar",IF(H119&lt;='AJUSTES'!$B$10,"Pagado",IF(J119&gt;0,"Moroso","Vigente"))))))</x:f>
      </x:c>
      <x:c r="J119" s="22" t="str">
        <x:f>IF(OR(C119="",NOT(ISNUMBER(H119)),NOT(ISNUMBER(N119))),"",IF(H119&gt;'AJUSTES'!$B$10,MAX(0,'AJUSTES'!$B$4-N119),0))</x:f>
      </x:c>
      <x:c r="K119" s="27" t="str"/>
      <x:c r="L119" s="26" t="str"/>
      <x:c r="M119" s="26" t="str">
        <x:f>IF(C119="","",'AJUSTES'!$B$5)</x:f>
      </x:c>
      <x:c r="N119" s="29" t="str">
        <x:f>IF(OR(NOT(ISNUMBER(B119)),NOT(ISNUMBER(M119))),"",B119+M119)</x:f>
      </x:c>
      <x:c r="O119" s="25" t="str"/>
      <x:c r="P119" s="26" t="str">
        <x:v>Incluir</x:v>
      </x:c>
      <x:c r="Q119" s="22" t="str"/>
      <x:c r="R119" s="22" t="str"/>
      <x:c r="S119" s="22" t="str">
        <x:f>IF(C119="","",COUNTIFS('PAGOS'!$C$5:$C$504,A119,'PAGOS'!$B$5:$B$504,"&gt;0",'PAGOS'!$B$5:$B$504,"&lt;="&amp;'AJUSTES'!$B$4,'PAGOS'!$N$5:$N$504,"Incluir",'PAGOS'!$Q$5:$Q$504,"&lt;&gt;Aplicar"))</x:f>
      </x:c>
      <x:c r="T119" s="28" t="str">
        <x:f>IF(AND(C119&lt;&gt;"",ISNUMBER(O119),O119&lt;='AJUSTES'!$B$4,ISNUMBER(E119)),ROUND(E119-G119,2),"")</x:f>
      </x:c>
    </x:row>
    <x:row r="120" ht="25" customHeight="1">
      <x:c r="A120" s="22" t="str">
        <x:v>V-116</x:v>
      </x:c>
      <x:c r="B120" s="25" t="str"/>
      <x:c r="C120" s="26" t="str"/>
      <x:c r="D120" s="26" t="str"/>
      <x:c r="E120" s="27" t="str"/>
      <x:c r="F120" s="26" t="str"/>
      <x:c r="G120" s="28" t="str">
        <x:f>IF(C120="","",SUMIFS('PAGOS'!$K$5:$K$504,'PAGOS'!$C$5:$C$504,A120,'PAGOS'!$Q$5:$Q$504,"Aplicar",'PAGOS'!$B$5:$B$504,"&lt;="&amp;'AJUSTES'!$B$4))</x:f>
      </x:c>
      <x:c r="H120" s="28" t="str">
        <x:f>IF(C120="","",IF(AND(ISNUMBER(O120),O120&lt;='AJUSTES'!$B$4),0,IF(OR(P120&lt;&gt;"Incluir",NOT(ISNUMBER(E120)),B120="",B120&gt;'AJUSTES'!$B$4,S120&gt;0),"",MAX(0,ROUND(E120-G120,2)))))</x:f>
      </x:c>
      <x:c r="I120" s="22" t="str">
        <x:f>IF(C120="","",IF(P120="Anulada","Anulada",IF(B120&gt;'AJUSTES'!$B$4,"Posterior al corte",IF(NOT(ISNUMBER(H120)),"Por conciliar",IF(H120&lt;='AJUSTES'!$B$10,"Pagado",IF(J120&gt;0,"Moroso","Vigente"))))))</x:f>
      </x:c>
      <x:c r="J120" s="22" t="str">
        <x:f>IF(OR(C120="",NOT(ISNUMBER(H120)),NOT(ISNUMBER(N120))),"",IF(H120&gt;'AJUSTES'!$B$10,MAX(0,'AJUSTES'!$B$4-N120),0))</x:f>
      </x:c>
      <x:c r="K120" s="27" t="str"/>
      <x:c r="L120" s="26" t="str"/>
      <x:c r="M120" s="26" t="str">
        <x:f>IF(C120="","",'AJUSTES'!$B$5)</x:f>
      </x:c>
      <x:c r="N120" s="29" t="str">
        <x:f>IF(OR(NOT(ISNUMBER(B120)),NOT(ISNUMBER(M120))),"",B120+M120)</x:f>
      </x:c>
      <x:c r="O120" s="25" t="str"/>
      <x:c r="P120" s="26" t="str">
        <x:v>Incluir</x:v>
      </x:c>
      <x:c r="Q120" s="22" t="str"/>
      <x:c r="R120" s="22" t="str"/>
      <x:c r="S120" s="22" t="str">
        <x:f>IF(C120="","",COUNTIFS('PAGOS'!$C$5:$C$504,A120,'PAGOS'!$B$5:$B$504,"&gt;0",'PAGOS'!$B$5:$B$504,"&lt;="&amp;'AJUSTES'!$B$4,'PAGOS'!$N$5:$N$504,"Incluir",'PAGOS'!$Q$5:$Q$504,"&lt;&gt;Aplicar"))</x:f>
      </x:c>
      <x:c r="T120" s="28" t="str">
        <x:f>IF(AND(C120&lt;&gt;"",ISNUMBER(O120),O120&lt;='AJUSTES'!$B$4,ISNUMBER(E120)),ROUND(E120-G120,2),"")</x:f>
      </x:c>
    </x:row>
    <x:row r="121" ht="25" customHeight="1">
      <x:c r="A121" s="22" t="str">
        <x:v>V-117</x:v>
      </x:c>
      <x:c r="B121" s="25" t="str"/>
      <x:c r="C121" s="26" t="str"/>
      <x:c r="D121" s="26" t="str"/>
      <x:c r="E121" s="27" t="str"/>
      <x:c r="F121" s="26" t="str"/>
      <x:c r="G121" s="28" t="str">
        <x:f>IF(C121="","",SUMIFS('PAGOS'!$K$5:$K$504,'PAGOS'!$C$5:$C$504,A121,'PAGOS'!$Q$5:$Q$504,"Aplicar",'PAGOS'!$B$5:$B$504,"&lt;="&amp;'AJUSTES'!$B$4))</x:f>
      </x:c>
      <x:c r="H121" s="28" t="str">
        <x:f>IF(C121="","",IF(AND(ISNUMBER(O121),O121&lt;='AJUSTES'!$B$4),0,IF(OR(P121&lt;&gt;"Incluir",NOT(ISNUMBER(E121)),B121="",B121&gt;'AJUSTES'!$B$4,S121&gt;0),"",MAX(0,ROUND(E121-G121,2)))))</x:f>
      </x:c>
      <x:c r="I121" s="22" t="str">
        <x:f>IF(C121="","",IF(P121="Anulada","Anulada",IF(B121&gt;'AJUSTES'!$B$4,"Posterior al corte",IF(NOT(ISNUMBER(H121)),"Por conciliar",IF(H121&lt;='AJUSTES'!$B$10,"Pagado",IF(J121&gt;0,"Moroso","Vigente"))))))</x:f>
      </x:c>
      <x:c r="J121" s="22" t="str">
        <x:f>IF(OR(C121="",NOT(ISNUMBER(H121)),NOT(ISNUMBER(N121))),"",IF(H121&gt;'AJUSTES'!$B$10,MAX(0,'AJUSTES'!$B$4-N121),0))</x:f>
      </x:c>
      <x:c r="K121" s="27" t="str"/>
      <x:c r="L121" s="26" t="str"/>
      <x:c r="M121" s="26" t="str">
        <x:f>IF(C121="","",'AJUSTES'!$B$5)</x:f>
      </x:c>
      <x:c r="N121" s="29" t="str">
        <x:f>IF(OR(NOT(ISNUMBER(B121)),NOT(ISNUMBER(M121))),"",B121+M121)</x:f>
      </x:c>
      <x:c r="O121" s="25" t="str"/>
      <x:c r="P121" s="26" t="str">
        <x:v>Incluir</x:v>
      </x:c>
      <x:c r="Q121" s="22" t="str"/>
      <x:c r="R121" s="22" t="str"/>
      <x:c r="S121" s="22" t="str">
        <x:f>IF(C121="","",COUNTIFS('PAGOS'!$C$5:$C$504,A121,'PAGOS'!$B$5:$B$504,"&gt;0",'PAGOS'!$B$5:$B$504,"&lt;="&amp;'AJUSTES'!$B$4,'PAGOS'!$N$5:$N$504,"Incluir",'PAGOS'!$Q$5:$Q$504,"&lt;&gt;Aplicar"))</x:f>
      </x:c>
      <x:c r="T121" s="28" t="str">
        <x:f>IF(AND(C121&lt;&gt;"",ISNUMBER(O121),O121&lt;='AJUSTES'!$B$4,ISNUMBER(E121)),ROUND(E121-G121,2),"")</x:f>
      </x:c>
    </x:row>
    <x:row r="122" ht="25" customHeight="1">
      <x:c r="A122" s="22" t="str">
        <x:v>V-118</x:v>
      </x:c>
      <x:c r="B122" s="25" t="str"/>
      <x:c r="C122" s="26" t="str"/>
      <x:c r="D122" s="26" t="str"/>
      <x:c r="E122" s="27" t="str"/>
      <x:c r="F122" s="26" t="str"/>
      <x:c r="G122" s="28" t="str">
        <x:f>IF(C122="","",SUMIFS('PAGOS'!$K$5:$K$504,'PAGOS'!$C$5:$C$504,A122,'PAGOS'!$Q$5:$Q$504,"Aplicar",'PAGOS'!$B$5:$B$504,"&lt;="&amp;'AJUSTES'!$B$4))</x:f>
      </x:c>
      <x:c r="H122" s="28" t="str">
        <x:f>IF(C122="","",IF(AND(ISNUMBER(O122),O122&lt;='AJUSTES'!$B$4),0,IF(OR(P122&lt;&gt;"Incluir",NOT(ISNUMBER(E122)),B122="",B122&gt;'AJUSTES'!$B$4,S122&gt;0),"",MAX(0,ROUND(E122-G122,2)))))</x:f>
      </x:c>
      <x:c r="I122" s="22" t="str">
        <x:f>IF(C122="","",IF(P122="Anulada","Anulada",IF(B122&gt;'AJUSTES'!$B$4,"Posterior al corte",IF(NOT(ISNUMBER(H122)),"Por conciliar",IF(H122&lt;='AJUSTES'!$B$10,"Pagado",IF(J122&gt;0,"Moroso","Vigente"))))))</x:f>
      </x:c>
      <x:c r="J122" s="22" t="str">
        <x:f>IF(OR(C122="",NOT(ISNUMBER(H122)),NOT(ISNUMBER(N122))),"",IF(H122&gt;'AJUSTES'!$B$10,MAX(0,'AJUSTES'!$B$4-N122),0))</x:f>
      </x:c>
      <x:c r="K122" s="27" t="str"/>
      <x:c r="L122" s="26" t="str"/>
      <x:c r="M122" s="26" t="str">
        <x:f>IF(C122="","",'AJUSTES'!$B$5)</x:f>
      </x:c>
      <x:c r="N122" s="29" t="str">
        <x:f>IF(OR(NOT(ISNUMBER(B122)),NOT(ISNUMBER(M122))),"",B122+M122)</x:f>
      </x:c>
      <x:c r="O122" s="25" t="str"/>
      <x:c r="P122" s="26" t="str">
        <x:v>Incluir</x:v>
      </x:c>
      <x:c r="Q122" s="22" t="str"/>
      <x:c r="R122" s="22" t="str"/>
      <x:c r="S122" s="22" t="str">
        <x:f>IF(C122="","",COUNTIFS('PAGOS'!$C$5:$C$504,A122,'PAGOS'!$B$5:$B$504,"&gt;0",'PAGOS'!$B$5:$B$504,"&lt;="&amp;'AJUSTES'!$B$4,'PAGOS'!$N$5:$N$504,"Incluir",'PAGOS'!$Q$5:$Q$504,"&lt;&gt;Aplicar"))</x:f>
      </x:c>
      <x:c r="T122" s="28" t="str">
        <x:f>IF(AND(C122&lt;&gt;"",ISNUMBER(O122),O122&lt;='AJUSTES'!$B$4,ISNUMBER(E122)),ROUND(E122-G122,2),"")</x:f>
      </x:c>
    </x:row>
    <x:row r="123" ht="25" customHeight="1">
      <x:c r="A123" s="22" t="str">
        <x:v>V-119</x:v>
      </x:c>
      <x:c r="B123" s="25" t="str"/>
      <x:c r="C123" s="26" t="str"/>
      <x:c r="D123" s="26" t="str"/>
      <x:c r="E123" s="27" t="str"/>
      <x:c r="F123" s="26" t="str"/>
      <x:c r="G123" s="28" t="str">
        <x:f>IF(C123="","",SUMIFS('PAGOS'!$K$5:$K$504,'PAGOS'!$C$5:$C$504,A123,'PAGOS'!$Q$5:$Q$504,"Aplicar",'PAGOS'!$B$5:$B$504,"&lt;="&amp;'AJUSTES'!$B$4))</x:f>
      </x:c>
      <x:c r="H123" s="28" t="str">
        <x:f>IF(C123="","",IF(AND(ISNUMBER(O123),O123&lt;='AJUSTES'!$B$4),0,IF(OR(P123&lt;&gt;"Incluir",NOT(ISNUMBER(E123)),B123="",B123&gt;'AJUSTES'!$B$4,S123&gt;0),"",MAX(0,ROUND(E123-G123,2)))))</x:f>
      </x:c>
      <x:c r="I123" s="22" t="str">
        <x:f>IF(C123="","",IF(P123="Anulada","Anulada",IF(B123&gt;'AJUSTES'!$B$4,"Posterior al corte",IF(NOT(ISNUMBER(H123)),"Por conciliar",IF(H123&lt;='AJUSTES'!$B$10,"Pagado",IF(J123&gt;0,"Moroso","Vigente"))))))</x:f>
      </x:c>
      <x:c r="J123" s="22" t="str">
        <x:f>IF(OR(C123="",NOT(ISNUMBER(H123)),NOT(ISNUMBER(N123))),"",IF(H123&gt;'AJUSTES'!$B$10,MAX(0,'AJUSTES'!$B$4-N123),0))</x:f>
      </x:c>
      <x:c r="K123" s="27" t="str"/>
      <x:c r="L123" s="26" t="str"/>
      <x:c r="M123" s="26" t="str">
        <x:f>IF(C123="","",'AJUSTES'!$B$5)</x:f>
      </x:c>
      <x:c r="N123" s="29" t="str">
        <x:f>IF(OR(NOT(ISNUMBER(B123)),NOT(ISNUMBER(M123))),"",B123+M123)</x:f>
      </x:c>
      <x:c r="O123" s="25" t="str"/>
      <x:c r="P123" s="26" t="str">
        <x:v>Incluir</x:v>
      </x:c>
      <x:c r="Q123" s="22" t="str"/>
      <x:c r="R123" s="22" t="str"/>
      <x:c r="S123" s="22" t="str">
        <x:f>IF(C123="","",COUNTIFS('PAGOS'!$C$5:$C$504,A123,'PAGOS'!$B$5:$B$504,"&gt;0",'PAGOS'!$B$5:$B$504,"&lt;="&amp;'AJUSTES'!$B$4,'PAGOS'!$N$5:$N$504,"Incluir",'PAGOS'!$Q$5:$Q$504,"&lt;&gt;Aplicar"))</x:f>
      </x:c>
      <x:c r="T123" s="28" t="str">
        <x:f>IF(AND(C123&lt;&gt;"",ISNUMBER(O123),O123&lt;='AJUSTES'!$B$4,ISNUMBER(E123)),ROUND(E123-G123,2),"")</x:f>
      </x:c>
    </x:row>
    <x:row r="124" ht="25" customHeight="1">
      <x:c r="A124" s="22" t="str">
        <x:v>V-120</x:v>
      </x:c>
      <x:c r="B124" s="25" t="str"/>
      <x:c r="C124" s="26" t="str"/>
      <x:c r="D124" s="26" t="str"/>
      <x:c r="E124" s="27" t="str"/>
      <x:c r="F124" s="26" t="str"/>
      <x:c r="G124" s="28" t="str">
        <x:f>IF(C124="","",SUMIFS('PAGOS'!$K$5:$K$504,'PAGOS'!$C$5:$C$504,A124,'PAGOS'!$Q$5:$Q$504,"Aplicar",'PAGOS'!$B$5:$B$504,"&lt;="&amp;'AJUSTES'!$B$4))</x:f>
      </x:c>
      <x:c r="H124" s="28" t="str">
        <x:f>IF(C124="","",IF(AND(ISNUMBER(O124),O124&lt;='AJUSTES'!$B$4),0,IF(OR(P124&lt;&gt;"Incluir",NOT(ISNUMBER(E124)),B124="",B124&gt;'AJUSTES'!$B$4,S124&gt;0),"",MAX(0,ROUND(E124-G124,2)))))</x:f>
      </x:c>
      <x:c r="I124" s="22" t="str">
        <x:f>IF(C124="","",IF(P124="Anulada","Anulada",IF(B124&gt;'AJUSTES'!$B$4,"Posterior al corte",IF(NOT(ISNUMBER(H124)),"Por conciliar",IF(H124&lt;='AJUSTES'!$B$10,"Pagado",IF(J124&gt;0,"Moroso","Vigente"))))))</x:f>
      </x:c>
      <x:c r="J124" s="22" t="str">
        <x:f>IF(OR(C124="",NOT(ISNUMBER(H124)),NOT(ISNUMBER(N124))),"",IF(H124&gt;'AJUSTES'!$B$10,MAX(0,'AJUSTES'!$B$4-N124),0))</x:f>
      </x:c>
      <x:c r="K124" s="27" t="str"/>
      <x:c r="L124" s="26" t="str"/>
      <x:c r="M124" s="26" t="str">
        <x:f>IF(C124="","",'AJUSTES'!$B$5)</x:f>
      </x:c>
      <x:c r="N124" s="29" t="str">
        <x:f>IF(OR(NOT(ISNUMBER(B124)),NOT(ISNUMBER(M124))),"",B124+M124)</x:f>
      </x:c>
      <x:c r="O124" s="25" t="str"/>
      <x:c r="P124" s="26" t="str">
        <x:v>Incluir</x:v>
      </x:c>
      <x:c r="Q124" s="22" t="str"/>
      <x:c r="R124" s="22" t="str"/>
      <x:c r="S124" s="22" t="str">
        <x:f>IF(C124="","",COUNTIFS('PAGOS'!$C$5:$C$504,A124,'PAGOS'!$B$5:$B$504,"&gt;0",'PAGOS'!$B$5:$B$504,"&lt;="&amp;'AJUSTES'!$B$4,'PAGOS'!$N$5:$N$504,"Incluir",'PAGOS'!$Q$5:$Q$504,"&lt;&gt;Aplicar"))</x:f>
      </x:c>
      <x:c r="T124" s="28" t="str">
        <x:f>IF(AND(C124&lt;&gt;"",ISNUMBER(O124),O124&lt;='AJUSTES'!$B$4,ISNUMBER(E124)),ROUND(E124-G124,2),"")</x:f>
      </x:c>
    </x:row>
    <x:row r="125" ht="25" customHeight="1">
      <x:c r="A125" s="22" t="str">
        <x:v>V-121</x:v>
      </x:c>
      <x:c r="B125" s="25" t="str"/>
      <x:c r="C125" s="26" t="str"/>
      <x:c r="D125" s="26" t="str"/>
      <x:c r="E125" s="27" t="str"/>
      <x:c r="F125" s="26" t="str"/>
      <x:c r="G125" s="28" t="str">
        <x:f>IF(C125="","",SUMIFS('PAGOS'!$K$5:$K$504,'PAGOS'!$C$5:$C$504,A125,'PAGOS'!$Q$5:$Q$504,"Aplicar",'PAGOS'!$B$5:$B$504,"&lt;="&amp;'AJUSTES'!$B$4))</x:f>
      </x:c>
      <x:c r="H125" s="28" t="str">
        <x:f>IF(C125="","",IF(AND(ISNUMBER(O125),O125&lt;='AJUSTES'!$B$4),0,IF(OR(P125&lt;&gt;"Incluir",NOT(ISNUMBER(E125)),B125="",B125&gt;'AJUSTES'!$B$4,S125&gt;0),"",MAX(0,ROUND(E125-G125,2)))))</x:f>
      </x:c>
      <x:c r="I125" s="22" t="str">
        <x:f>IF(C125="","",IF(P125="Anulada","Anulada",IF(B125&gt;'AJUSTES'!$B$4,"Posterior al corte",IF(NOT(ISNUMBER(H125)),"Por conciliar",IF(H125&lt;='AJUSTES'!$B$10,"Pagado",IF(J125&gt;0,"Moroso","Vigente"))))))</x:f>
      </x:c>
      <x:c r="J125" s="22" t="str">
        <x:f>IF(OR(C125="",NOT(ISNUMBER(H125)),NOT(ISNUMBER(N125))),"",IF(H125&gt;'AJUSTES'!$B$10,MAX(0,'AJUSTES'!$B$4-N125),0))</x:f>
      </x:c>
      <x:c r="K125" s="27" t="str"/>
      <x:c r="L125" s="26" t="str"/>
      <x:c r="M125" s="26" t="str">
        <x:f>IF(C125="","",'AJUSTES'!$B$5)</x:f>
      </x:c>
      <x:c r="N125" s="29" t="str">
        <x:f>IF(OR(NOT(ISNUMBER(B125)),NOT(ISNUMBER(M125))),"",B125+M125)</x:f>
      </x:c>
      <x:c r="O125" s="25" t="str"/>
      <x:c r="P125" s="26" t="str">
        <x:v>Incluir</x:v>
      </x:c>
      <x:c r="Q125" s="22" t="str"/>
      <x:c r="R125" s="22" t="str"/>
      <x:c r="S125" s="22" t="str">
        <x:f>IF(C125="","",COUNTIFS('PAGOS'!$C$5:$C$504,A125,'PAGOS'!$B$5:$B$504,"&gt;0",'PAGOS'!$B$5:$B$504,"&lt;="&amp;'AJUSTES'!$B$4,'PAGOS'!$N$5:$N$504,"Incluir",'PAGOS'!$Q$5:$Q$504,"&lt;&gt;Aplicar"))</x:f>
      </x:c>
      <x:c r="T125" s="28" t="str">
        <x:f>IF(AND(C125&lt;&gt;"",ISNUMBER(O125),O125&lt;='AJUSTES'!$B$4,ISNUMBER(E125)),ROUND(E125-G125,2),"")</x:f>
      </x:c>
    </x:row>
    <x:row r="126" ht="25" customHeight="1">
      <x:c r="A126" s="22" t="str">
        <x:v>V-122</x:v>
      </x:c>
      <x:c r="B126" s="25" t="str"/>
      <x:c r="C126" s="26" t="str"/>
      <x:c r="D126" s="26" t="str"/>
      <x:c r="E126" s="27" t="str"/>
      <x:c r="F126" s="26" t="str"/>
      <x:c r="G126" s="28" t="str">
        <x:f>IF(C126="","",SUMIFS('PAGOS'!$K$5:$K$504,'PAGOS'!$C$5:$C$504,A126,'PAGOS'!$Q$5:$Q$504,"Aplicar",'PAGOS'!$B$5:$B$504,"&lt;="&amp;'AJUSTES'!$B$4))</x:f>
      </x:c>
      <x:c r="H126" s="28" t="str">
        <x:f>IF(C126="","",IF(AND(ISNUMBER(O126),O126&lt;='AJUSTES'!$B$4),0,IF(OR(P126&lt;&gt;"Incluir",NOT(ISNUMBER(E126)),B126="",B126&gt;'AJUSTES'!$B$4,S126&gt;0),"",MAX(0,ROUND(E126-G126,2)))))</x:f>
      </x:c>
      <x:c r="I126" s="22" t="str">
        <x:f>IF(C126="","",IF(P126="Anulada","Anulada",IF(B126&gt;'AJUSTES'!$B$4,"Posterior al corte",IF(NOT(ISNUMBER(H126)),"Por conciliar",IF(H126&lt;='AJUSTES'!$B$10,"Pagado",IF(J126&gt;0,"Moroso","Vigente"))))))</x:f>
      </x:c>
      <x:c r="J126" s="22" t="str">
        <x:f>IF(OR(C126="",NOT(ISNUMBER(H126)),NOT(ISNUMBER(N126))),"",IF(H126&gt;'AJUSTES'!$B$10,MAX(0,'AJUSTES'!$B$4-N126),0))</x:f>
      </x:c>
      <x:c r="K126" s="27" t="str"/>
      <x:c r="L126" s="26" t="str"/>
      <x:c r="M126" s="26" t="str">
        <x:f>IF(C126="","",'AJUSTES'!$B$5)</x:f>
      </x:c>
      <x:c r="N126" s="29" t="str">
        <x:f>IF(OR(NOT(ISNUMBER(B126)),NOT(ISNUMBER(M126))),"",B126+M126)</x:f>
      </x:c>
      <x:c r="O126" s="25" t="str"/>
      <x:c r="P126" s="26" t="str">
        <x:v>Incluir</x:v>
      </x:c>
      <x:c r="Q126" s="22" t="str"/>
      <x:c r="R126" s="22" t="str"/>
      <x:c r="S126" s="22" t="str">
        <x:f>IF(C126="","",COUNTIFS('PAGOS'!$C$5:$C$504,A126,'PAGOS'!$B$5:$B$504,"&gt;0",'PAGOS'!$B$5:$B$504,"&lt;="&amp;'AJUSTES'!$B$4,'PAGOS'!$N$5:$N$504,"Incluir",'PAGOS'!$Q$5:$Q$504,"&lt;&gt;Aplicar"))</x:f>
      </x:c>
      <x:c r="T126" s="28" t="str">
        <x:f>IF(AND(C126&lt;&gt;"",ISNUMBER(O126),O126&lt;='AJUSTES'!$B$4,ISNUMBER(E126)),ROUND(E126-G126,2),"")</x:f>
      </x:c>
    </x:row>
    <x:row r="127" ht="25" customHeight="1">
      <x:c r="A127" s="22" t="str">
        <x:v>V-123</x:v>
      </x:c>
      <x:c r="B127" s="25" t="str"/>
      <x:c r="C127" s="26" t="str"/>
      <x:c r="D127" s="26" t="str"/>
      <x:c r="E127" s="27" t="str"/>
      <x:c r="F127" s="26" t="str"/>
      <x:c r="G127" s="28" t="str">
        <x:f>IF(C127="","",SUMIFS('PAGOS'!$K$5:$K$504,'PAGOS'!$C$5:$C$504,A127,'PAGOS'!$Q$5:$Q$504,"Aplicar",'PAGOS'!$B$5:$B$504,"&lt;="&amp;'AJUSTES'!$B$4))</x:f>
      </x:c>
      <x:c r="H127" s="28" t="str">
        <x:f>IF(C127="","",IF(AND(ISNUMBER(O127),O127&lt;='AJUSTES'!$B$4),0,IF(OR(P127&lt;&gt;"Incluir",NOT(ISNUMBER(E127)),B127="",B127&gt;'AJUSTES'!$B$4,S127&gt;0),"",MAX(0,ROUND(E127-G127,2)))))</x:f>
      </x:c>
      <x:c r="I127" s="22" t="str">
        <x:f>IF(C127="","",IF(P127="Anulada","Anulada",IF(B127&gt;'AJUSTES'!$B$4,"Posterior al corte",IF(NOT(ISNUMBER(H127)),"Por conciliar",IF(H127&lt;='AJUSTES'!$B$10,"Pagado",IF(J127&gt;0,"Moroso","Vigente"))))))</x:f>
      </x:c>
      <x:c r="J127" s="22" t="str">
        <x:f>IF(OR(C127="",NOT(ISNUMBER(H127)),NOT(ISNUMBER(N127))),"",IF(H127&gt;'AJUSTES'!$B$10,MAX(0,'AJUSTES'!$B$4-N127),0))</x:f>
      </x:c>
      <x:c r="K127" s="27" t="str"/>
      <x:c r="L127" s="26" t="str"/>
      <x:c r="M127" s="26" t="str">
        <x:f>IF(C127="","",'AJUSTES'!$B$5)</x:f>
      </x:c>
      <x:c r="N127" s="29" t="str">
        <x:f>IF(OR(NOT(ISNUMBER(B127)),NOT(ISNUMBER(M127))),"",B127+M127)</x:f>
      </x:c>
      <x:c r="O127" s="25" t="str"/>
      <x:c r="P127" s="26" t="str">
        <x:v>Incluir</x:v>
      </x:c>
      <x:c r="Q127" s="22" t="str"/>
      <x:c r="R127" s="22" t="str"/>
      <x:c r="S127" s="22" t="str">
        <x:f>IF(C127="","",COUNTIFS('PAGOS'!$C$5:$C$504,A127,'PAGOS'!$B$5:$B$504,"&gt;0",'PAGOS'!$B$5:$B$504,"&lt;="&amp;'AJUSTES'!$B$4,'PAGOS'!$N$5:$N$504,"Incluir",'PAGOS'!$Q$5:$Q$504,"&lt;&gt;Aplicar"))</x:f>
      </x:c>
      <x:c r="T127" s="28" t="str">
        <x:f>IF(AND(C127&lt;&gt;"",ISNUMBER(O127),O127&lt;='AJUSTES'!$B$4,ISNUMBER(E127)),ROUND(E127-G127,2),"")</x:f>
      </x:c>
    </x:row>
    <x:row r="128" ht="25" customHeight="1">
      <x:c r="A128" s="22" t="str">
        <x:v>V-124</x:v>
      </x:c>
      <x:c r="B128" s="25" t="str"/>
      <x:c r="C128" s="26" t="str"/>
      <x:c r="D128" s="26" t="str"/>
      <x:c r="E128" s="27" t="str"/>
      <x:c r="F128" s="26" t="str"/>
      <x:c r="G128" s="28" t="str">
        <x:f>IF(C128="","",SUMIFS('PAGOS'!$K$5:$K$504,'PAGOS'!$C$5:$C$504,A128,'PAGOS'!$Q$5:$Q$504,"Aplicar",'PAGOS'!$B$5:$B$504,"&lt;="&amp;'AJUSTES'!$B$4))</x:f>
      </x:c>
      <x:c r="H128" s="28" t="str">
        <x:f>IF(C128="","",IF(AND(ISNUMBER(O128),O128&lt;='AJUSTES'!$B$4),0,IF(OR(P128&lt;&gt;"Incluir",NOT(ISNUMBER(E128)),B128="",B128&gt;'AJUSTES'!$B$4,S128&gt;0),"",MAX(0,ROUND(E128-G128,2)))))</x:f>
      </x:c>
      <x:c r="I128" s="22" t="str">
        <x:f>IF(C128="","",IF(P128="Anulada","Anulada",IF(B128&gt;'AJUSTES'!$B$4,"Posterior al corte",IF(NOT(ISNUMBER(H128)),"Por conciliar",IF(H128&lt;='AJUSTES'!$B$10,"Pagado",IF(J128&gt;0,"Moroso","Vigente"))))))</x:f>
      </x:c>
      <x:c r="J128" s="22" t="str">
        <x:f>IF(OR(C128="",NOT(ISNUMBER(H128)),NOT(ISNUMBER(N128))),"",IF(H128&gt;'AJUSTES'!$B$10,MAX(0,'AJUSTES'!$B$4-N128),0))</x:f>
      </x:c>
      <x:c r="K128" s="27" t="str"/>
      <x:c r="L128" s="26" t="str"/>
      <x:c r="M128" s="26" t="str">
        <x:f>IF(C128="","",'AJUSTES'!$B$5)</x:f>
      </x:c>
      <x:c r="N128" s="29" t="str">
        <x:f>IF(OR(NOT(ISNUMBER(B128)),NOT(ISNUMBER(M128))),"",B128+M128)</x:f>
      </x:c>
      <x:c r="O128" s="25" t="str"/>
      <x:c r="P128" s="26" t="str">
        <x:v>Incluir</x:v>
      </x:c>
      <x:c r="Q128" s="22" t="str"/>
      <x:c r="R128" s="22" t="str"/>
      <x:c r="S128" s="22" t="str">
        <x:f>IF(C128="","",COUNTIFS('PAGOS'!$C$5:$C$504,A128,'PAGOS'!$B$5:$B$504,"&gt;0",'PAGOS'!$B$5:$B$504,"&lt;="&amp;'AJUSTES'!$B$4,'PAGOS'!$N$5:$N$504,"Incluir",'PAGOS'!$Q$5:$Q$504,"&lt;&gt;Aplicar"))</x:f>
      </x:c>
      <x:c r="T128" s="28" t="str">
        <x:f>IF(AND(C128&lt;&gt;"",ISNUMBER(O128),O128&lt;='AJUSTES'!$B$4,ISNUMBER(E128)),ROUND(E128-G128,2),"")</x:f>
      </x:c>
    </x:row>
    <x:row r="129" ht="25" customHeight="1">
      <x:c r="A129" s="22" t="str">
        <x:v>V-125</x:v>
      </x:c>
      <x:c r="B129" s="25" t="str"/>
      <x:c r="C129" s="26" t="str"/>
      <x:c r="D129" s="26" t="str"/>
      <x:c r="E129" s="27" t="str"/>
      <x:c r="F129" s="26" t="str"/>
      <x:c r="G129" s="28" t="str">
        <x:f>IF(C129="","",SUMIFS('PAGOS'!$K$5:$K$504,'PAGOS'!$C$5:$C$504,A129,'PAGOS'!$Q$5:$Q$504,"Aplicar",'PAGOS'!$B$5:$B$504,"&lt;="&amp;'AJUSTES'!$B$4))</x:f>
      </x:c>
      <x:c r="H129" s="28" t="str">
        <x:f>IF(C129="","",IF(AND(ISNUMBER(O129),O129&lt;='AJUSTES'!$B$4),0,IF(OR(P129&lt;&gt;"Incluir",NOT(ISNUMBER(E129)),B129="",B129&gt;'AJUSTES'!$B$4,S129&gt;0),"",MAX(0,ROUND(E129-G129,2)))))</x:f>
      </x:c>
      <x:c r="I129" s="22" t="str">
        <x:f>IF(C129="","",IF(P129="Anulada","Anulada",IF(B129&gt;'AJUSTES'!$B$4,"Posterior al corte",IF(NOT(ISNUMBER(H129)),"Por conciliar",IF(H129&lt;='AJUSTES'!$B$10,"Pagado",IF(J129&gt;0,"Moroso","Vigente"))))))</x:f>
      </x:c>
      <x:c r="J129" s="22" t="str">
        <x:f>IF(OR(C129="",NOT(ISNUMBER(H129)),NOT(ISNUMBER(N129))),"",IF(H129&gt;'AJUSTES'!$B$10,MAX(0,'AJUSTES'!$B$4-N129),0))</x:f>
      </x:c>
      <x:c r="K129" s="27" t="str"/>
      <x:c r="L129" s="26" t="str"/>
      <x:c r="M129" s="26" t="str">
        <x:f>IF(C129="","",'AJUSTES'!$B$5)</x:f>
      </x:c>
      <x:c r="N129" s="29" t="str">
        <x:f>IF(OR(NOT(ISNUMBER(B129)),NOT(ISNUMBER(M129))),"",B129+M129)</x:f>
      </x:c>
      <x:c r="O129" s="25" t="str"/>
      <x:c r="P129" s="26" t="str">
        <x:v>Incluir</x:v>
      </x:c>
      <x:c r="Q129" s="22" t="str"/>
      <x:c r="R129" s="22" t="str"/>
      <x:c r="S129" s="22" t="str">
        <x:f>IF(C129="","",COUNTIFS('PAGOS'!$C$5:$C$504,A129,'PAGOS'!$B$5:$B$504,"&gt;0",'PAGOS'!$B$5:$B$504,"&lt;="&amp;'AJUSTES'!$B$4,'PAGOS'!$N$5:$N$504,"Incluir",'PAGOS'!$Q$5:$Q$504,"&lt;&gt;Aplicar"))</x:f>
      </x:c>
      <x:c r="T129" s="28" t="str">
        <x:f>IF(AND(C129&lt;&gt;"",ISNUMBER(O129),O129&lt;='AJUSTES'!$B$4,ISNUMBER(E129)),ROUND(E129-G129,2),"")</x:f>
      </x:c>
    </x:row>
    <x:row r="130" ht="25" customHeight="1">
      <x:c r="A130" s="22" t="str">
        <x:v>V-126</x:v>
      </x:c>
      <x:c r="B130" s="25" t="str"/>
      <x:c r="C130" s="26" t="str"/>
      <x:c r="D130" s="26" t="str"/>
      <x:c r="E130" s="27" t="str"/>
      <x:c r="F130" s="26" t="str"/>
      <x:c r="G130" s="28" t="str">
        <x:f>IF(C130="","",SUMIFS('PAGOS'!$K$5:$K$504,'PAGOS'!$C$5:$C$504,A130,'PAGOS'!$Q$5:$Q$504,"Aplicar",'PAGOS'!$B$5:$B$504,"&lt;="&amp;'AJUSTES'!$B$4))</x:f>
      </x:c>
      <x:c r="H130" s="28" t="str">
        <x:f>IF(C130="","",IF(AND(ISNUMBER(O130),O130&lt;='AJUSTES'!$B$4),0,IF(OR(P130&lt;&gt;"Incluir",NOT(ISNUMBER(E130)),B130="",B130&gt;'AJUSTES'!$B$4,S130&gt;0),"",MAX(0,ROUND(E130-G130,2)))))</x:f>
      </x:c>
      <x:c r="I130" s="22" t="str">
        <x:f>IF(C130="","",IF(P130="Anulada","Anulada",IF(B130&gt;'AJUSTES'!$B$4,"Posterior al corte",IF(NOT(ISNUMBER(H130)),"Por conciliar",IF(H130&lt;='AJUSTES'!$B$10,"Pagado",IF(J130&gt;0,"Moroso","Vigente"))))))</x:f>
      </x:c>
      <x:c r="J130" s="22" t="str">
        <x:f>IF(OR(C130="",NOT(ISNUMBER(H130)),NOT(ISNUMBER(N130))),"",IF(H130&gt;'AJUSTES'!$B$10,MAX(0,'AJUSTES'!$B$4-N130),0))</x:f>
      </x:c>
      <x:c r="K130" s="27" t="str"/>
      <x:c r="L130" s="26" t="str"/>
      <x:c r="M130" s="26" t="str">
        <x:f>IF(C130="","",'AJUSTES'!$B$5)</x:f>
      </x:c>
      <x:c r="N130" s="29" t="str">
        <x:f>IF(OR(NOT(ISNUMBER(B130)),NOT(ISNUMBER(M130))),"",B130+M130)</x:f>
      </x:c>
      <x:c r="O130" s="25" t="str"/>
      <x:c r="P130" s="26" t="str">
        <x:v>Incluir</x:v>
      </x:c>
      <x:c r="Q130" s="22" t="str"/>
      <x:c r="R130" s="22" t="str"/>
      <x:c r="S130" s="22" t="str">
        <x:f>IF(C130="","",COUNTIFS('PAGOS'!$C$5:$C$504,A130,'PAGOS'!$B$5:$B$504,"&gt;0",'PAGOS'!$B$5:$B$504,"&lt;="&amp;'AJUSTES'!$B$4,'PAGOS'!$N$5:$N$504,"Incluir",'PAGOS'!$Q$5:$Q$504,"&lt;&gt;Aplicar"))</x:f>
      </x:c>
      <x:c r="T130" s="28" t="str">
        <x:f>IF(AND(C130&lt;&gt;"",ISNUMBER(O130),O130&lt;='AJUSTES'!$B$4,ISNUMBER(E130)),ROUND(E130-G130,2),"")</x:f>
      </x:c>
    </x:row>
    <x:row r="131" ht="25" customHeight="1">
      <x:c r="A131" s="22" t="str">
        <x:v>V-127</x:v>
      </x:c>
      <x:c r="B131" s="25" t="str"/>
      <x:c r="C131" s="26" t="str"/>
      <x:c r="D131" s="26" t="str"/>
      <x:c r="E131" s="27" t="str"/>
      <x:c r="F131" s="26" t="str"/>
      <x:c r="G131" s="28" t="str">
        <x:f>IF(C131="","",SUMIFS('PAGOS'!$K$5:$K$504,'PAGOS'!$C$5:$C$504,A131,'PAGOS'!$Q$5:$Q$504,"Aplicar",'PAGOS'!$B$5:$B$504,"&lt;="&amp;'AJUSTES'!$B$4))</x:f>
      </x:c>
      <x:c r="H131" s="28" t="str">
        <x:f>IF(C131="","",IF(AND(ISNUMBER(O131),O131&lt;='AJUSTES'!$B$4),0,IF(OR(P131&lt;&gt;"Incluir",NOT(ISNUMBER(E131)),B131="",B131&gt;'AJUSTES'!$B$4,S131&gt;0),"",MAX(0,ROUND(E131-G131,2)))))</x:f>
      </x:c>
      <x:c r="I131" s="22" t="str">
        <x:f>IF(C131="","",IF(P131="Anulada","Anulada",IF(B131&gt;'AJUSTES'!$B$4,"Posterior al corte",IF(NOT(ISNUMBER(H131)),"Por conciliar",IF(H131&lt;='AJUSTES'!$B$10,"Pagado",IF(J131&gt;0,"Moroso","Vigente"))))))</x:f>
      </x:c>
      <x:c r="J131" s="22" t="str">
        <x:f>IF(OR(C131="",NOT(ISNUMBER(H131)),NOT(ISNUMBER(N131))),"",IF(H131&gt;'AJUSTES'!$B$10,MAX(0,'AJUSTES'!$B$4-N131),0))</x:f>
      </x:c>
      <x:c r="K131" s="27" t="str"/>
      <x:c r="L131" s="26" t="str"/>
      <x:c r="M131" s="26" t="str">
        <x:f>IF(C131="","",'AJUSTES'!$B$5)</x:f>
      </x:c>
      <x:c r="N131" s="29" t="str">
        <x:f>IF(OR(NOT(ISNUMBER(B131)),NOT(ISNUMBER(M131))),"",B131+M131)</x:f>
      </x:c>
      <x:c r="O131" s="25" t="str"/>
      <x:c r="P131" s="26" t="str">
        <x:v>Incluir</x:v>
      </x:c>
      <x:c r="Q131" s="22" t="str"/>
      <x:c r="R131" s="22" t="str"/>
      <x:c r="S131" s="22" t="str">
        <x:f>IF(C131="","",COUNTIFS('PAGOS'!$C$5:$C$504,A131,'PAGOS'!$B$5:$B$504,"&gt;0",'PAGOS'!$B$5:$B$504,"&lt;="&amp;'AJUSTES'!$B$4,'PAGOS'!$N$5:$N$504,"Incluir",'PAGOS'!$Q$5:$Q$504,"&lt;&gt;Aplicar"))</x:f>
      </x:c>
      <x:c r="T131" s="28" t="str">
        <x:f>IF(AND(C131&lt;&gt;"",ISNUMBER(O131),O131&lt;='AJUSTES'!$B$4,ISNUMBER(E131)),ROUND(E131-G131,2),"")</x:f>
      </x:c>
    </x:row>
    <x:row r="132" ht="25" customHeight="1">
      <x:c r="A132" s="22" t="str">
        <x:v>V-128</x:v>
      </x:c>
      <x:c r="B132" s="25" t="str"/>
      <x:c r="C132" s="26" t="str"/>
      <x:c r="D132" s="26" t="str"/>
      <x:c r="E132" s="27" t="str"/>
      <x:c r="F132" s="26" t="str"/>
      <x:c r="G132" s="28" t="str">
        <x:f>IF(C132="","",SUMIFS('PAGOS'!$K$5:$K$504,'PAGOS'!$C$5:$C$504,A132,'PAGOS'!$Q$5:$Q$504,"Aplicar",'PAGOS'!$B$5:$B$504,"&lt;="&amp;'AJUSTES'!$B$4))</x:f>
      </x:c>
      <x:c r="H132" s="28" t="str">
        <x:f>IF(C132="","",IF(AND(ISNUMBER(O132),O132&lt;='AJUSTES'!$B$4),0,IF(OR(P132&lt;&gt;"Incluir",NOT(ISNUMBER(E132)),B132="",B132&gt;'AJUSTES'!$B$4,S132&gt;0),"",MAX(0,ROUND(E132-G132,2)))))</x:f>
      </x:c>
      <x:c r="I132" s="22" t="str">
        <x:f>IF(C132="","",IF(P132="Anulada","Anulada",IF(B132&gt;'AJUSTES'!$B$4,"Posterior al corte",IF(NOT(ISNUMBER(H132)),"Por conciliar",IF(H132&lt;='AJUSTES'!$B$10,"Pagado",IF(J132&gt;0,"Moroso","Vigente"))))))</x:f>
      </x:c>
      <x:c r="J132" s="22" t="str">
        <x:f>IF(OR(C132="",NOT(ISNUMBER(H132)),NOT(ISNUMBER(N132))),"",IF(H132&gt;'AJUSTES'!$B$10,MAX(0,'AJUSTES'!$B$4-N132),0))</x:f>
      </x:c>
      <x:c r="K132" s="27" t="str"/>
      <x:c r="L132" s="26" t="str"/>
      <x:c r="M132" s="26" t="str">
        <x:f>IF(C132="","",'AJUSTES'!$B$5)</x:f>
      </x:c>
      <x:c r="N132" s="29" t="str">
        <x:f>IF(OR(NOT(ISNUMBER(B132)),NOT(ISNUMBER(M132))),"",B132+M132)</x:f>
      </x:c>
      <x:c r="O132" s="25" t="str"/>
      <x:c r="P132" s="26" t="str">
        <x:v>Incluir</x:v>
      </x:c>
      <x:c r="Q132" s="22" t="str"/>
      <x:c r="R132" s="22" t="str"/>
      <x:c r="S132" s="22" t="str">
        <x:f>IF(C132="","",COUNTIFS('PAGOS'!$C$5:$C$504,A132,'PAGOS'!$B$5:$B$504,"&gt;0",'PAGOS'!$B$5:$B$504,"&lt;="&amp;'AJUSTES'!$B$4,'PAGOS'!$N$5:$N$504,"Incluir",'PAGOS'!$Q$5:$Q$504,"&lt;&gt;Aplicar"))</x:f>
      </x:c>
      <x:c r="T132" s="28" t="str">
        <x:f>IF(AND(C132&lt;&gt;"",ISNUMBER(O132),O132&lt;='AJUSTES'!$B$4,ISNUMBER(E132)),ROUND(E132-G132,2),"")</x:f>
      </x:c>
    </x:row>
    <x:row r="133" ht="25" customHeight="1">
      <x:c r="A133" s="22" t="str">
        <x:v>V-129</x:v>
      </x:c>
      <x:c r="B133" s="25" t="str"/>
      <x:c r="C133" s="26" t="str"/>
      <x:c r="D133" s="26" t="str"/>
      <x:c r="E133" s="27" t="str"/>
      <x:c r="F133" s="26" t="str"/>
      <x:c r="G133" s="28" t="str">
        <x:f>IF(C133="","",SUMIFS('PAGOS'!$K$5:$K$504,'PAGOS'!$C$5:$C$504,A133,'PAGOS'!$Q$5:$Q$504,"Aplicar",'PAGOS'!$B$5:$B$504,"&lt;="&amp;'AJUSTES'!$B$4))</x:f>
      </x:c>
      <x:c r="H133" s="28" t="str">
        <x:f>IF(C133="","",IF(AND(ISNUMBER(O133),O133&lt;='AJUSTES'!$B$4),0,IF(OR(P133&lt;&gt;"Incluir",NOT(ISNUMBER(E133)),B133="",B133&gt;'AJUSTES'!$B$4,S133&gt;0),"",MAX(0,ROUND(E133-G133,2)))))</x:f>
      </x:c>
      <x:c r="I133" s="22" t="str">
        <x:f>IF(C133="","",IF(P133="Anulada","Anulada",IF(B133&gt;'AJUSTES'!$B$4,"Posterior al corte",IF(NOT(ISNUMBER(H133)),"Por conciliar",IF(H133&lt;='AJUSTES'!$B$10,"Pagado",IF(J133&gt;0,"Moroso","Vigente"))))))</x:f>
      </x:c>
      <x:c r="J133" s="22" t="str">
        <x:f>IF(OR(C133="",NOT(ISNUMBER(H133)),NOT(ISNUMBER(N133))),"",IF(H133&gt;'AJUSTES'!$B$10,MAX(0,'AJUSTES'!$B$4-N133),0))</x:f>
      </x:c>
      <x:c r="K133" s="27" t="str"/>
      <x:c r="L133" s="26" t="str"/>
      <x:c r="M133" s="26" t="str">
        <x:f>IF(C133="","",'AJUSTES'!$B$5)</x:f>
      </x:c>
      <x:c r="N133" s="29" t="str">
        <x:f>IF(OR(NOT(ISNUMBER(B133)),NOT(ISNUMBER(M133))),"",B133+M133)</x:f>
      </x:c>
      <x:c r="O133" s="25" t="str"/>
      <x:c r="P133" s="26" t="str">
        <x:v>Incluir</x:v>
      </x:c>
      <x:c r="Q133" s="22" t="str"/>
      <x:c r="R133" s="22" t="str"/>
      <x:c r="S133" s="22" t="str">
        <x:f>IF(C133="","",COUNTIFS('PAGOS'!$C$5:$C$504,A133,'PAGOS'!$B$5:$B$504,"&gt;0",'PAGOS'!$B$5:$B$504,"&lt;="&amp;'AJUSTES'!$B$4,'PAGOS'!$N$5:$N$504,"Incluir",'PAGOS'!$Q$5:$Q$504,"&lt;&gt;Aplicar"))</x:f>
      </x:c>
      <x:c r="T133" s="28" t="str">
        <x:f>IF(AND(C133&lt;&gt;"",ISNUMBER(O133),O133&lt;='AJUSTES'!$B$4,ISNUMBER(E133)),ROUND(E133-G133,2),"")</x:f>
      </x:c>
    </x:row>
    <x:row r="134" ht="25" customHeight="1">
      <x:c r="A134" s="22" t="str">
        <x:v>V-130</x:v>
      </x:c>
      <x:c r="B134" s="25" t="str"/>
      <x:c r="C134" s="26" t="str"/>
      <x:c r="D134" s="26" t="str"/>
      <x:c r="E134" s="27" t="str"/>
      <x:c r="F134" s="26" t="str"/>
      <x:c r="G134" s="28" t="str">
        <x:f>IF(C134="","",SUMIFS('PAGOS'!$K$5:$K$504,'PAGOS'!$C$5:$C$504,A134,'PAGOS'!$Q$5:$Q$504,"Aplicar",'PAGOS'!$B$5:$B$504,"&lt;="&amp;'AJUSTES'!$B$4))</x:f>
      </x:c>
      <x:c r="H134" s="28" t="str">
        <x:f>IF(C134="","",IF(AND(ISNUMBER(O134),O134&lt;='AJUSTES'!$B$4),0,IF(OR(P134&lt;&gt;"Incluir",NOT(ISNUMBER(E134)),B134="",B134&gt;'AJUSTES'!$B$4,S134&gt;0),"",MAX(0,ROUND(E134-G134,2)))))</x:f>
      </x:c>
      <x:c r="I134" s="22" t="str">
        <x:f>IF(C134="","",IF(P134="Anulada","Anulada",IF(B134&gt;'AJUSTES'!$B$4,"Posterior al corte",IF(NOT(ISNUMBER(H134)),"Por conciliar",IF(H134&lt;='AJUSTES'!$B$10,"Pagado",IF(J134&gt;0,"Moroso","Vigente"))))))</x:f>
      </x:c>
      <x:c r="J134" s="22" t="str">
        <x:f>IF(OR(C134="",NOT(ISNUMBER(H134)),NOT(ISNUMBER(N134))),"",IF(H134&gt;'AJUSTES'!$B$10,MAX(0,'AJUSTES'!$B$4-N134),0))</x:f>
      </x:c>
      <x:c r="K134" s="27" t="str"/>
      <x:c r="L134" s="26" t="str"/>
      <x:c r="M134" s="26" t="str">
        <x:f>IF(C134="","",'AJUSTES'!$B$5)</x:f>
      </x:c>
      <x:c r="N134" s="29" t="str">
        <x:f>IF(OR(NOT(ISNUMBER(B134)),NOT(ISNUMBER(M134))),"",B134+M134)</x:f>
      </x:c>
      <x:c r="O134" s="25" t="str"/>
      <x:c r="P134" s="26" t="str">
        <x:v>Incluir</x:v>
      </x:c>
      <x:c r="Q134" s="22" t="str"/>
      <x:c r="R134" s="22" t="str"/>
      <x:c r="S134" s="22" t="str">
        <x:f>IF(C134="","",COUNTIFS('PAGOS'!$C$5:$C$504,A134,'PAGOS'!$B$5:$B$504,"&gt;0",'PAGOS'!$B$5:$B$504,"&lt;="&amp;'AJUSTES'!$B$4,'PAGOS'!$N$5:$N$504,"Incluir",'PAGOS'!$Q$5:$Q$504,"&lt;&gt;Aplicar"))</x:f>
      </x:c>
      <x:c r="T134" s="28" t="str">
        <x:f>IF(AND(C134&lt;&gt;"",ISNUMBER(O134),O134&lt;='AJUSTES'!$B$4,ISNUMBER(E134)),ROUND(E134-G134,2),"")</x:f>
      </x:c>
    </x:row>
    <x:row r="135" ht="25" customHeight="1">
      <x:c r="A135" s="22" t="str">
        <x:v>V-131</x:v>
      </x:c>
      <x:c r="B135" s="25" t="str"/>
      <x:c r="C135" s="26" t="str"/>
      <x:c r="D135" s="26" t="str"/>
      <x:c r="E135" s="27" t="str"/>
      <x:c r="F135" s="26" t="str"/>
      <x:c r="G135" s="28" t="str">
        <x:f>IF(C135="","",SUMIFS('PAGOS'!$K$5:$K$504,'PAGOS'!$C$5:$C$504,A135,'PAGOS'!$Q$5:$Q$504,"Aplicar",'PAGOS'!$B$5:$B$504,"&lt;="&amp;'AJUSTES'!$B$4))</x:f>
      </x:c>
      <x:c r="H135" s="28" t="str">
        <x:f>IF(C135="","",IF(AND(ISNUMBER(O135),O135&lt;='AJUSTES'!$B$4),0,IF(OR(P135&lt;&gt;"Incluir",NOT(ISNUMBER(E135)),B135="",B135&gt;'AJUSTES'!$B$4,S135&gt;0),"",MAX(0,ROUND(E135-G135,2)))))</x:f>
      </x:c>
      <x:c r="I135" s="22" t="str">
        <x:f>IF(C135="","",IF(P135="Anulada","Anulada",IF(B135&gt;'AJUSTES'!$B$4,"Posterior al corte",IF(NOT(ISNUMBER(H135)),"Por conciliar",IF(H135&lt;='AJUSTES'!$B$10,"Pagado",IF(J135&gt;0,"Moroso","Vigente"))))))</x:f>
      </x:c>
      <x:c r="J135" s="22" t="str">
        <x:f>IF(OR(C135="",NOT(ISNUMBER(H135)),NOT(ISNUMBER(N135))),"",IF(H135&gt;'AJUSTES'!$B$10,MAX(0,'AJUSTES'!$B$4-N135),0))</x:f>
      </x:c>
      <x:c r="K135" s="27" t="str"/>
      <x:c r="L135" s="26" t="str"/>
      <x:c r="M135" s="26" t="str">
        <x:f>IF(C135="","",'AJUSTES'!$B$5)</x:f>
      </x:c>
      <x:c r="N135" s="29" t="str">
        <x:f>IF(OR(NOT(ISNUMBER(B135)),NOT(ISNUMBER(M135))),"",B135+M135)</x:f>
      </x:c>
      <x:c r="O135" s="25" t="str"/>
      <x:c r="P135" s="26" t="str">
        <x:v>Incluir</x:v>
      </x:c>
      <x:c r="Q135" s="22" t="str"/>
      <x:c r="R135" s="22" t="str"/>
      <x:c r="S135" s="22" t="str">
        <x:f>IF(C135="","",COUNTIFS('PAGOS'!$C$5:$C$504,A135,'PAGOS'!$B$5:$B$504,"&gt;0",'PAGOS'!$B$5:$B$504,"&lt;="&amp;'AJUSTES'!$B$4,'PAGOS'!$N$5:$N$504,"Incluir",'PAGOS'!$Q$5:$Q$504,"&lt;&gt;Aplicar"))</x:f>
      </x:c>
      <x:c r="T135" s="28" t="str">
        <x:f>IF(AND(C135&lt;&gt;"",ISNUMBER(O135),O135&lt;='AJUSTES'!$B$4,ISNUMBER(E135)),ROUND(E135-G135,2),"")</x:f>
      </x:c>
    </x:row>
    <x:row r="136" ht="25" customHeight="1">
      <x:c r="A136" s="22" t="str">
        <x:v>V-132</x:v>
      </x:c>
      <x:c r="B136" s="25" t="str"/>
      <x:c r="C136" s="26" t="str"/>
      <x:c r="D136" s="26" t="str"/>
      <x:c r="E136" s="27" t="str"/>
      <x:c r="F136" s="26" t="str"/>
      <x:c r="G136" s="28" t="str">
        <x:f>IF(C136="","",SUMIFS('PAGOS'!$K$5:$K$504,'PAGOS'!$C$5:$C$504,A136,'PAGOS'!$Q$5:$Q$504,"Aplicar",'PAGOS'!$B$5:$B$504,"&lt;="&amp;'AJUSTES'!$B$4))</x:f>
      </x:c>
      <x:c r="H136" s="28" t="str">
        <x:f>IF(C136="","",IF(AND(ISNUMBER(O136),O136&lt;='AJUSTES'!$B$4),0,IF(OR(P136&lt;&gt;"Incluir",NOT(ISNUMBER(E136)),B136="",B136&gt;'AJUSTES'!$B$4,S136&gt;0),"",MAX(0,ROUND(E136-G136,2)))))</x:f>
      </x:c>
      <x:c r="I136" s="22" t="str">
        <x:f>IF(C136="","",IF(P136="Anulada","Anulada",IF(B136&gt;'AJUSTES'!$B$4,"Posterior al corte",IF(NOT(ISNUMBER(H136)),"Por conciliar",IF(H136&lt;='AJUSTES'!$B$10,"Pagado",IF(J136&gt;0,"Moroso","Vigente"))))))</x:f>
      </x:c>
      <x:c r="J136" s="22" t="str">
        <x:f>IF(OR(C136="",NOT(ISNUMBER(H136)),NOT(ISNUMBER(N136))),"",IF(H136&gt;'AJUSTES'!$B$10,MAX(0,'AJUSTES'!$B$4-N136),0))</x:f>
      </x:c>
      <x:c r="K136" s="27" t="str"/>
      <x:c r="L136" s="26" t="str"/>
      <x:c r="M136" s="26" t="str">
        <x:f>IF(C136="","",'AJUSTES'!$B$5)</x:f>
      </x:c>
      <x:c r="N136" s="29" t="str">
        <x:f>IF(OR(NOT(ISNUMBER(B136)),NOT(ISNUMBER(M136))),"",B136+M136)</x:f>
      </x:c>
      <x:c r="O136" s="25" t="str"/>
      <x:c r="P136" s="26" t="str">
        <x:v>Incluir</x:v>
      </x:c>
      <x:c r="Q136" s="22" t="str"/>
      <x:c r="R136" s="22" t="str"/>
      <x:c r="S136" s="22" t="str">
        <x:f>IF(C136="","",COUNTIFS('PAGOS'!$C$5:$C$504,A136,'PAGOS'!$B$5:$B$504,"&gt;0",'PAGOS'!$B$5:$B$504,"&lt;="&amp;'AJUSTES'!$B$4,'PAGOS'!$N$5:$N$504,"Incluir",'PAGOS'!$Q$5:$Q$504,"&lt;&gt;Aplicar"))</x:f>
      </x:c>
      <x:c r="T136" s="28" t="str">
        <x:f>IF(AND(C136&lt;&gt;"",ISNUMBER(O136),O136&lt;='AJUSTES'!$B$4,ISNUMBER(E136)),ROUND(E136-G136,2),"")</x:f>
      </x:c>
    </x:row>
    <x:row r="137" ht="25" customHeight="1">
      <x:c r="A137" s="22" t="str">
        <x:v>V-133</x:v>
      </x:c>
      <x:c r="B137" s="25" t="str"/>
      <x:c r="C137" s="26" t="str"/>
      <x:c r="D137" s="26" t="str"/>
      <x:c r="E137" s="27" t="str"/>
      <x:c r="F137" s="26" t="str"/>
      <x:c r="G137" s="28" t="str">
        <x:f>IF(C137="","",SUMIFS('PAGOS'!$K$5:$K$504,'PAGOS'!$C$5:$C$504,A137,'PAGOS'!$Q$5:$Q$504,"Aplicar",'PAGOS'!$B$5:$B$504,"&lt;="&amp;'AJUSTES'!$B$4))</x:f>
      </x:c>
      <x:c r="H137" s="28" t="str">
        <x:f>IF(C137="","",IF(AND(ISNUMBER(O137),O137&lt;='AJUSTES'!$B$4),0,IF(OR(P137&lt;&gt;"Incluir",NOT(ISNUMBER(E137)),B137="",B137&gt;'AJUSTES'!$B$4,S137&gt;0),"",MAX(0,ROUND(E137-G137,2)))))</x:f>
      </x:c>
      <x:c r="I137" s="22" t="str">
        <x:f>IF(C137="","",IF(P137="Anulada","Anulada",IF(B137&gt;'AJUSTES'!$B$4,"Posterior al corte",IF(NOT(ISNUMBER(H137)),"Por conciliar",IF(H137&lt;='AJUSTES'!$B$10,"Pagado",IF(J137&gt;0,"Moroso","Vigente"))))))</x:f>
      </x:c>
      <x:c r="J137" s="22" t="str">
        <x:f>IF(OR(C137="",NOT(ISNUMBER(H137)),NOT(ISNUMBER(N137))),"",IF(H137&gt;'AJUSTES'!$B$10,MAX(0,'AJUSTES'!$B$4-N137),0))</x:f>
      </x:c>
      <x:c r="K137" s="27" t="str"/>
      <x:c r="L137" s="26" t="str"/>
      <x:c r="M137" s="26" t="str">
        <x:f>IF(C137="","",'AJUSTES'!$B$5)</x:f>
      </x:c>
      <x:c r="N137" s="29" t="str">
        <x:f>IF(OR(NOT(ISNUMBER(B137)),NOT(ISNUMBER(M137))),"",B137+M137)</x:f>
      </x:c>
      <x:c r="O137" s="25" t="str"/>
      <x:c r="P137" s="26" t="str">
        <x:v>Incluir</x:v>
      </x:c>
      <x:c r="Q137" s="22" t="str"/>
      <x:c r="R137" s="22" t="str"/>
      <x:c r="S137" s="22" t="str">
        <x:f>IF(C137="","",COUNTIFS('PAGOS'!$C$5:$C$504,A137,'PAGOS'!$B$5:$B$504,"&gt;0",'PAGOS'!$B$5:$B$504,"&lt;="&amp;'AJUSTES'!$B$4,'PAGOS'!$N$5:$N$504,"Incluir",'PAGOS'!$Q$5:$Q$504,"&lt;&gt;Aplicar"))</x:f>
      </x:c>
      <x:c r="T137" s="28" t="str">
        <x:f>IF(AND(C137&lt;&gt;"",ISNUMBER(O137),O137&lt;='AJUSTES'!$B$4,ISNUMBER(E137)),ROUND(E137-G137,2),"")</x:f>
      </x:c>
    </x:row>
    <x:row r="138" ht="25" customHeight="1">
      <x:c r="A138" s="22" t="str">
        <x:v>V-134</x:v>
      </x:c>
      <x:c r="B138" s="25" t="str"/>
      <x:c r="C138" s="26" t="str"/>
      <x:c r="D138" s="26" t="str"/>
      <x:c r="E138" s="27" t="str"/>
      <x:c r="F138" s="26" t="str"/>
      <x:c r="G138" s="28" t="str">
        <x:f>IF(C138="","",SUMIFS('PAGOS'!$K$5:$K$504,'PAGOS'!$C$5:$C$504,A138,'PAGOS'!$Q$5:$Q$504,"Aplicar",'PAGOS'!$B$5:$B$504,"&lt;="&amp;'AJUSTES'!$B$4))</x:f>
      </x:c>
      <x:c r="H138" s="28" t="str">
        <x:f>IF(C138="","",IF(AND(ISNUMBER(O138),O138&lt;='AJUSTES'!$B$4),0,IF(OR(P138&lt;&gt;"Incluir",NOT(ISNUMBER(E138)),B138="",B138&gt;'AJUSTES'!$B$4,S138&gt;0),"",MAX(0,ROUND(E138-G138,2)))))</x:f>
      </x:c>
      <x:c r="I138" s="22" t="str">
        <x:f>IF(C138="","",IF(P138="Anulada","Anulada",IF(B138&gt;'AJUSTES'!$B$4,"Posterior al corte",IF(NOT(ISNUMBER(H138)),"Por conciliar",IF(H138&lt;='AJUSTES'!$B$10,"Pagado",IF(J138&gt;0,"Moroso","Vigente"))))))</x:f>
      </x:c>
      <x:c r="J138" s="22" t="str">
        <x:f>IF(OR(C138="",NOT(ISNUMBER(H138)),NOT(ISNUMBER(N138))),"",IF(H138&gt;'AJUSTES'!$B$10,MAX(0,'AJUSTES'!$B$4-N138),0))</x:f>
      </x:c>
      <x:c r="K138" s="27" t="str"/>
      <x:c r="L138" s="26" t="str"/>
      <x:c r="M138" s="26" t="str">
        <x:f>IF(C138="","",'AJUSTES'!$B$5)</x:f>
      </x:c>
      <x:c r="N138" s="29" t="str">
        <x:f>IF(OR(NOT(ISNUMBER(B138)),NOT(ISNUMBER(M138))),"",B138+M138)</x:f>
      </x:c>
      <x:c r="O138" s="25" t="str"/>
      <x:c r="P138" s="26" t="str">
        <x:v>Incluir</x:v>
      </x:c>
      <x:c r="Q138" s="22" t="str"/>
      <x:c r="R138" s="22" t="str"/>
      <x:c r="S138" s="22" t="str">
        <x:f>IF(C138="","",COUNTIFS('PAGOS'!$C$5:$C$504,A138,'PAGOS'!$B$5:$B$504,"&gt;0",'PAGOS'!$B$5:$B$504,"&lt;="&amp;'AJUSTES'!$B$4,'PAGOS'!$N$5:$N$504,"Incluir",'PAGOS'!$Q$5:$Q$504,"&lt;&gt;Aplicar"))</x:f>
      </x:c>
      <x:c r="T138" s="28" t="str">
        <x:f>IF(AND(C138&lt;&gt;"",ISNUMBER(O138),O138&lt;='AJUSTES'!$B$4,ISNUMBER(E138)),ROUND(E138-G138,2),"")</x:f>
      </x:c>
    </x:row>
    <x:row r="139" ht="25" customHeight="1">
      <x:c r="A139" s="22" t="str">
        <x:v>V-135</x:v>
      </x:c>
      <x:c r="B139" s="25" t="str"/>
      <x:c r="C139" s="26" t="str"/>
      <x:c r="D139" s="26" t="str"/>
      <x:c r="E139" s="27" t="str"/>
      <x:c r="F139" s="26" t="str"/>
      <x:c r="G139" s="28" t="str">
        <x:f>IF(C139="","",SUMIFS('PAGOS'!$K$5:$K$504,'PAGOS'!$C$5:$C$504,A139,'PAGOS'!$Q$5:$Q$504,"Aplicar",'PAGOS'!$B$5:$B$504,"&lt;="&amp;'AJUSTES'!$B$4))</x:f>
      </x:c>
      <x:c r="H139" s="28" t="str">
        <x:f>IF(C139="","",IF(AND(ISNUMBER(O139),O139&lt;='AJUSTES'!$B$4),0,IF(OR(P139&lt;&gt;"Incluir",NOT(ISNUMBER(E139)),B139="",B139&gt;'AJUSTES'!$B$4,S139&gt;0),"",MAX(0,ROUND(E139-G139,2)))))</x:f>
      </x:c>
      <x:c r="I139" s="22" t="str">
        <x:f>IF(C139="","",IF(P139="Anulada","Anulada",IF(B139&gt;'AJUSTES'!$B$4,"Posterior al corte",IF(NOT(ISNUMBER(H139)),"Por conciliar",IF(H139&lt;='AJUSTES'!$B$10,"Pagado",IF(J139&gt;0,"Moroso","Vigente"))))))</x:f>
      </x:c>
      <x:c r="J139" s="22" t="str">
        <x:f>IF(OR(C139="",NOT(ISNUMBER(H139)),NOT(ISNUMBER(N139))),"",IF(H139&gt;'AJUSTES'!$B$10,MAX(0,'AJUSTES'!$B$4-N139),0))</x:f>
      </x:c>
      <x:c r="K139" s="27" t="str"/>
      <x:c r="L139" s="26" t="str"/>
      <x:c r="M139" s="26" t="str">
        <x:f>IF(C139="","",'AJUSTES'!$B$5)</x:f>
      </x:c>
      <x:c r="N139" s="29" t="str">
        <x:f>IF(OR(NOT(ISNUMBER(B139)),NOT(ISNUMBER(M139))),"",B139+M139)</x:f>
      </x:c>
      <x:c r="O139" s="25" t="str"/>
      <x:c r="P139" s="26" t="str">
        <x:v>Incluir</x:v>
      </x:c>
      <x:c r="Q139" s="22" t="str"/>
      <x:c r="R139" s="22" t="str"/>
      <x:c r="S139" s="22" t="str">
        <x:f>IF(C139="","",COUNTIFS('PAGOS'!$C$5:$C$504,A139,'PAGOS'!$B$5:$B$504,"&gt;0",'PAGOS'!$B$5:$B$504,"&lt;="&amp;'AJUSTES'!$B$4,'PAGOS'!$N$5:$N$504,"Incluir",'PAGOS'!$Q$5:$Q$504,"&lt;&gt;Aplicar"))</x:f>
      </x:c>
      <x:c r="T139" s="28" t="str">
        <x:f>IF(AND(C139&lt;&gt;"",ISNUMBER(O139),O139&lt;='AJUSTES'!$B$4,ISNUMBER(E139)),ROUND(E139-G139,2),"")</x:f>
      </x:c>
    </x:row>
    <x:row r="140" ht="25" customHeight="1">
      <x:c r="A140" s="22" t="str">
        <x:v>V-136</x:v>
      </x:c>
      <x:c r="B140" s="25" t="str"/>
      <x:c r="C140" s="26" t="str"/>
      <x:c r="D140" s="26" t="str"/>
      <x:c r="E140" s="27" t="str"/>
      <x:c r="F140" s="26" t="str"/>
      <x:c r="G140" s="28" t="str">
        <x:f>IF(C140="","",SUMIFS('PAGOS'!$K$5:$K$504,'PAGOS'!$C$5:$C$504,A140,'PAGOS'!$Q$5:$Q$504,"Aplicar",'PAGOS'!$B$5:$B$504,"&lt;="&amp;'AJUSTES'!$B$4))</x:f>
      </x:c>
      <x:c r="H140" s="28" t="str">
        <x:f>IF(C140="","",IF(AND(ISNUMBER(O140),O140&lt;='AJUSTES'!$B$4),0,IF(OR(P140&lt;&gt;"Incluir",NOT(ISNUMBER(E140)),B140="",B140&gt;'AJUSTES'!$B$4,S140&gt;0),"",MAX(0,ROUND(E140-G140,2)))))</x:f>
      </x:c>
      <x:c r="I140" s="22" t="str">
        <x:f>IF(C140="","",IF(P140="Anulada","Anulada",IF(B140&gt;'AJUSTES'!$B$4,"Posterior al corte",IF(NOT(ISNUMBER(H140)),"Por conciliar",IF(H140&lt;='AJUSTES'!$B$10,"Pagado",IF(J140&gt;0,"Moroso","Vigente"))))))</x:f>
      </x:c>
      <x:c r="J140" s="22" t="str">
        <x:f>IF(OR(C140="",NOT(ISNUMBER(H140)),NOT(ISNUMBER(N140))),"",IF(H140&gt;'AJUSTES'!$B$10,MAX(0,'AJUSTES'!$B$4-N140),0))</x:f>
      </x:c>
      <x:c r="K140" s="27" t="str"/>
      <x:c r="L140" s="26" t="str"/>
      <x:c r="M140" s="26" t="str">
        <x:f>IF(C140="","",'AJUSTES'!$B$5)</x:f>
      </x:c>
      <x:c r="N140" s="29" t="str">
        <x:f>IF(OR(NOT(ISNUMBER(B140)),NOT(ISNUMBER(M140))),"",B140+M140)</x:f>
      </x:c>
      <x:c r="O140" s="25" t="str"/>
      <x:c r="P140" s="26" t="str">
        <x:v>Incluir</x:v>
      </x:c>
      <x:c r="Q140" s="22" t="str"/>
      <x:c r="R140" s="22" t="str"/>
      <x:c r="S140" s="22" t="str">
        <x:f>IF(C140="","",COUNTIFS('PAGOS'!$C$5:$C$504,A140,'PAGOS'!$B$5:$B$504,"&gt;0",'PAGOS'!$B$5:$B$504,"&lt;="&amp;'AJUSTES'!$B$4,'PAGOS'!$N$5:$N$504,"Incluir",'PAGOS'!$Q$5:$Q$504,"&lt;&gt;Aplicar"))</x:f>
      </x:c>
      <x:c r="T140" s="28" t="str">
        <x:f>IF(AND(C140&lt;&gt;"",ISNUMBER(O140),O140&lt;='AJUSTES'!$B$4,ISNUMBER(E140)),ROUND(E140-G140,2),"")</x:f>
      </x:c>
    </x:row>
    <x:row r="141" ht="25" customHeight="1">
      <x:c r="A141" s="22" t="str">
        <x:v>V-137</x:v>
      </x:c>
      <x:c r="B141" s="25" t="str"/>
      <x:c r="C141" s="26" t="str"/>
      <x:c r="D141" s="26" t="str"/>
      <x:c r="E141" s="27" t="str"/>
      <x:c r="F141" s="26" t="str"/>
      <x:c r="G141" s="28" t="str">
        <x:f>IF(C141="","",SUMIFS('PAGOS'!$K$5:$K$504,'PAGOS'!$C$5:$C$504,A141,'PAGOS'!$Q$5:$Q$504,"Aplicar",'PAGOS'!$B$5:$B$504,"&lt;="&amp;'AJUSTES'!$B$4))</x:f>
      </x:c>
      <x:c r="H141" s="28" t="str">
        <x:f>IF(C141="","",IF(AND(ISNUMBER(O141),O141&lt;='AJUSTES'!$B$4),0,IF(OR(P141&lt;&gt;"Incluir",NOT(ISNUMBER(E141)),B141="",B141&gt;'AJUSTES'!$B$4,S141&gt;0),"",MAX(0,ROUND(E141-G141,2)))))</x:f>
      </x:c>
      <x:c r="I141" s="22" t="str">
        <x:f>IF(C141="","",IF(P141="Anulada","Anulada",IF(B141&gt;'AJUSTES'!$B$4,"Posterior al corte",IF(NOT(ISNUMBER(H141)),"Por conciliar",IF(H141&lt;='AJUSTES'!$B$10,"Pagado",IF(J141&gt;0,"Moroso","Vigente"))))))</x:f>
      </x:c>
      <x:c r="J141" s="22" t="str">
        <x:f>IF(OR(C141="",NOT(ISNUMBER(H141)),NOT(ISNUMBER(N141))),"",IF(H141&gt;'AJUSTES'!$B$10,MAX(0,'AJUSTES'!$B$4-N141),0))</x:f>
      </x:c>
      <x:c r="K141" s="27" t="str"/>
      <x:c r="L141" s="26" t="str"/>
      <x:c r="M141" s="26" t="str">
        <x:f>IF(C141="","",'AJUSTES'!$B$5)</x:f>
      </x:c>
      <x:c r="N141" s="29" t="str">
        <x:f>IF(OR(NOT(ISNUMBER(B141)),NOT(ISNUMBER(M141))),"",B141+M141)</x:f>
      </x:c>
      <x:c r="O141" s="25" t="str"/>
      <x:c r="P141" s="26" t="str">
        <x:v>Incluir</x:v>
      </x:c>
      <x:c r="Q141" s="22" t="str"/>
      <x:c r="R141" s="22" t="str"/>
      <x:c r="S141" s="22" t="str">
        <x:f>IF(C141="","",COUNTIFS('PAGOS'!$C$5:$C$504,A141,'PAGOS'!$B$5:$B$504,"&gt;0",'PAGOS'!$B$5:$B$504,"&lt;="&amp;'AJUSTES'!$B$4,'PAGOS'!$N$5:$N$504,"Incluir",'PAGOS'!$Q$5:$Q$504,"&lt;&gt;Aplicar"))</x:f>
      </x:c>
      <x:c r="T141" s="28" t="str">
        <x:f>IF(AND(C141&lt;&gt;"",ISNUMBER(O141),O141&lt;='AJUSTES'!$B$4,ISNUMBER(E141)),ROUND(E141-G141,2),"")</x:f>
      </x:c>
    </x:row>
    <x:row r="142" ht="25" customHeight="1">
      <x:c r="A142" s="22" t="str">
        <x:v>V-138</x:v>
      </x:c>
      <x:c r="B142" s="25" t="str"/>
      <x:c r="C142" s="26" t="str"/>
      <x:c r="D142" s="26" t="str"/>
      <x:c r="E142" s="27" t="str"/>
      <x:c r="F142" s="26" t="str"/>
      <x:c r="G142" s="28" t="str">
        <x:f>IF(C142="","",SUMIFS('PAGOS'!$K$5:$K$504,'PAGOS'!$C$5:$C$504,A142,'PAGOS'!$Q$5:$Q$504,"Aplicar",'PAGOS'!$B$5:$B$504,"&lt;="&amp;'AJUSTES'!$B$4))</x:f>
      </x:c>
      <x:c r="H142" s="28" t="str">
        <x:f>IF(C142="","",IF(AND(ISNUMBER(O142),O142&lt;='AJUSTES'!$B$4),0,IF(OR(P142&lt;&gt;"Incluir",NOT(ISNUMBER(E142)),B142="",B142&gt;'AJUSTES'!$B$4,S142&gt;0),"",MAX(0,ROUND(E142-G142,2)))))</x:f>
      </x:c>
      <x:c r="I142" s="22" t="str">
        <x:f>IF(C142="","",IF(P142="Anulada","Anulada",IF(B142&gt;'AJUSTES'!$B$4,"Posterior al corte",IF(NOT(ISNUMBER(H142)),"Por conciliar",IF(H142&lt;='AJUSTES'!$B$10,"Pagado",IF(J142&gt;0,"Moroso","Vigente"))))))</x:f>
      </x:c>
      <x:c r="J142" s="22" t="str">
        <x:f>IF(OR(C142="",NOT(ISNUMBER(H142)),NOT(ISNUMBER(N142))),"",IF(H142&gt;'AJUSTES'!$B$10,MAX(0,'AJUSTES'!$B$4-N142),0))</x:f>
      </x:c>
      <x:c r="K142" s="27" t="str"/>
      <x:c r="L142" s="26" t="str"/>
      <x:c r="M142" s="26" t="str">
        <x:f>IF(C142="","",'AJUSTES'!$B$5)</x:f>
      </x:c>
      <x:c r="N142" s="29" t="str">
        <x:f>IF(OR(NOT(ISNUMBER(B142)),NOT(ISNUMBER(M142))),"",B142+M142)</x:f>
      </x:c>
      <x:c r="O142" s="25" t="str"/>
      <x:c r="P142" s="26" t="str">
        <x:v>Incluir</x:v>
      </x:c>
      <x:c r="Q142" s="22" t="str"/>
      <x:c r="R142" s="22" t="str"/>
      <x:c r="S142" s="22" t="str">
        <x:f>IF(C142="","",COUNTIFS('PAGOS'!$C$5:$C$504,A142,'PAGOS'!$B$5:$B$504,"&gt;0",'PAGOS'!$B$5:$B$504,"&lt;="&amp;'AJUSTES'!$B$4,'PAGOS'!$N$5:$N$504,"Incluir",'PAGOS'!$Q$5:$Q$504,"&lt;&gt;Aplicar"))</x:f>
      </x:c>
      <x:c r="T142" s="28" t="str">
        <x:f>IF(AND(C142&lt;&gt;"",ISNUMBER(O142),O142&lt;='AJUSTES'!$B$4,ISNUMBER(E142)),ROUND(E142-G142,2),"")</x:f>
      </x:c>
    </x:row>
    <x:row r="143" ht="25" customHeight="1">
      <x:c r="A143" s="22" t="str">
        <x:v>V-139</x:v>
      </x:c>
      <x:c r="B143" s="25" t="str"/>
      <x:c r="C143" s="26" t="str"/>
      <x:c r="D143" s="26" t="str"/>
      <x:c r="E143" s="27" t="str"/>
      <x:c r="F143" s="26" t="str"/>
      <x:c r="G143" s="28" t="str">
        <x:f>IF(C143="","",SUMIFS('PAGOS'!$K$5:$K$504,'PAGOS'!$C$5:$C$504,A143,'PAGOS'!$Q$5:$Q$504,"Aplicar",'PAGOS'!$B$5:$B$504,"&lt;="&amp;'AJUSTES'!$B$4))</x:f>
      </x:c>
      <x:c r="H143" s="28" t="str">
        <x:f>IF(C143="","",IF(AND(ISNUMBER(O143),O143&lt;='AJUSTES'!$B$4),0,IF(OR(P143&lt;&gt;"Incluir",NOT(ISNUMBER(E143)),B143="",B143&gt;'AJUSTES'!$B$4,S143&gt;0),"",MAX(0,ROUND(E143-G143,2)))))</x:f>
      </x:c>
      <x:c r="I143" s="22" t="str">
        <x:f>IF(C143="","",IF(P143="Anulada","Anulada",IF(B143&gt;'AJUSTES'!$B$4,"Posterior al corte",IF(NOT(ISNUMBER(H143)),"Por conciliar",IF(H143&lt;='AJUSTES'!$B$10,"Pagado",IF(J143&gt;0,"Moroso","Vigente"))))))</x:f>
      </x:c>
      <x:c r="J143" s="22" t="str">
        <x:f>IF(OR(C143="",NOT(ISNUMBER(H143)),NOT(ISNUMBER(N143))),"",IF(H143&gt;'AJUSTES'!$B$10,MAX(0,'AJUSTES'!$B$4-N143),0))</x:f>
      </x:c>
      <x:c r="K143" s="27" t="str"/>
      <x:c r="L143" s="26" t="str"/>
      <x:c r="M143" s="26" t="str">
        <x:f>IF(C143="","",'AJUSTES'!$B$5)</x:f>
      </x:c>
      <x:c r="N143" s="29" t="str">
        <x:f>IF(OR(NOT(ISNUMBER(B143)),NOT(ISNUMBER(M143))),"",B143+M143)</x:f>
      </x:c>
      <x:c r="O143" s="25" t="str"/>
      <x:c r="P143" s="26" t="str">
        <x:v>Incluir</x:v>
      </x:c>
      <x:c r="Q143" s="22" t="str"/>
      <x:c r="R143" s="22" t="str"/>
      <x:c r="S143" s="22" t="str">
        <x:f>IF(C143="","",COUNTIFS('PAGOS'!$C$5:$C$504,A143,'PAGOS'!$B$5:$B$504,"&gt;0",'PAGOS'!$B$5:$B$504,"&lt;="&amp;'AJUSTES'!$B$4,'PAGOS'!$N$5:$N$504,"Incluir",'PAGOS'!$Q$5:$Q$504,"&lt;&gt;Aplicar"))</x:f>
      </x:c>
      <x:c r="T143" s="28" t="str">
        <x:f>IF(AND(C143&lt;&gt;"",ISNUMBER(O143),O143&lt;='AJUSTES'!$B$4,ISNUMBER(E143)),ROUND(E143-G143,2),"")</x:f>
      </x:c>
    </x:row>
    <x:row r="144" ht="25" customHeight="1">
      <x:c r="A144" s="22" t="str">
        <x:v>V-140</x:v>
      </x:c>
      <x:c r="B144" s="25" t="str"/>
      <x:c r="C144" s="26" t="str"/>
      <x:c r="D144" s="26" t="str"/>
      <x:c r="E144" s="27" t="str"/>
      <x:c r="F144" s="26" t="str"/>
      <x:c r="G144" s="28" t="str">
        <x:f>IF(C144="","",SUMIFS('PAGOS'!$K$5:$K$504,'PAGOS'!$C$5:$C$504,A144,'PAGOS'!$Q$5:$Q$504,"Aplicar",'PAGOS'!$B$5:$B$504,"&lt;="&amp;'AJUSTES'!$B$4))</x:f>
      </x:c>
      <x:c r="H144" s="28" t="str">
        <x:f>IF(C144="","",IF(AND(ISNUMBER(O144),O144&lt;='AJUSTES'!$B$4),0,IF(OR(P144&lt;&gt;"Incluir",NOT(ISNUMBER(E144)),B144="",B144&gt;'AJUSTES'!$B$4,S144&gt;0),"",MAX(0,ROUND(E144-G144,2)))))</x:f>
      </x:c>
      <x:c r="I144" s="22" t="str">
        <x:f>IF(C144="","",IF(P144="Anulada","Anulada",IF(B144&gt;'AJUSTES'!$B$4,"Posterior al corte",IF(NOT(ISNUMBER(H144)),"Por conciliar",IF(H144&lt;='AJUSTES'!$B$10,"Pagado",IF(J144&gt;0,"Moroso","Vigente"))))))</x:f>
      </x:c>
      <x:c r="J144" s="22" t="str">
        <x:f>IF(OR(C144="",NOT(ISNUMBER(H144)),NOT(ISNUMBER(N144))),"",IF(H144&gt;'AJUSTES'!$B$10,MAX(0,'AJUSTES'!$B$4-N144),0))</x:f>
      </x:c>
      <x:c r="K144" s="27" t="str"/>
      <x:c r="L144" s="26" t="str"/>
      <x:c r="M144" s="26" t="str">
        <x:f>IF(C144="","",'AJUSTES'!$B$5)</x:f>
      </x:c>
      <x:c r="N144" s="29" t="str">
        <x:f>IF(OR(NOT(ISNUMBER(B144)),NOT(ISNUMBER(M144))),"",B144+M144)</x:f>
      </x:c>
      <x:c r="O144" s="25" t="str"/>
      <x:c r="P144" s="26" t="str">
        <x:v>Incluir</x:v>
      </x:c>
      <x:c r="Q144" s="22" t="str"/>
      <x:c r="R144" s="22" t="str"/>
      <x:c r="S144" s="22" t="str">
        <x:f>IF(C144="","",COUNTIFS('PAGOS'!$C$5:$C$504,A144,'PAGOS'!$B$5:$B$504,"&gt;0",'PAGOS'!$B$5:$B$504,"&lt;="&amp;'AJUSTES'!$B$4,'PAGOS'!$N$5:$N$504,"Incluir",'PAGOS'!$Q$5:$Q$504,"&lt;&gt;Aplicar"))</x:f>
      </x:c>
      <x:c r="T144" s="28" t="str">
        <x:f>IF(AND(C144&lt;&gt;"",ISNUMBER(O144),O144&lt;='AJUSTES'!$B$4,ISNUMBER(E144)),ROUND(E144-G144,2),"")</x:f>
      </x:c>
    </x:row>
    <x:row r="145" ht="25" customHeight="1">
      <x:c r="A145" s="22" t="str">
        <x:v>V-141</x:v>
      </x:c>
      <x:c r="B145" s="25" t="str"/>
      <x:c r="C145" s="26" t="str"/>
      <x:c r="D145" s="26" t="str"/>
      <x:c r="E145" s="27" t="str"/>
      <x:c r="F145" s="26" t="str"/>
      <x:c r="G145" s="28" t="str">
        <x:f>IF(C145="","",SUMIFS('PAGOS'!$K$5:$K$504,'PAGOS'!$C$5:$C$504,A145,'PAGOS'!$Q$5:$Q$504,"Aplicar",'PAGOS'!$B$5:$B$504,"&lt;="&amp;'AJUSTES'!$B$4))</x:f>
      </x:c>
      <x:c r="H145" s="28" t="str">
        <x:f>IF(C145="","",IF(AND(ISNUMBER(O145),O145&lt;='AJUSTES'!$B$4),0,IF(OR(P145&lt;&gt;"Incluir",NOT(ISNUMBER(E145)),B145="",B145&gt;'AJUSTES'!$B$4,S145&gt;0),"",MAX(0,ROUND(E145-G145,2)))))</x:f>
      </x:c>
      <x:c r="I145" s="22" t="str">
        <x:f>IF(C145="","",IF(P145="Anulada","Anulada",IF(B145&gt;'AJUSTES'!$B$4,"Posterior al corte",IF(NOT(ISNUMBER(H145)),"Por conciliar",IF(H145&lt;='AJUSTES'!$B$10,"Pagado",IF(J145&gt;0,"Moroso","Vigente"))))))</x:f>
      </x:c>
      <x:c r="J145" s="22" t="str">
        <x:f>IF(OR(C145="",NOT(ISNUMBER(H145)),NOT(ISNUMBER(N145))),"",IF(H145&gt;'AJUSTES'!$B$10,MAX(0,'AJUSTES'!$B$4-N145),0))</x:f>
      </x:c>
      <x:c r="K145" s="27" t="str"/>
      <x:c r="L145" s="26" t="str"/>
      <x:c r="M145" s="26" t="str">
        <x:f>IF(C145="","",'AJUSTES'!$B$5)</x:f>
      </x:c>
      <x:c r="N145" s="29" t="str">
        <x:f>IF(OR(NOT(ISNUMBER(B145)),NOT(ISNUMBER(M145))),"",B145+M145)</x:f>
      </x:c>
      <x:c r="O145" s="25" t="str"/>
      <x:c r="P145" s="26" t="str">
        <x:v>Incluir</x:v>
      </x:c>
      <x:c r="Q145" s="22" t="str"/>
      <x:c r="R145" s="22" t="str"/>
      <x:c r="S145" s="22" t="str">
        <x:f>IF(C145="","",COUNTIFS('PAGOS'!$C$5:$C$504,A145,'PAGOS'!$B$5:$B$504,"&gt;0",'PAGOS'!$B$5:$B$504,"&lt;="&amp;'AJUSTES'!$B$4,'PAGOS'!$N$5:$N$504,"Incluir",'PAGOS'!$Q$5:$Q$504,"&lt;&gt;Aplicar"))</x:f>
      </x:c>
      <x:c r="T145" s="28" t="str">
        <x:f>IF(AND(C145&lt;&gt;"",ISNUMBER(O145),O145&lt;='AJUSTES'!$B$4,ISNUMBER(E145)),ROUND(E145-G145,2),"")</x:f>
      </x:c>
    </x:row>
    <x:row r="146" ht="25" customHeight="1">
      <x:c r="A146" s="22" t="str">
        <x:v>V-142</x:v>
      </x:c>
      <x:c r="B146" s="25" t="str"/>
      <x:c r="C146" s="26" t="str"/>
      <x:c r="D146" s="26" t="str"/>
      <x:c r="E146" s="27" t="str"/>
      <x:c r="F146" s="26" t="str"/>
      <x:c r="G146" s="28" t="str">
        <x:f>IF(C146="","",SUMIFS('PAGOS'!$K$5:$K$504,'PAGOS'!$C$5:$C$504,A146,'PAGOS'!$Q$5:$Q$504,"Aplicar",'PAGOS'!$B$5:$B$504,"&lt;="&amp;'AJUSTES'!$B$4))</x:f>
      </x:c>
      <x:c r="H146" s="28" t="str">
        <x:f>IF(C146="","",IF(AND(ISNUMBER(O146),O146&lt;='AJUSTES'!$B$4),0,IF(OR(P146&lt;&gt;"Incluir",NOT(ISNUMBER(E146)),B146="",B146&gt;'AJUSTES'!$B$4,S146&gt;0),"",MAX(0,ROUND(E146-G146,2)))))</x:f>
      </x:c>
      <x:c r="I146" s="22" t="str">
        <x:f>IF(C146="","",IF(P146="Anulada","Anulada",IF(B146&gt;'AJUSTES'!$B$4,"Posterior al corte",IF(NOT(ISNUMBER(H146)),"Por conciliar",IF(H146&lt;='AJUSTES'!$B$10,"Pagado",IF(J146&gt;0,"Moroso","Vigente"))))))</x:f>
      </x:c>
      <x:c r="J146" s="22" t="str">
        <x:f>IF(OR(C146="",NOT(ISNUMBER(H146)),NOT(ISNUMBER(N146))),"",IF(H146&gt;'AJUSTES'!$B$10,MAX(0,'AJUSTES'!$B$4-N146),0))</x:f>
      </x:c>
      <x:c r="K146" s="27" t="str"/>
      <x:c r="L146" s="26" t="str"/>
      <x:c r="M146" s="26" t="str">
        <x:f>IF(C146="","",'AJUSTES'!$B$5)</x:f>
      </x:c>
      <x:c r="N146" s="29" t="str">
        <x:f>IF(OR(NOT(ISNUMBER(B146)),NOT(ISNUMBER(M146))),"",B146+M146)</x:f>
      </x:c>
      <x:c r="O146" s="25" t="str"/>
      <x:c r="P146" s="26" t="str">
        <x:v>Incluir</x:v>
      </x:c>
      <x:c r="Q146" s="22" t="str"/>
      <x:c r="R146" s="22" t="str"/>
      <x:c r="S146" s="22" t="str">
        <x:f>IF(C146="","",COUNTIFS('PAGOS'!$C$5:$C$504,A146,'PAGOS'!$B$5:$B$504,"&gt;0",'PAGOS'!$B$5:$B$504,"&lt;="&amp;'AJUSTES'!$B$4,'PAGOS'!$N$5:$N$504,"Incluir",'PAGOS'!$Q$5:$Q$504,"&lt;&gt;Aplicar"))</x:f>
      </x:c>
      <x:c r="T146" s="28" t="str">
        <x:f>IF(AND(C146&lt;&gt;"",ISNUMBER(O146),O146&lt;='AJUSTES'!$B$4,ISNUMBER(E146)),ROUND(E146-G146,2),"")</x:f>
      </x:c>
    </x:row>
    <x:row r="147" ht="25" customHeight="1">
      <x:c r="A147" s="22" t="str">
        <x:v>V-143</x:v>
      </x:c>
      <x:c r="B147" s="25" t="str"/>
      <x:c r="C147" s="26" t="str"/>
      <x:c r="D147" s="26" t="str"/>
      <x:c r="E147" s="27" t="str"/>
      <x:c r="F147" s="26" t="str"/>
      <x:c r="G147" s="28" t="str">
        <x:f>IF(C147="","",SUMIFS('PAGOS'!$K$5:$K$504,'PAGOS'!$C$5:$C$504,A147,'PAGOS'!$Q$5:$Q$504,"Aplicar",'PAGOS'!$B$5:$B$504,"&lt;="&amp;'AJUSTES'!$B$4))</x:f>
      </x:c>
      <x:c r="H147" s="28" t="str">
        <x:f>IF(C147="","",IF(AND(ISNUMBER(O147),O147&lt;='AJUSTES'!$B$4),0,IF(OR(P147&lt;&gt;"Incluir",NOT(ISNUMBER(E147)),B147="",B147&gt;'AJUSTES'!$B$4,S147&gt;0),"",MAX(0,ROUND(E147-G147,2)))))</x:f>
      </x:c>
      <x:c r="I147" s="22" t="str">
        <x:f>IF(C147="","",IF(P147="Anulada","Anulada",IF(B147&gt;'AJUSTES'!$B$4,"Posterior al corte",IF(NOT(ISNUMBER(H147)),"Por conciliar",IF(H147&lt;='AJUSTES'!$B$10,"Pagado",IF(J147&gt;0,"Moroso","Vigente"))))))</x:f>
      </x:c>
      <x:c r="J147" s="22" t="str">
        <x:f>IF(OR(C147="",NOT(ISNUMBER(H147)),NOT(ISNUMBER(N147))),"",IF(H147&gt;'AJUSTES'!$B$10,MAX(0,'AJUSTES'!$B$4-N147),0))</x:f>
      </x:c>
      <x:c r="K147" s="27" t="str"/>
      <x:c r="L147" s="26" t="str"/>
      <x:c r="M147" s="26" t="str">
        <x:f>IF(C147="","",'AJUSTES'!$B$5)</x:f>
      </x:c>
      <x:c r="N147" s="29" t="str">
        <x:f>IF(OR(NOT(ISNUMBER(B147)),NOT(ISNUMBER(M147))),"",B147+M147)</x:f>
      </x:c>
      <x:c r="O147" s="25" t="str"/>
      <x:c r="P147" s="26" t="str">
        <x:v>Incluir</x:v>
      </x:c>
      <x:c r="Q147" s="22" t="str"/>
      <x:c r="R147" s="22" t="str"/>
      <x:c r="S147" s="22" t="str">
        <x:f>IF(C147="","",COUNTIFS('PAGOS'!$C$5:$C$504,A147,'PAGOS'!$B$5:$B$504,"&gt;0",'PAGOS'!$B$5:$B$504,"&lt;="&amp;'AJUSTES'!$B$4,'PAGOS'!$N$5:$N$504,"Incluir",'PAGOS'!$Q$5:$Q$504,"&lt;&gt;Aplicar"))</x:f>
      </x:c>
      <x:c r="T147" s="28" t="str">
        <x:f>IF(AND(C147&lt;&gt;"",ISNUMBER(O147),O147&lt;='AJUSTES'!$B$4,ISNUMBER(E147)),ROUND(E147-G147,2),"")</x:f>
      </x:c>
    </x:row>
    <x:row r="148" ht="25" customHeight="1">
      <x:c r="A148" s="22" t="str">
        <x:v>V-144</x:v>
      </x:c>
      <x:c r="B148" s="25" t="str"/>
      <x:c r="C148" s="26" t="str"/>
      <x:c r="D148" s="26" t="str"/>
      <x:c r="E148" s="27" t="str"/>
      <x:c r="F148" s="26" t="str"/>
      <x:c r="G148" s="28" t="str">
        <x:f>IF(C148="","",SUMIFS('PAGOS'!$K$5:$K$504,'PAGOS'!$C$5:$C$504,A148,'PAGOS'!$Q$5:$Q$504,"Aplicar",'PAGOS'!$B$5:$B$504,"&lt;="&amp;'AJUSTES'!$B$4))</x:f>
      </x:c>
      <x:c r="H148" s="28" t="str">
        <x:f>IF(C148="","",IF(AND(ISNUMBER(O148),O148&lt;='AJUSTES'!$B$4),0,IF(OR(P148&lt;&gt;"Incluir",NOT(ISNUMBER(E148)),B148="",B148&gt;'AJUSTES'!$B$4,S148&gt;0),"",MAX(0,ROUND(E148-G148,2)))))</x:f>
      </x:c>
      <x:c r="I148" s="22" t="str">
        <x:f>IF(C148="","",IF(P148="Anulada","Anulada",IF(B148&gt;'AJUSTES'!$B$4,"Posterior al corte",IF(NOT(ISNUMBER(H148)),"Por conciliar",IF(H148&lt;='AJUSTES'!$B$10,"Pagado",IF(J148&gt;0,"Moroso","Vigente"))))))</x:f>
      </x:c>
      <x:c r="J148" s="22" t="str">
        <x:f>IF(OR(C148="",NOT(ISNUMBER(H148)),NOT(ISNUMBER(N148))),"",IF(H148&gt;'AJUSTES'!$B$10,MAX(0,'AJUSTES'!$B$4-N148),0))</x:f>
      </x:c>
      <x:c r="K148" s="27" t="str"/>
      <x:c r="L148" s="26" t="str"/>
      <x:c r="M148" s="26" t="str">
        <x:f>IF(C148="","",'AJUSTES'!$B$5)</x:f>
      </x:c>
      <x:c r="N148" s="29" t="str">
        <x:f>IF(OR(NOT(ISNUMBER(B148)),NOT(ISNUMBER(M148))),"",B148+M148)</x:f>
      </x:c>
      <x:c r="O148" s="25" t="str"/>
      <x:c r="P148" s="26" t="str">
        <x:v>Incluir</x:v>
      </x:c>
      <x:c r="Q148" s="22" t="str"/>
      <x:c r="R148" s="22" t="str"/>
      <x:c r="S148" s="22" t="str">
        <x:f>IF(C148="","",COUNTIFS('PAGOS'!$C$5:$C$504,A148,'PAGOS'!$B$5:$B$504,"&gt;0",'PAGOS'!$B$5:$B$504,"&lt;="&amp;'AJUSTES'!$B$4,'PAGOS'!$N$5:$N$504,"Incluir",'PAGOS'!$Q$5:$Q$504,"&lt;&gt;Aplicar"))</x:f>
      </x:c>
      <x:c r="T148" s="28" t="str">
        <x:f>IF(AND(C148&lt;&gt;"",ISNUMBER(O148),O148&lt;='AJUSTES'!$B$4,ISNUMBER(E148)),ROUND(E148-G148,2),"")</x:f>
      </x:c>
    </x:row>
    <x:row r="149" ht="25" customHeight="1">
      <x:c r="A149" s="22" t="str">
        <x:v>V-145</x:v>
      </x:c>
      <x:c r="B149" s="25" t="str"/>
      <x:c r="C149" s="26" t="str"/>
      <x:c r="D149" s="26" t="str"/>
      <x:c r="E149" s="27" t="str"/>
      <x:c r="F149" s="26" t="str"/>
      <x:c r="G149" s="28" t="str">
        <x:f>IF(C149="","",SUMIFS('PAGOS'!$K$5:$K$504,'PAGOS'!$C$5:$C$504,A149,'PAGOS'!$Q$5:$Q$504,"Aplicar",'PAGOS'!$B$5:$B$504,"&lt;="&amp;'AJUSTES'!$B$4))</x:f>
      </x:c>
      <x:c r="H149" s="28" t="str">
        <x:f>IF(C149="","",IF(AND(ISNUMBER(O149),O149&lt;='AJUSTES'!$B$4),0,IF(OR(P149&lt;&gt;"Incluir",NOT(ISNUMBER(E149)),B149="",B149&gt;'AJUSTES'!$B$4,S149&gt;0),"",MAX(0,ROUND(E149-G149,2)))))</x:f>
      </x:c>
      <x:c r="I149" s="22" t="str">
        <x:f>IF(C149="","",IF(P149="Anulada","Anulada",IF(B149&gt;'AJUSTES'!$B$4,"Posterior al corte",IF(NOT(ISNUMBER(H149)),"Por conciliar",IF(H149&lt;='AJUSTES'!$B$10,"Pagado",IF(J149&gt;0,"Moroso","Vigente"))))))</x:f>
      </x:c>
      <x:c r="J149" s="22" t="str">
        <x:f>IF(OR(C149="",NOT(ISNUMBER(H149)),NOT(ISNUMBER(N149))),"",IF(H149&gt;'AJUSTES'!$B$10,MAX(0,'AJUSTES'!$B$4-N149),0))</x:f>
      </x:c>
      <x:c r="K149" s="27" t="str"/>
      <x:c r="L149" s="26" t="str"/>
      <x:c r="M149" s="26" t="str">
        <x:f>IF(C149="","",'AJUSTES'!$B$5)</x:f>
      </x:c>
      <x:c r="N149" s="29" t="str">
        <x:f>IF(OR(NOT(ISNUMBER(B149)),NOT(ISNUMBER(M149))),"",B149+M149)</x:f>
      </x:c>
      <x:c r="O149" s="25" t="str"/>
      <x:c r="P149" s="26" t="str">
        <x:v>Incluir</x:v>
      </x:c>
      <x:c r="Q149" s="22" t="str"/>
      <x:c r="R149" s="22" t="str"/>
      <x:c r="S149" s="22" t="str">
        <x:f>IF(C149="","",COUNTIFS('PAGOS'!$C$5:$C$504,A149,'PAGOS'!$B$5:$B$504,"&gt;0",'PAGOS'!$B$5:$B$504,"&lt;="&amp;'AJUSTES'!$B$4,'PAGOS'!$N$5:$N$504,"Incluir",'PAGOS'!$Q$5:$Q$504,"&lt;&gt;Aplicar"))</x:f>
      </x:c>
      <x:c r="T149" s="28" t="str">
        <x:f>IF(AND(C149&lt;&gt;"",ISNUMBER(O149),O149&lt;='AJUSTES'!$B$4,ISNUMBER(E149)),ROUND(E149-G149,2),"")</x:f>
      </x:c>
    </x:row>
    <x:row r="150" ht="25" customHeight="1">
      <x:c r="A150" s="22" t="str">
        <x:v>V-146</x:v>
      </x:c>
      <x:c r="B150" s="25" t="str"/>
      <x:c r="C150" s="26" t="str"/>
      <x:c r="D150" s="26" t="str"/>
      <x:c r="E150" s="27" t="str"/>
      <x:c r="F150" s="26" t="str"/>
      <x:c r="G150" s="28" t="str">
        <x:f>IF(C150="","",SUMIFS('PAGOS'!$K$5:$K$504,'PAGOS'!$C$5:$C$504,A150,'PAGOS'!$Q$5:$Q$504,"Aplicar",'PAGOS'!$B$5:$B$504,"&lt;="&amp;'AJUSTES'!$B$4))</x:f>
      </x:c>
      <x:c r="H150" s="28" t="str">
        <x:f>IF(C150="","",IF(AND(ISNUMBER(O150),O150&lt;='AJUSTES'!$B$4),0,IF(OR(P150&lt;&gt;"Incluir",NOT(ISNUMBER(E150)),B150="",B150&gt;'AJUSTES'!$B$4,S150&gt;0),"",MAX(0,ROUND(E150-G150,2)))))</x:f>
      </x:c>
      <x:c r="I150" s="22" t="str">
        <x:f>IF(C150="","",IF(P150="Anulada","Anulada",IF(B150&gt;'AJUSTES'!$B$4,"Posterior al corte",IF(NOT(ISNUMBER(H150)),"Por conciliar",IF(H150&lt;='AJUSTES'!$B$10,"Pagado",IF(J150&gt;0,"Moroso","Vigente"))))))</x:f>
      </x:c>
      <x:c r="J150" s="22" t="str">
        <x:f>IF(OR(C150="",NOT(ISNUMBER(H150)),NOT(ISNUMBER(N150))),"",IF(H150&gt;'AJUSTES'!$B$10,MAX(0,'AJUSTES'!$B$4-N150),0))</x:f>
      </x:c>
      <x:c r="K150" s="27" t="str"/>
      <x:c r="L150" s="26" t="str"/>
      <x:c r="M150" s="26" t="str">
        <x:f>IF(C150="","",'AJUSTES'!$B$5)</x:f>
      </x:c>
      <x:c r="N150" s="29" t="str">
        <x:f>IF(OR(NOT(ISNUMBER(B150)),NOT(ISNUMBER(M150))),"",B150+M150)</x:f>
      </x:c>
      <x:c r="O150" s="25" t="str"/>
      <x:c r="P150" s="26" t="str">
        <x:v>Incluir</x:v>
      </x:c>
      <x:c r="Q150" s="22" t="str"/>
      <x:c r="R150" s="22" t="str"/>
      <x:c r="S150" s="22" t="str">
        <x:f>IF(C150="","",COUNTIFS('PAGOS'!$C$5:$C$504,A150,'PAGOS'!$B$5:$B$504,"&gt;0",'PAGOS'!$B$5:$B$504,"&lt;="&amp;'AJUSTES'!$B$4,'PAGOS'!$N$5:$N$504,"Incluir",'PAGOS'!$Q$5:$Q$504,"&lt;&gt;Aplicar"))</x:f>
      </x:c>
      <x:c r="T150" s="28" t="str">
        <x:f>IF(AND(C150&lt;&gt;"",ISNUMBER(O150),O150&lt;='AJUSTES'!$B$4,ISNUMBER(E150)),ROUND(E150-G150,2),"")</x:f>
      </x:c>
    </x:row>
    <x:row r="151" ht="25" customHeight="1">
      <x:c r="A151" s="22" t="str">
        <x:v>V-147</x:v>
      </x:c>
      <x:c r="B151" s="25" t="str"/>
      <x:c r="C151" s="26" t="str"/>
      <x:c r="D151" s="26" t="str"/>
      <x:c r="E151" s="27" t="str"/>
      <x:c r="F151" s="26" t="str"/>
      <x:c r="G151" s="28" t="str">
        <x:f>IF(C151="","",SUMIFS('PAGOS'!$K$5:$K$504,'PAGOS'!$C$5:$C$504,A151,'PAGOS'!$Q$5:$Q$504,"Aplicar",'PAGOS'!$B$5:$B$504,"&lt;="&amp;'AJUSTES'!$B$4))</x:f>
      </x:c>
      <x:c r="H151" s="28" t="str">
        <x:f>IF(C151="","",IF(AND(ISNUMBER(O151),O151&lt;='AJUSTES'!$B$4),0,IF(OR(P151&lt;&gt;"Incluir",NOT(ISNUMBER(E151)),B151="",B151&gt;'AJUSTES'!$B$4,S151&gt;0),"",MAX(0,ROUND(E151-G151,2)))))</x:f>
      </x:c>
      <x:c r="I151" s="22" t="str">
        <x:f>IF(C151="","",IF(P151="Anulada","Anulada",IF(B151&gt;'AJUSTES'!$B$4,"Posterior al corte",IF(NOT(ISNUMBER(H151)),"Por conciliar",IF(H151&lt;='AJUSTES'!$B$10,"Pagado",IF(J151&gt;0,"Moroso","Vigente"))))))</x:f>
      </x:c>
      <x:c r="J151" s="22" t="str">
        <x:f>IF(OR(C151="",NOT(ISNUMBER(H151)),NOT(ISNUMBER(N151))),"",IF(H151&gt;'AJUSTES'!$B$10,MAX(0,'AJUSTES'!$B$4-N151),0))</x:f>
      </x:c>
      <x:c r="K151" s="27" t="str"/>
      <x:c r="L151" s="26" t="str"/>
      <x:c r="M151" s="26" t="str">
        <x:f>IF(C151="","",'AJUSTES'!$B$5)</x:f>
      </x:c>
      <x:c r="N151" s="29" t="str">
        <x:f>IF(OR(NOT(ISNUMBER(B151)),NOT(ISNUMBER(M151))),"",B151+M151)</x:f>
      </x:c>
      <x:c r="O151" s="25" t="str"/>
      <x:c r="P151" s="26" t="str">
        <x:v>Incluir</x:v>
      </x:c>
      <x:c r="Q151" s="22" t="str"/>
      <x:c r="R151" s="22" t="str"/>
      <x:c r="S151" s="22" t="str">
        <x:f>IF(C151="","",COUNTIFS('PAGOS'!$C$5:$C$504,A151,'PAGOS'!$B$5:$B$504,"&gt;0",'PAGOS'!$B$5:$B$504,"&lt;="&amp;'AJUSTES'!$B$4,'PAGOS'!$N$5:$N$504,"Incluir",'PAGOS'!$Q$5:$Q$504,"&lt;&gt;Aplicar"))</x:f>
      </x:c>
      <x:c r="T151" s="28" t="str">
        <x:f>IF(AND(C151&lt;&gt;"",ISNUMBER(O151),O151&lt;='AJUSTES'!$B$4,ISNUMBER(E151)),ROUND(E151-G151,2),"")</x:f>
      </x:c>
    </x:row>
    <x:row r="152" ht="25" customHeight="1">
      <x:c r="A152" s="22" t="str">
        <x:v>V-148</x:v>
      </x:c>
      <x:c r="B152" s="25" t="str"/>
      <x:c r="C152" s="26" t="str"/>
      <x:c r="D152" s="26" t="str"/>
      <x:c r="E152" s="27" t="str"/>
      <x:c r="F152" s="26" t="str"/>
      <x:c r="G152" s="28" t="str">
        <x:f>IF(C152="","",SUMIFS('PAGOS'!$K$5:$K$504,'PAGOS'!$C$5:$C$504,A152,'PAGOS'!$Q$5:$Q$504,"Aplicar",'PAGOS'!$B$5:$B$504,"&lt;="&amp;'AJUSTES'!$B$4))</x:f>
      </x:c>
      <x:c r="H152" s="28" t="str">
        <x:f>IF(C152="","",IF(AND(ISNUMBER(O152),O152&lt;='AJUSTES'!$B$4),0,IF(OR(P152&lt;&gt;"Incluir",NOT(ISNUMBER(E152)),B152="",B152&gt;'AJUSTES'!$B$4,S152&gt;0),"",MAX(0,ROUND(E152-G152,2)))))</x:f>
      </x:c>
      <x:c r="I152" s="22" t="str">
        <x:f>IF(C152="","",IF(P152="Anulada","Anulada",IF(B152&gt;'AJUSTES'!$B$4,"Posterior al corte",IF(NOT(ISNUMBER(H152)),"Por conciliar",IF(H152&lt;='AJUSTES'!$B$10,"Pagado",IF(J152&gt;0,"Moroso","Vigente"))))))</x:f>
      </x:c>
      <x:c r="J152" s="22" t="str">
        <x:f>IF(OR(C152="",NOT(ISNUMBER(H152)),NOT(ISNUMBER(N152))),"",IF(H152&gt;'AJUSTES'!$B$10,MAX(0,'AJUSTES'!$B$4-N152),0))</x:f>
      </x:c>
      <x:c r="K152" s="27" t="str"/>
      <x:c r="L152" s="26" t="str"/>
      <x:c r="M152" s="26" t="str">
        <x:f>IF(C152="","",'AJUSTES'!$B$5)</x:f>
      </x:c>
      <x:c r="N152" s="29" t="str">
        <x:f>IF(OR(NOT(ISNUMBER(B152)),NOT(ISNUMBER(M152))),"",B152+M152)</x:f>
      </x:c>
      <x:c r="O152" s="25" t="str"/>
      <x:c r="P152" s="26" t="str">
        <x:v>Incluir</x:v>
      </x:c>
      <x:c r="Q152" s="22" t="str"/>
      <x:c r="R152" s="22" t="str"/>
      <x:c r="S152" s="22" t="str">
        <x:f>IF(C152="","",COUNTIFS('PAGOS'!$C$5:$C$504,A152,'PAGOS'!$B$5:$B$504,"&gt;0",'PAGOS'!$B$5:$B$504,"&lt;="&amp;'AJUSTES'!$B$4,'PAGOS'!$N$5:$N$504,"Incluir",'PAGOS'!$Q$5:$Q$504,"&lt;&gt;Aplicar"))</x:f>
      </x:c>
      <x:c r="T152" s="28" t="str">
        <x:f>IF(AND(C152&lt;&gt;"",ISNUMBER(O152),O152&lt;='AJUSTES'!$B$4,ISNUMBER(E152)),ROUND(E152-G152,2),"")</x:f>
      </x:c>
    </x:row>
    <x:row r="153" ht="25" customHeight="1">
      <x:c r="A153" s="22" t="str">
        <x:v>V-149</x:v>
      </x:c>
      <x:c r="B153" s="25" t="str"/>
      <x:c r="C153" s="26" t="str"/>
      <x:c r="D153" s="26" t="str"/>
      <x:c r="E153" s="27" t="str"/>
      <x:c r="F153" s="26" t="str"/>
      <x:c r="G153" s="28" t="str">
        <x:f>IF(C153="","",SUMIFS('PAGOS'!$K$5:$K$504,'PAGOS'!$C$5:$C$504,A153,'PAGOS'!$Q$5:$Q$504,"Aplicar",'PAGOS'!$B$5:$B$504,"&lt;="&amp;'AJUSTES'!$B$4))</x:f>
      </x:c>
      <x:c r="H153" s="28" t="str">
        <x:f>IF(C153="","",IF(AND(ISNUMBER(O153),O153&lt;='AJUSTES'!$B$4),0,IF(OR(P153&lt;&gt;"Incluir",NOT(ISNUMBER(E153)),B153="",B153&gt;'AJUSTES'!$B$4,S153&gt;0),"",MAX(0,ROUND(E153-G153,2)))))</x:f>
      </x:c>
      <x:c r="I153" s="22" t="str">
        <x:f>IF(C153="","",IF(P153="Anulada","Anulada",IF(B153&gt;'AJUSTES'!$B$4,"Posterior al corte",IF(NOT(ISNUMBER(H153)),"Por conciliar",IF(H153&lt;='AJUSTES'!$B$10,"Pagado",IF(J153&gt;0,"Moroso","Vigente"))))))</x:f>
      </x:c>
      <x:c r="J153" s="22" t="str">
        <x:f>IF(OR(C153="",NOT(ISNUMBER(H153)),NOT(ISNUMBER(N153))),"",IF(H153&gt;'AJUSTES'!$B$10,MAX(0,'AJUSTES'!$B$4-N153),0))</x:f>
      </x:c>
      <x:c r="K153" s="27" t="str"/>
      <x:c r="L153" s="26" t="str"/>
      <x:c r="M153" s="26" t="str">
        <x:f>IF(C153="","",'AJUSTES'!$B$5)</x:f>
      </x:c>
      <x:c r="N153" s="29" t="str">
        <x:f>IF(OR(NOT(ISNUMBER(B153)),NOT(ISNUMBER(M153))),"",B153+M153)</x:f>
      </x:c>
      <x:c r="O153" s="25" t="str"/>
      <x:c r="P153" s="26" t="str">
        <x:v>Incluir</x:v>
      </x:c>
      <x:c r="Q153" s="22" t="str"/>
      <x:c r="R153" s="22" t="str"/>
      <x:c r="S153" s="22" t="str">
        <x:f>IF(C153="","",COUNTIFS('PAGOS'!$C$5:$C$504,A153,'PAGOS'!$B$5:$B$504,"&gt;0",'PAGOS'!$B$5:$B$504,"&lt;="&amp;'AJUSTES'!$B$4,'PAGOS'!$N$5:$N$504,"Incluir",'PAGOS'!$Q$5:$Q$504,"&lt;&gt;Aplicar"))</x:f>
      </x:c>
      <x:c r="T153" s="28" t="str">
        <x:f>IF(AND(C153&lt;&gt;"",ISNUMBER(O153),O153&lt;='AJUSTES'!$B$4,ISNUMBER(E153)),ROUND(E153-G153,2),"")</x:f>
      </x:c>
    </x:row>
    <x:row r="154" ht="25" customHeight="1">
      <x:c r="A154" s="22" t="str">
        <x:v>V-150</x:v>
      </x:c>
      <x:c r="B154" s="25" t="str"/>
      <x:c r="C154" s="26" t="str"/>
      <x:c r="D154" s="26" t="str"/>
      <x:c r="E154" s="27" t="str"/>
      <x:c r="F154" s="26" t="str"/>
      <x:c r="G154" s="28" t="str">
        <x:f>IF(C154="","",SUMIFS('PAGOS'!$K$5:$K$504,'PAGOS'!$C$5:$C$504,A154,'PAGOS'!$Q$5:$Q$504,"Aplicar",'PAGOS'!$B$5:$B$504,"&lt;="&amp;'AJUSTES'!$B$4))</x:f>
      </x:c>
      <x:c r="H154" s="28" t="str">
        <x:f>IF(C154="","",IF(AND(ISNUMBER(O154),O154&lt;='AJUSTES'!$B$4),0,IF(OR(P154&lt;&gt;"Incluir",NOT(ISNUMBER(E154)),B154="",B154&gt;'AJUSTES'!$B$4,S154&gt;0),"",MAX(0,ROUND(E154-G154,2)))))</x:f>
      </x:c>
      <x:c r="I154" s="22" t="str">
        <x:f>IF(C154="","",IF(P154="Anulada","Anulada",IF(B154&gt;'AJUSTES'!$B$4,"Posterior al corte",IF(NOT(ISNUMBER(H154)),"Por conciliar",IF(H154&lt;='AJUSTES'!$B$10,"Pagado",IF(J154&gt;0,"Moroso","Vigente"))))))</x:f>
      </x:c>
      <x:c r="J154" s="22" t="str">
        <x:f>IF(OR(C154="",NOT(ISNUMBER(H154)),NOT(ISNUMBER(N154))),"",IF(H154&gt;'AJUSTES'!$B$10,MAX(0,'AJUSTES'!$B$4-N154),0))</x:f>
      </x:c>
      <x:c r="K154" s="27" t="str"/>
      <x:c r="L154" s="26" t="str"/>
      <x:c r="M154" s="26" t="str">
        <x:f>IF(C154="","",'AJUSTES'!$B$5)</x:f>
      </x:c>
      <x:c r="N154" s="29" t="str">
        <x:f>IF(OR(NOT(ISNUMBER(B154)),NOT(ISNUMBER(M154))),"",B154+M154)</x:f>
      </x:c>
      <x:c r="O154" s="25" t="str"/>
      <x:c r="P154" s="26" t="str">
        <x:v>Incluir</x:v>
      </x:c>
      <x:c r="Q154" s="22" t="str"/>
      <x:c r="R154" s="22" t="str"/>
      <x:c r="S154" s="22" t="str">
        <x:f>IF(C154="","",COUNTIFS('PAGOS'!$C$5:$C$504,A154,'PAGOS'!$B$5:$B$504,"&gt;0",'PAGOS'!$B$5:$B$504,"&lt;="&amp;'AJUSTES'!$B$4,'PAGOS'!$N$5:$N$504,"Incluir",'PAGOS'!$Q$5:$Q$504,"&lt;&gt;Aplicar"))</x:f>
      </x:c>
      <x:c r="T154" s="28" t="str">
        <x:f>IF(AND(C154&lt;&gt;"",ISNUMBER(O154),O154&lt;='AJUSTES'!$B$4,ISNUMBER(E154)),ROUND(E154-G154,2),"")</x:f>
      </x:c>
    </x:row>
    <x:row r="155" ht="25" customHeight="1">
      <x:c r="A155" s="22" t="str">
        <x:v>V-151</x:v>
      </x:c>
      <x:c r="B155" s="25" t="str"/>
      <x:c r="C155" s="26" t="str"/>
      <x:c r="D155" s="26" t="str"/>
      <x:c r="E155" s="27" t="str"/>
      <x:c r="F155" s="26" t="str"/>
      <x:c r="G155" s="28" t="str">
        <x:f>IF(C155="","",SUMIFS('PAGOS'!$K$5:$K$504,'PAGOS'!$C$5:$C$504,A155,'PAGOS'!$Q$5:$Q$504,"Aplicar",'PAGOS'!$B$5:$B$504,"&lt;="&amp;'AJUSTES'!$B$4))</x:f>
      </x:c>
      <x:c r="H155" s="28" t="str">
        <x:f>IF(C155="","",IF(AND(ISNUMBER(O155),O155&lt;='AJUSTES'!$B$4),0,IF(OR(P155&lt;&gt;"Incluir",NOT(ISNUMBER(E155)),B155="",B155&gt;'AJUSTES'!$B$4,S155&gt;0),"",MAX(0,ROUND(E155-G155,2)))))</x:f>
      </x:c>
      <x:c r="I155" s="22" t="str">
        <x:f>IF(C155="","",IF(P155="Anulada","Anulada",IF(B155&gt;'AJUSTES'!$B$4,"Posterior al corte",IF(NOT(ISNUMBER(H155)),"Por conciliar",IF(H155&lt;='AJUSTES'!$B$10,"Pagado",IF(J155&gt;0,"Moroso","Vigente"))))))</x:f>
      </x:c>
      <x:c r="J155" s="22" t="str">
        <x:f>IF(OR(C155="",NOT(ISNUMBER(H155)),NOT(ISNUMBER(N155))),"",IF(H155&gt;'AJUSTES'!$B$10,MAX(0,'AJUSTES'!$B$4-N155),0))</x:f>
      </x:c>
      <x:c r="K155" s="27" t="str"/>
      <x:c r="L155" s="26" t="str"/>
      <x:c r="M155" s="26" t="str">
        <x:f>IF(C155="","",'AJUSTES'!$B$5)</x:f>
      </x:c>
      <x:c r="N155" s="29" t="str">
        <x:f>IF(OR(NOT(ISNUMBER(B155)),NOT(ISNUMBER(M155))),"",B155+M155)</x:f>
      </x:c>
      <x:c r="O155" s="25" t="str"/>
      <x:c r="P155" s="26" t="str">
        <x:v>Incluir</x:v>
      </x:c>
      <x:c r="Q155" s="22" t="str"/>
      <x:c r="R155" s="22" t="str"/>
      <x:c r="S155" s="22" t="str">
        <x:f>IF(C155="","",COUNTIFS('PAGOS'!$C$5:$C$504,A155,'PAGOS'!$B$5:$B$504,"&gt;0",'PAGOS'!$B$5:$B$504,"&lt;="&amp;'AJUSTES'!$B$4,'PAGOS'!$N$5:$N$504,"Incluir",'PAGOS'!$Q$5:$Q$504,"&lt;&gt;Aplicar"))</x:f>
      </x:c>
      <x:c r="T155" s="28" t="str">
        <x:f>IF(AND(C155&lt;&gt;"",ISNUMBER(O155),O155&lt;='AJUSTES'!$B$4,ISNUMBER(E155)),ROUND(E155-G155,2),"")</x:f>
      </x:c>
    </x:row>
    <x:row r="156" ht="25" customHeight="1">
      <x:c r="A156" s="22" t="str">
        <x:v>V-152</x:v>
      </x:c>
      <x:c r="B156" s="25" t="str"/>
      <x:c r="C156" s="26" t="str"/>
      <x:c r="D156" s="26" t="str"/>
      <x:c r="E156" s="27" t="str"/>
      <x:c r="F156" s="26" t="str"/>
      <x:c r="G156" s="28" t="str">
        <x:f>IF(C156="","",SUMIFS('PAGOS'!$K$5:$K$504,'PAGOS'!$C$5:$C$504,A156,'PAGOS'!$Q$5:$Q$504,"Aplicar",'PAGOS'!$B$5:$B$504,"&lt;="&amp;'AJUSTES'!$B$4))</x:f>
      </x:c>
      <x:c r="H156" s="28" t="str">
        <x:f>IF(C156="","",IF(AND(ISNUMBER(O156),O156&lt;='AJUSTES'!$B$4),0,IF(OR(P156&lt;&gt;"Incluir",NOT(ISNUMBER(E156)),B156="",B156&gt;'AJUSTES'!$B$4,S156&gt;0),"",MAX(0,ROUND(E156-G156,2)))))</x:f>
      </x:c>
      <x:c r="I156" s="22" t="str">
        <x:f>IF(C156="","",IF(P156="Anulada","Anulada",IF(B156&gt;'AJUSTES'!$B$4,"Posterior al corte",IF(NOT(ISNUMBER(H156)),"Por conciliar",IF(H156&lt;='AJUSTES'!$B$10,"Pagado",IF(J156&gt;0,"Moroso","Vigente"))))))</x:f>
      </x:c>
      <x:c r="J156" s="22" t="str">
        <x:f>IF(OR(C156="",NOT(ISNUMBER(H156)),NOT(ISNUMBER(N156))),"",IF(H156&gt;'AJUSTES'!$B$10,MAX(0,'AJUSTES'!$B$4-N156),0))</x:f>
      </x:c>
      <x:c r="K156" s="27" t="str"/>
      <x:c r="L156" s="26" t="str"/>
      <x:c r="M156" s="26" t="str">
        <x:f>IF(C156="","",'AJUSTES'!$B$5)</x:f>
      </x:c>
      <x:c r="N156" s="29" t="str">
        <x:f>IF(OR(NOT(ISNUMBER(B156)),NOT(ISNUMBER(M156))),"",B156+M156)</x:f>
      </x:c>
      <x:c r="O156" s="25" t="str"/>
      <x:c r="P156" s="26" t="str">
        <x:v>Incluir</x:v>
      </x:c>
      <x:c r="Q156" s="22" t="str"/>
      <x:c r="R156" s="22" t="str"/>
      <x:c r="S156" s="22" t="str">
        <x:f>IF(C156="","",COUNTIFS('PAGOS'!$C$5:$C$504,A156,'PAGOS'!$B$5:$B$504,"&gt;0",'PAGOS'!$B$5:$B$504,"&lt;="&amp;'AJUSTES'!$B$4,'PAGOS'!$N$5:$N$504,"Incluir",'PAGOS'!$Q$5:$Q$504,"&lt;&gt;Aplicar"))</x:f>
      </x:c>
      <x:c r="T156" s="28" t="str">
        <x:f>IF(AND(C156&lt;&gt;"",ISNUMBER(O156),O156&lt;='AJUSTES'!$B$4,ISNUMBER(E156)),ROUND(E156-G156,2),"")</x:f>
      </x:c>
    </x:row>
    <x:row r="157" ht="25" customHeight="1">
      <x:c r="A157" s="22" t="str">
        <x:v>V-153</x:v>
      </x:c>
      <x:c r="B157" s="25" t="str"/>
      <x:c r="C157" s="26" t="str"/>
      <x:c r="D157" s="26" t="str"/>
      <x:c r="E157" s="27" t="str"/>
      <x:c r="F157" s="26" t="str"/>
      <x:c r="G157" s="28" t="str">
        <x:f>IF(C157="","",SUMIFS('PAGOS'!$K$5:$K$504,'PAGOS'!$C$5:$C$504,A157,'PAGOS'!$Q$5:$Q$504,"Aplicar",'PAGOS'!$B$5:$B$504,"&lt;="&amp;'AJUSTES'!$B$4))</x:f>
      </x:c>
      <x:c r="H157" s="28" t="str">
        <x:f>IF(C157="","",IF(AND(ISNUMBER(O157),O157&lt;='AJUSTES'!$B$4),0,IF(OR(P157&lt;&gt;"Incluir",NOT(ISNUMBER(E157)),B157="",B157&gt;'AJUSTES'!$B$4,S157&gt;0),"",MAX(0,ROUND(E157-G157,2)))))</x:f>
      </x:c>
      <x:c r="I157" s="22" t="str">
        <x:f>IF(C157="","",IF(P157="Anulada","Anulada",IF(B157&gt;'AJUSTES'!$B$4,"Posterior al corte",IF(NOT(ISNUMBER(H157)),"Por conciliar",IF(H157&lt;='AJUSTES'!$B$10,"Pagado",IF(J157&gt;0,"Moroso","Vigente"))))))</x:f>
      </x:c>
      <x:c r="J157" s="22" t="str">
        <x:f>IF(OR(C157="",NOT(ISNUMBER(H157)),NOT(ISNUMBER(N157))),"",IF(H157&gt;'AJUSTES'!$B$10,MAX(0,'AJUSTES'!$B$4-N157),0))</x:f>
      </x:c>
      <x:c r="K157" s="27" t="str"/>
      <x:c r="L157" s="26" t="str"/>
      <x:c r="M157" s="26" t="str">
        <x:f>IF(C157="","",'AJUSTES'!$B$5)</x:f>
      </x:c>
      <x:c r="N157" s="29" t="str">
        <x:f>IF(OR(NOT(ISNUMBER(B157)),NOT(ISNUMBER(M157))),"",B157+M157)</x:f>
      </x:c>
      <x:c r="O157" s="25" t="str"/>
      <x:c r="P157" s="26" t="str">
        <x:v>Incluir</x:v>
      </x:c>
      <x:c r="Q157" s="22" t="str"/>
      <x:c r="R157" s="22" t="str"/>
      <x:c r="S157" s="22" t="str">
        <x:f>IF(C157="","",COUNTIFS('PAGOS'!$C$5:$C$504,A157,'PAGOS'!$B$5:$B$504,"&gt;0",'PAGOS'!$B$5:$B$504,"&lt;="&amp;'AJUSTES'!$B$4,'PAGOS'!$N$5:$N$504,"Incluir",'PAGOS'!$Q$5:$Q$504,"&lt;&gt;Aplicar"))</x:f>
      </x:c>
      <x:c r="T157" s="28" t="str">
        <x:f>IF(AND(C157&lt;&gt;"",ISNUMBER(O157),O157&lt;='AJUSTES'!$B$4,ISNUMBER(E157)),ROUND(E157-G157,2),"")</x:f>
      </x:c>
    </x:row>
    <x:row r="158" ht="25" customHeight="1">
      <x:c r="A158" s="22" t="str">
        <x:v>V-154</x:v>
      </x:c>
      <x:c r="B158" s="25" t="str"/>
      <x:c r="C158" s="26" t="str"/>
      <x:c r="D158" s="26" t="str"/>
      <x:c r="E158" s="27" t="str"/>
      <x:c r="F158" s="26" t="str"/>
      <x:c r="G158" s="28" t="str">
        <x:f>IF(C158="","",SUMIFS('PAGOS'!$K$5:$K$504,'PAGOS'!$C$5:$C$504,A158,'PAGOS'!$Q$5:$Q$504,"Aplicar",'PAGOS'!$B$5:$B$504,"&lt;="&amp;'AJUSTES'!$B$4))</x:f>
      </x:c>
      <x:c r="H158" s="28" t="str">
        <x:f>IF(C158="","",IF(AND(ISNUMBER(O158),O158&lt;='AJUSTES'!$B$4),0,IF(OR(P158&lt;&gt;"Incluir",NOT(ISNUMBER(E158)),B158="",B158&gt;'AJUSTES'!$B$4,S158&gt;0),"",MAX(0,ROUND(E158-G158,2)))))</x:f>
      </x:c>
      <x:c r="I158" s="22" t="str">
        <x:f>IF(C158="","",IF(P158="Anulada","Anulada",IF(B158&gt;'AJUSTES'!$B$4,"Posterior al corte",IF(NOT(ISNUMBER(H158)),"Por conciliar",IF(H158&lt;='AJUSTES'!$B$10,"Pagado",IF(J158&gt;0,"Moroso","Vigente"))))))</x:f>
      </x:c>
      <x:c r="J158" s="22" t="str">
        <x:f>IF(OR(C158="",NOT(ISNUMBER(H158)),NOT(ISNUMBER(N158))),"",IF(H158&gt;'AJUSTES'!$B$10,MAX(0,'AJUSTES'!$B$4-N158),0))</x:f>
      </x:c>
      <x:c r="K158" s="27" t="str"/>
      <x:c r="L158" s="26" t="str"/>
      <x:c r="M158" s="26" t="str">
        <x:f>IF(C158="","",'AJUSTES'!$B$5)</x:f>
      </x:c>
      <x:c r="N158" s="29" t="str">
        <x:f>IF(OR(NOT(ISNUMBER(B158)),NOT(ISNUMBER(M158))),"",B158+M158)</x:f>
      </x:c>
      <x:c r="O158" s="25" t="str"/>
      <x:c r="P158" s="26" t="str">
        <x:v>Incluir</x:v>
      </x:c>
      <x:c r="Q158" s="22" t="str"/>
      <x:c r="R158" s="22" t="str"/>
      <x:c r="S158" s="22" t="str">
        <x:f>IF(C158="","",COUNTIFS('PAGOS'!$C$5:$C$504,A158,'PAGOS'!$B$5:$B$504,"&gt;0",'PAGOS'!$B$5:$B$504,"&lt;="&amp;'AJUSTES'!$B$4,'PAGOS'!$N$5:$N$504,"Incluir",'PAGOS'!$Q$5:$Q$504,"&lt;&gt;Aplicar"))</x:f>
      </x:c>
      <x:c r="T158" s="28" t="str">
        <x:f>IF(AND(C158&lt;&gt;"",ISNUMBER(O158),O158&lt;='AJUSTES'!$B$4,ISNUMBER(E158)),ROUND(E158-G158,2),"")</x:f>
      </x:c>
    </x:row>
    <x:row r="159" ht="25" customHeight="1">
      <x:c r="A159" s="22" t="str">
        <x:v>V-155</x:v>
      </x:c>
      <x:c r="B159" s="25" t="str"/>
      <x:c r="C159" s="26" t="str"/>
      <x:c r="D159" s="26" t="str"/>
      <x:c r="E159" s="27" t="str"/>
      <x:c r="F159" s="26" t="str"/>
      <x:c r="G159" s="28" t="str">
        <x:f>IF(C159="","",SUMIFS('PAGOS'!$K$5:$K$504,'PAGOS'!$C$5:$C$504,A159,'PAGOS'!$Q$5:$Q$504,"Aplicar",'PAGOS'!$B$5:$B$504,"&lt;="&amp;'AJUSTES'!$B$4))</x:f>
      </x:c>
      <x:c r="H159" s="28" t="str">
        <x:f>IF(C159="","",IF(AND(ISNUMBER(O159),O159&lt;='AJUSTES'!$B$4),0,IF(OR(P159&lt;&gt;"Incluir",NOT(ISNUMBER(E159)),B159="",B159&gt;'AJUSTES'!$B$4,S159&gt;0),"",MAX(0,ROUND(E159-G159,2)))))</x:f>
      </x:c>
      <x:c r="I159" s="22" t="str">
        <x:f>IF(C159="","",IF(P159="Anulada","Anulada",IF(B159&gt;'AJUSTES'!$B$4,"Posterior al corte",IF(NOT(ISNUMBER(H159)),"Por conciliar",IF(H159&lt;='AJUSTES'!$B$10,"Pagado",IF(J159&gt;0,"Moroso","Vigente"))))))</x:f>
      </x:c>
      <x:c r="J159" s="22" t="str">
        <x:f>IF(OR(C159="",NOT(ISNUMBER(H159)),NOT(ISNUMBER(N159))),"",IF(H159&gt;'AJUSTES'!$B$10,MAX(0,'AJUSTES'!$B$4-N159),0))</x:f>
      </x:c>
      <x:c r="K159" s="27" t="str"/>
      <x:c r="L159" s="26" t="str"/>
      <x:c r="M159" s="26" t="str">
        <x:f>IF(C159="","",'AJUSTES'!$B$5)</x:f>
      </x:c>
      <x:c r="N159" s="29" t="str">
        <x:f>IF(OR(NOT(ISNUMBER(B159)),NOT(ISNUMBER(M159))),"",B159+M159)</x:f>
      </x:c>
      <x:c r="O159" s="25" t="str"/>
      <x:c r="P159" s="26" t="str">
        <x:v>Incluir</x:v>
      </x:c>
      <x:c r="Q159" s="22" t="str"/>
      <x:c r="R159" s="22" t="str"/>
      <x:c r="S159" s="22" t="str">
        <x:f>IF(C159="","",COUNTIFS('PAGOS'!$C$5:$C$504,A159,'PAGOS'!$B$5:$B$504,"&gt;0",'PAGOS'!$B$5:$B$504,"&lt;="&amp;'AJUSTES'!$B$4,'PAGOS'!$N$5:$N$504,"Incluir",'PAGOS'!$Q$5:$Q$504,"&lt;&gt;Aplicar"))</x:f>
      </x:c>
      <x:c r="T159" s="28" t="str">
        <x:f>IF(AND(C159&lt;&gt;"",ISNUMBER(O159),O159&lt;='AJUSTES'!$B$4,ISNUMBER(E159)),ROUND(E159-G159,2),"")</x:f>
      </x:c>
    </x:row>
    <x:row r="160" ht="25" customHeight="1">
      <x:c r="A160" s="22" t="str">
        <x:v>V-156</x:v>
      </x:c>
      <x:c r="B160" s="25" t="str"/>
      <x:c r="C160" s="26" t="str"/>
      <x:c r="D160" s="26" t="str"/>
      <x:c r="E160" s="27" t="str"/>
      <x:c r="F160" s="26" t="str"/>
      <x:c r="G160" s="28" t="str">
        <x:f>IF(C160="","",SUMIFS('PAGOS'!$K$5:$K$504,'PAGOS'!$C$5:$C$504,A160,'PAGOS'!$Q$5:$Q$504,"Aplicar",'PAGOS'!$B$5:$B$504,"&lt;="&amp;'AJUSTES'!$B$4))</x:f>
      </x:c>
      <x:c r="H160" s="28" t="str">
        <x:f>IF(C160="","",IF(AND(ISNUMBER(O160),O160&lt;='AJUSTES'!$B$4),0,IF(OR(P160&lt;&gt;"Incluir",NOT(ISNUMBER(E160)),B160="",B160&gt;'AJUSTES'!$B$4,S160&gt;0),"",MAX(0,ROUND(E160-G160,2)))))</x:f>
      </x:c>
      <x:c r="I160" s="22" t="str">
        <x:f>IF(C160="","",IF(P160="Anulada","Anulada",IF(B160&gt;'AJUSTES'!$B$4,"Posterior al corte",IF(NOT(ISNUMBER(H160)),"Por conciliar",IF(H160&lt;='AJUSTES'!$B$10,"Pagado",IF(J160&gt;0,"Moroso","Vigente"))))))</x:f>
      </x:c>
      <x:c r="J160" s="22" t="str">
        <x:f>IF(OR(C160="",NOT(ISNUMBER(H160)),NOT(ISNUMBER(N160))),"",IF(H160&gt;'AJUSTES'!$B$10,MAX(0,'AJUSTES'!$B$4-N160),0))</x:f>
      </x:c>
      <x:c r="K160" s="27" t="str"/>
      <x:c r="L160" s="26" t="str"/>
      <x:c r="M160" s="26" t="str">
        <x:f>IF(C160="","",'AJUSTES'!$B$5)</x:f>
      </x:c>
      <x:c r="N160" s="29" t="str">
        <x:f>IF(OR(NOT(ISNUMBER(B160)),NOT(ISNUMBER(M160))),"",B160+M160)</x:f>
      </x:c>
      <x:c r="O160" s="25" t="str"/>
      <x:c r="P160" s="26" t="str">
        <x:v>Incluir</x:v>
      </x:c>
      <x:c r="Q160" s="22" t="str"/>
      <x:c r="R160" s="22" t="str"/>
      <x:c r="S160" s="22" t="str">
        <x:f>IF(C160="","",COUNTIFS('PAGOS'!$C$5:$C$504,A160,'PAGOS'!$B$5:$B$504,"&gt;0",'PAGOS'!$B$5:$B$504,"&lt;="&amp;'AJUSTES'!$B$4,'PAGOS'!$N$5:$N$504,"Incluir",'PAGOS'!$Q$5:$Q$504,"&lt;&gt;Aplicar"))</x:f>
      </x:c>
      <x:c r="T160" s="28" t="str">
        <x:f>IF(AND(C160&lt;&gt;"",ISNUMBER(O160),O160&lt;='AJUSTES'!$B$4,ISNUMBER(E160)),ROUND(E160-G160,2),"")</x:f>
      </x:c>
    </x:row>
    <x:row r="161" ht="25" customHeight="1">
      <x:c r="A161" s="22" t="str">
        <x:v>V-157</x:v>
      </x:c>
      <x:c r="B161" s="25" t="str"/>
      <x:c r="C161" s="26" t="str"/>
      <x:c r="D161" s="26" t="str"/>
      <x:c r="E161" s="27" t="str"/>
      <x:c r="F161" s="26" t="str"/>
      <x:c r="G161" s="28" t="str">
        <x:f>IF(C161="","",SUMIFS('PAGOS'!$K$5:$K$504,'PAGOS'!$C$5:$C$504,A161,'PAGOS'!$Q$5:$Q$504,"Aplicar",'PAGOS'!$B$5:$B$504,"&lt;="&amp;'AJUSTES'!$B$4))</x:f>
      </x:c>
      <x:c r="H161" s="28" t="str">
        <x:f>IF(C161="","",IF(AND(ISNUMBER(O161),O161&lt;='AJUSTES'!$B$4),0,IF(OR(P161&lt;&gt;"Incluir",NOT(ISNUMBER(E161)),B161="",B161&gt;'AJUSTES'!$B$4,S161&gt;0),"",MAX(0,ROUND(E161-G161,2)))))</x:f>
      </x:c>
      <x:c r="I161" s="22" t="str">
        <x:f>IF(C161="","",IF(P161="Anulada","Anulada",IF(B161&gt;'AJUSTES'!$B$4,"Posterior al corte",IF(NOT(ISNUMBER(H161)),"Por conciliar",IF(H161&lt;='AJUSTES'!$B$10,"Pagado",IF(J161&gt;0,"Moroso","Vigente"))))))</x:f>
      </x:c>
      <x:c r="J161" s="22" t="str">
        <x:f>IF(OR(C161="",NOT(ISNUMBER(H161)),NOT(ISNUMBER(N161))),"",IF(H161&gt;'AJUSTES'!$B$10,MAX(0,'AJUSTES'!$B$4-N161),0))</x:f>
      </x:c>
      <x:c r="K161" s="27" t="str"/>
      <x:c r="L161" s="26" t="str"/>
      <x:c r="M161" s="26" t="str">
        <x:f>IF(C161="","",'AJUSTES'!$B$5)</x:f>
      </x:c>
      <x:c r="N161" s="29" t="str">
        <x:f>IF(OR(NOT(ISNUMBER(B161)),NOT(ISNUMBER(M161))),"",B161+M161)</x:f>
      </x:c>
      <x:c r="O161" s="25" t="str"/>
      <x:c r="P161" s="26" t="str">
        <x:v>Incluir</x:v>
      </x:c>
      <x:c r="Q161" s="22" t="str"/>
      <x:c r="R161" s="22" t="str"/>
      <x:c r="S161" s="22" t="str">
        <x:f>IF(C161="","",COUNTIFS('PAGOS'!$C$5:$C$504,A161,'PAGOS'!$B$5:$B$504,"&gt;0",'PAGOS'!$B$5:$B$504,"&lt;="&amp;'AJUSTES'!$B$4,'PAGOS'!$N$5:$N$504,"Incluir",'PAGOS'!$Q$5:$Q$504,"&lt;&gt;Aplicar"))</x:f>
      </x:c>
      <x:c r="T161" s="28" t="str">
        <x:f>IF(AND(C161&lt;&gt;"",ISNUMBER(O161),O161&lt;='AJUSTES'!$B$4,ISNUMBER(E161)),ROUND(E161-G161,2),"")</x:f>
      </x:c>
    </x:row>
    <x:row r="162" ht="25" customHeight="1">
      <x:c r="A162" s="22" t="str">
        <x:v>V-158</x:v>
      </x:c>
      <x:c r="B162" s="25" t="str"/>
      <x:c r="C162" s="26" t="str"/>
      <x:c r="D162" s="26" t="str"/>
      <x:c r="E162" s="27" t="str"/>
      <x:c r="F162" s="26" t="str"/>
      <x:c r="G162" s="28" t="str">
        <x:f>IF(C162="","",SUMIFS('PAGOS'!$K$5:$K$504,'PAGOS'!$C$5:$C$504,A162,'PAGOS'!$Q$5:$Q$504,"Aplicar",'PAGOS'!$B$5:$B$504,"&lt;="&amp;'AJUSTES'!$B$4))</x:f>
      </x:c>
      <x:c r="H162" s="28" t="str">
        <x:f>IF(C162="","",IF(AND(ISNUMBER(O162),O162&lt;='AJUSTES'!$B$4),0,IF(OR(P162&lt;&gt;"Incluir",NOT(ISNUMBER(E162)),B162="",B162&gt;'AJUSTES'!$B$4,S162&gt;0),"",MAX(0,ROUND(E162-G162,2)))))</x:f>
      </x:c>
      <x:c r="I162" s="22" t="str">
        <x:f>IF(C162="","",IF(P162="Anulada","Anulada",IF(B162&gt;'AJUSTES'!$B$4,"Posterior al corte",IF(NOT(ISNUMBER(H162)),"Por conciliar",IF(H162&lt;='AJUSTES'!$B$10,"Pagado",IF(J162&gt;0,"Moroso","Vigente"))))))</x:f>
      </x:c>
      <x:c r="J162" s="22" t="str">
        <x:f>IF(OR(C162="",NOT(ISNUMBER(H162)),NOT(ISNUMBER(N162))),"",IF(H162&gt;'AJUSTES'!$B$10,MAX(0,'AJUSTES'!$B$4-N162),0))</x:f>
      </x:c>
      <x:c r="K162" s="27" t="str"/>
      <x:c r="L162" s="26" t="str"/>
      <x:c r="M162" s="26" t="str">
        <x:f>IF(C162="","",'AJUSTES'!$B$5)</x:f>
      </x:c>
      <x:c r="N162" s="29" t="str">
        <x:f>IF(OR(NOT(ISNUMBER(B162)),NOT(ISNUMBER(M162))),"",B162+M162)</x:f>
      </x:c>
      <x:c r="O162" s="25" t="str"/>
      <x:c r="P162" s="26" t="str">
        <x:v>Incluir</x:v>
      </x:c>
      <x:c r="Q162" s="22" t="str"/>
      <x:c r="R162" s="22" t="str"/>
      <x:c r="S162" s="22" t="str">
        <x:f>IF(C162="","",COUNTIFS('PAGOS'!$C$5:$C$504,A162,'PAGOS'!$B$5:$B$504,"&gt;0",'PAGOS'!$B$5:$B$504,"&lt;="&amp;'AJUSTES'!$B$4,'PAGOS'!$N$5:$N$504,"Incluir",'PAGOS'!$Q$5:$Q$504,"&lt;&gt;Aplicar"))</x:f>
      </x:c>
      <x:c r="T162" s="28" t="str">
        <x:f>IF(AND(C162&lt;&gt;"",ISNUMBER(O162),O162&lt;='AJUSTES'!$B$4,ISNUMBER(E162)),ROUND(E162-G162,2),"")</x:f>
      </x:c>
    </x:row>
    <x:row r="163" ht="25" customHeight="1">
      <x:c r="A163" s="22" t="str">
        <x:v>V-159</x:v>
      </x:c>
      <x:c r="B163" s="25" t="str"/>
      <x:c r="C163" s="26" t="str"/>
      <x:c r="D163" s="26" t="str"/>
      <x:c r="E163" s="27" t="str"/>
      <x:c r="F163" s="26" t="str"/>
      <x:c r="G163" s="28" t="str">
        <x:f>IF(C163="","",SUMIFS('PAGOS'!$K$5:$K$504,'PAGOS'!$C$5:$C$504,A163,'PAGOS'!$Q$5:$Q$504,"Aplicar",'PAGOS'!$B$5:$B$504,"&lt;="&amp;'AJUSTES'!$B$4))</x:f>
      </x:c>
      <x:c r="H163" s="28" t="str">
        <x:f>IF(C163="","",IF(AND(ISNUMBER(O163),O163&lt;='AJUSTES'!$B$4),0,IF(OR(P163&lt;&gt;"Incluir",NOT(ISNUMBER(E163)),B163="",B163&gt;'AJUSTES'!$B$4,S163&gt;0),"",MAX(0,ROUND(E163-G163,2)))))</x:f>
      </x:c>
      <x:c r="I163" s="22" t="str">
        <x:f>IF(C163="","",IF(P163="Anulada","Anulada",IF(B163&gt;'AJUSTES'!$B$4,"Posterior al corte",IF(NOT(ISNUMBER(H163)),"Por conciliar",IF(H163&lt;='AJUSTES'!$B$10,"Pagado",IF(J163&gt;0,"Moroso","Vigente"))))))</x:f>
      </x:c>
      <x:c r="J163" s="22" t="str">
        <x:f>IF(OR(C163="",NOT(ISNUMBER(H163)),NOT(ISNUMBER(N163))),"",IF(H163&gt;'AJUSTES'!$B$10,MAX(0,'AJUSTES'!$B$4-N163),0))</x:f>
      </x:c>
      <x:c r="K163" s="27" t="str"/>
      <x:c r="L163" s="26" t="str"/>
      <x:c r="M163" s="26" t="str">
        <x:f>IF(C163="","",'AJUSTES'!$B$5)</x:f>
      </x:c>
      <x:c r="N163" s="29" t="str">
        <x:f>IF(OR(NOT(ISNUMBER(B163)),NOT(ISNUMBER(M163))),"",B163+M163)</x:f>
      </x:c>
      <x:c r="O163" s="25" t="str"/>
      <x:c r="P163" s="26" t="str">
        <x:v>Incluir</x:v>
      </x:c>
      <x:c r="Q163" s="22" t="str"/>
      <x:c r="R163" s="22" t="str"/>
      <x:c r="S163" s="22" t="str">
        <x:f>IF(C163="","",COUNTIFS('PAGOS'!$C$5:$C$504,A163,'PAGOS'!$B$5:$B$504,"&gt;0",'PAGOS'!$B$5:$B$504,"&lt;="&amp;'AJUSTES'!$B$4,'PAGOS'!$N$5:$N$504,"Incluir",'PAGOS'!$Q$5:$Q$504,"&lt;&gt;Aplicar"))</x:f>
      </x:c>
      <x:c r="T163" s="28" t="str">
        <x:f>IF(AND(C163&lt;&gt;"",ISNUMBER(O163),O163&lt;='AJUSTES'!$B$4,ISNUMBER(E163)),ROUND(E163-G163,2),"")</x:f>
      </x:c>
    </x:row>
    <x:row r="164" ht="25" customHeight="1">
      <x:c r="A164" s="22" t="str">
        <x:v>V-160</x:v>
      </x:c>
      <x:c r="B164" s="25" t="str"/>
      <x:c r="C164" s="26" t="str"/>
      <x:c r="D164" s="26" t="str"/>
      <x:c r="E164" s="27" t="str"/>
      <x:c r="F164" s="26" t="str"/>
      <x:c r="G164" s="28" t="str">
        <x:f>IF(C164="","",SUMIFS('PAGOS'!$K$5:$K$504,'PAGOS'!$C$5:$C$504,A164,'PAGOS'!$Q$5:$Q$504,"Aplicar",'PAGOS'!$B$5:$B$504,"&lt;="&amp;'AJUSTES'!$B$4))</x:f>
      </x:c>
      <x:c r="H164" s="28" t="str">
        <x:f>IF(C164="","",IF(AND(ISNUMBER(O164),O164&lt;='AJUSTES'!$B$4),0,IF(OR(P164&lt;&gt;"Incluir",NOT(ISNUMBER(E164)),B164="",B164&gt;'AJUSTES'!$B$4,S164&gt;0),"",MAX(0,ROUND(E164-G164,2)))))</x:f>
      </x:c>
      <x:c r="I164" s="22" t="str">
        <x:f>IF(C164="","",IF(P164="Anulada","Anulada",IF(B164&gt;'AJUSTES'!$B$4,"Posterior al corte",IF(NOT(ISNUMBER(H164)),"Por conciliar",IF(H164&lt;='AJUSTES'!$B$10,"Pagado",IF(J164&gt;0,"Moroso","Vigente"))))))</x:f>
      </x:c>
      <x:c r="J164" s="22" t="str">
        <x:f>IF(OR(C164="",NOT(ISNUMBER(H164)),NOT(ISNUMBER(N164))),"",IF(H164&gt;'AJUSTES'!$B$10,MAX(0,'AJUSTES'!$B$4-N164),0))</x:f>
      </x:c>
      <x:c r="K164" s="27" t="str"/>
      <x:c r="L164" s="26" t="str"/>
      <x:c r="M164" s="26" t="str">
        <x:f>IF(C164="","",'AJUSTES'!$B$5)</x:f>
      </x:c>
      <x:c r="N164" s="29" t="str">
        <x:f>IF(OR(NOT(ISNUMBER(B164)),NOT(ISNUMBER(M164))),"",B164+M164)</x:f>
      </x:c>
      <x:c r="O164" s="25" t="str"/>
      <x:c r="P164" s="26" t="str">
        <x:v>Incluir</x:v>
      </x:c>
      <x:c r="Q164" s="22" t="str"/>
      <x:c r="R164" s="22" t="str"/>
      <x:c r="S164" s="22" t="str">
        <x:f>IF(C164="","",COUNTIFS('PAGOS'!$C$5:$C$504,A164,'PAGOS'!$B$5:$B$504,"&gt;0",'PAGOS'!$B$5:$B$504,"&lt;="&amp;'AJUSTES'!$B$4,'PAGOS'!$N$5:$N$504,"Incluir",'PAGOS'!$Q$5:$Q$504,"&lt;&gt;Aplicar"))</x:f>
      </x:c>
      <x:c r="T164" s="28" t="str">
        <x:f>IF(AND(C164&lt;&gt;"",ISNUMBER(O164),O164&lt;='AJUSTES'!$B$4,ISNUMBER(E164)),ROUND(E164-G164,2),"")</x:f>
      </x:c>
    </x:row>
    <x:row r="165" ht="25" customHeight="1">
      <x:c r="A165" s="22" t="str">
        <x:v>V-161</x:v>
      </x:c>
      <x:c r="B165" s="25" t="str"/>
      <x:c r="C165" s="26" t="str"/>
      <x:c r="D165" s="26" t="str"/>
      <x:c r="E165" s="27" t="str"/>
      <x:c r="F165" s="26" t="str"/>
      <x:c r="G165" s="28" t="str">
        <x:f>IF(C165="","",SUMIFS('PAGOS'!$K$5:$K$504,'PAGOS'!$C$5:$C$504,A165,'PAGOS'!$Q$5:$Q$504,"Aplicar",'PAGOS'!$B$5:$B$504,"&lt;="&amp;'AJUSTES'!$B$4))</x:f>
      </x:c>
      <x:c r="H165" s="28" t="str">
        <x:f>IF(C165="","",IF(AND(ISNUMBER(O165),O165&lt;='AJUSTES'!$B$4),0,IF(OR(P165&lt;&gt;"Incluir",NOT(ISNUMBER(E165)),B165="",B165&gt;'AJUSTES'!$B$4,S165&gt;0),"",MAX(0,ROUND(E165-G165,2)))))</x:f>
      </x:c>
      <x:c r="I165" s="22" t="str">
        <x:f>IF(C165="","",IF(P165="Anulada","Anulada",IF(B165&gt;'AJUSTES'!$B$4,"Posterior al corte",IF(NOT(ISNUMBER(H165)),"Por conciliar",IF(H165&lt;='AJUSTES'!$B$10,"Pagado",IF(J165&gt;0,"Moroso","Vigente"))))))</x:f>
      </x:c>
      <x:c r="J165" s="22" t="str">
        <x:f>IF(OR(C165="",NOT(ISNUMBER(H165)),NOT(ISNUMBER(N165))),"",IF(H165&gt;'AJUSTES'!$B$10,MAX(0,'AJUSTES'!$B$4-N165),0))</x:f>
      </x:c>
      <x:c r="K165" s="27" t="str"/>
      <x:c r="L165" s="26" t="str"/>
      <x:c r="M165" s="26" t="str">
        <x:f>IF(C165="","",'AJUSTES'!$B$5)</x:f>
      </x:c>
      <x:c r="N165" s="29" t="str">
        <x:f>IF(OR(NOT(ISNUMBER(B165)),NOT(ISNUMBER(M165))),"",B165+M165)</x:f>
      </x:c>
      <x:c r="O165" s="25" t="str"/>
      <x:c r="P165" s="26" t="str">
        <x:v>Incluir</x:v>
      </x:c>
      <x:c r="Q165" s="22" t="str"/>
      <x:c r="R165" s="22" t="str"/>
      <x:c r="S165" s="22" t="str">
        <x:f>IF(C165="","",COUNTIFS('PAGOS'!$C$5:$C$504,A165,'PAGOS'!$B$5:$B$504,"&gt;0",'PAGOS'!$B$5:$B$504,"&lt;="&amp;'AJUSTES'!$B$4,'PAGOS'!$N$5:$N$504,"Incluir",'PAGOS'!$Q$5:$Q$504,"&lt;&gt;Aplicar"))</x:f>
      </x:c>
      <x:c r="T165" s="28" t="str">
        <x:f>IF(AND(C165&lt;&gt;"",ISNUMBER(O165),O165&lt;='AJUSTES'!$B$4,ISNUMBER(E165)),ROUND(E165-G165,2),"")</x:f>
      </x:c>
    </x:row>
    <x:row r="166" ht="25" customHeight="1">
      <x:c r="A166" s="22" t="str">
        <x:v>V-162</x:v>
      </x:c>
      <x:c r="B166" s="25" t="str"/>
      <x:c r="C166" s="26" t="str"/>
      <x:c r="D166" s="26" t="str"/>
      <x:c r="E166" s="27" t="str"/>
      <x:c r="F166" s="26" t="str"/>
      <x:c r="G166" s="28" t="str">
        <x:f>IF(C166="","",SUMIFS('PAGOS'!$K$5:$K$504,'PAGOS'!$C$5:$C$504,A166,'PAGOS'!$Q$5:$Q$504,"Aplicar",'PAGOS'!$B$5:$B$504,"&lt;="&amp;'AJUSTES'!$B$4))</x:f>
      </x:c>
      <x:c r="H166" s="28" t="str">
        <x:f>IF(C166="","",IF(AND(ISNUMBER(O166),O166&lt;='AJUSTES'!$B$4),0,IF(OR(P166&lt;&gt;"Incluir",NOT(ISNUMBER(E166)),B166="",B166&gt;'AJUSTES'!$B$4,S166&gt;0),"",MAX(0,ROUND(E166-G166,2)))))</x:f>
      </x:c>
      <x:c r="I166" s="22" t="str">
        <x:f>IF(C166="","",IF(P166="Anulada","Anulada",IF(B166&gt;'AJUSTES'!$B$4,"Posterior al corte",IF(NOT(ISNUMBER(H166)),"Por conciliar",IF(H166&lt;='AJUSTES'!$B$10,"Pagado",IF(J166&gt;0,"Moroso","Vigente"))))))</x:f>
      </x:c>
      <x:c r="J166" s="22" t="str">
        <x:f>IF(OR(C166="",NOT(ISNUMBER(H166)),NOT(ISNUMBER(N166))),"",IF(H166&gt;'AJUSTES'!$B$10,MAX(0,'AJUSTES'!$B$4-N166),0))</x:f>
      </x:c>
      <x:c r="K166" s="27" t="str"/>
      <x:c r="L166" s="26" t="str"/>
      <x:c r="M166" s="26" t="str">
        <x:f>IF(C166="","",'AJUSTES'!$B$5)</x:f>
      </x:c>
      <x:c r="N166" s="29" t="str">
        <x:f>IF(OR(NOT(ISNUMBER(B166)),NOT(ISNUMBER(M166))),"",B166+M166)</x:f>
      </x:c>
      <x:c r="O166" s="25" t="str"/>
      <x:c r="P166" s="26" t="str">
        <x:v>Incluir</x:v>
      </x:c>
      <x:c r="Q166" s="22" t="str"/>
      <x:c r="R166" s="22" t="str"/>
      <x:c r="S166" s="22" t="str">
        <x:f>IF(C166="","",COUNTIFS('PAGOS'!$C$5:$C$504,A166,'PAGOS'!$B$5:$B$504,"&gt;0",'PAGOS'!$B$5:$B$504,"&lt;="&amp;'AJUSTES'!$B$4,'PAGOS'!$N$5:$N$504,"Incluir",'PAGOS'!$Q$5:$Q$504,"&lt;&gt;Aplicar"))</x:f>
      </x:c>
      <x:c r="T166" s="28" t="str">
        <x:f>IF(AND(C166&lt;&gt;"",ISNUMBER(O166),O166&lt;='AJUSTES'!$B$4,ISNUMBER(E166)),ROUND(E166-G166,2),"")</x:f>
      </x:c>
    </x:row>
    <x:row r="167" ht="25" customHeight="1">
      <x:c r="A167" s="22" t="str">
        <x:v>V-163</x:v>
      </x:c>
      <x:c r="B167" s="25" t="str"/>
      <x:c r="C167" s="26" t="str"/>
      <x:c r="D167" s="26" t="str"/>
      <x:c r="E167" s="27" t="str"/>
      <x:c r="F167" s="26" t="str"/>
      <x:c r="G167" s="28" t="str">
        <x:f>IF(C167="","",SUMIFS('PAGOS'!$K$5:$K$504,'PAGOS'!$C$5:$C$504,A167,'PAGOS'!$Q$5:$Q$504,"Aplicar",'PAGOS'!$B$5:$B$504,"&lt;="&amp;'AJUSTES'!$B$4))</x:f>
      </x:c>
      <x:c r="H167" s="28" t="str">
        <x:f>IF(C167="","",IF(AND(ISNUMBER(O167),O167&lt;='AJUSTES'!$B$4),0,IF(OR(P167&lt;&gt;"Incluir",NOT(ISNUMBER(E167)),B167="",B167&gt;'AJUSTES'!$B$4,S167&gt;0),"",MAX(0,ROUND(E167-G167,2)))))</x:f>
      </x:c>
      <x:c r="I167" s="22" t="str">
        <x:f>IF(C167="","",IF(P167="Anulada","Anulada",IF(B167&gt;'AJUSTES'!$B$4,"Posterior al corte",IF(NOT(ISNUMBER(H167)),"Por conciliar",IF(H167&lt;='AJUSTES'!$B$10,"Pagado",IF(J167&gt;0,"Moroso","Vigente"))))))</x:f>
      </x:c>
      <x:c r="J167" s="22" t="str">
        <x:f>IF(OR(C167="",NOT(ISNUMBER(H167)),NOT(ISNUMBER(N167))),"",IF(H167&gt;'AJUSTES'!$B$10,MAX(0,'AJUSTES'!$B$4-N167),0))</x:f>
      </x:c>
      <x:c r="K167" s="27" t="str"/>
      <x:c r="L167" s="26" t="str"/>
      <x:c r="M167" s="26" t="str">
        <x:f>IF(C167="","",'AJUSTES'!$B$5)</x:f>
      </x:c>
      <x:c r="N167" s="29" t="str">
        <x:f>IF(OR(NOT(ISNUMBER(B167)),NOT(ISNUMBER(M167))),"",B167+M167)</x:f>
      </x:c>
      <x:c r="O167" s="25" t="str"/>
      <x:c r="P167" s="26" t="str">
        <x:v>Incluir</x:v>
      </x:c>
      <x:c r="Q167" s="22" t="str"/>
      <x:c r="R167" s="22" t="str"/>
      <x:c r="S167" s="22" t="str">
        <x:f>IF(C167="","",COUNTIFS('PAGOS'!$C$5:$C$504,A167,'PAGOS'!$B$5:$B$504,"&gt;0",'PAGOS'!$B$5:$B$504,"&lt;="&amp;'AJUSTES'!$B$4,'PAGOS'!$N$5:$N$504,"Incluir",'PAGOS'!$Q$5:$Q$504,"&lt;&gt;Aplicar"))</x:f>
      </x:c>
      <x:c r="T167" s="28" t="str">
        <x:f>IF(AND(C167&lt;&gt;"",ISNUMBER(O167),O167&lt;='AJUSTES'!$B$4,ISNUMBER(E167)),ROUND(E167-G167,2),"")</x:f>
      </x:c>
    </x:row>
    <x:row r="168" ht="25" customHeight="1">
      <x:c r="A168" s="22" t="str">
        <x:v>V-164</x:v>
      </x:c>
      <x:c r="B168" s="25" t="str"/>
      <x:c r="C168" s="26" t="str"/>
      <x:c r="D168" s="26" t="str"/>
      <x:c r="E168" s="27" t="str"/>
      <x:c r="F168" s="26" t="str"/>
      <x:c r="G168" s="28" t="str">
        <x:f>IF(C168="","",SUMIFS('PAGOS'!$K$5:$K$504,'PAGOS'!$C$5:$C$504,A168,'PAGOS'!$Q$5:$Q$504,"Aplicar",'PAGOS'!$B$5:$B$504,"&lt;="&amp;'AJUSTES'!$B$4))</x:f>
      </x:c>
      <x:c r="H168" s="28" t="str">
        <x:f>IF(C168="","",IF(AND(ISNUMBER(O168),O168&lt;='AJUSTES'!$B$4),0,IF(OR(P168&lt;&gt;"Incluir",NOT(ISNUMBER(E168)),B168="",B168&gt;'AJUSTES'!$B$4,S168&gt;0),"",MAX(0,ROUND(E168-G168,2)))))</x:f>
      </x:c>
      <x:c r="I168" s="22" t="str">
        <x:f>IF(C168="","",IF(P168="Anulada","Anulada",IF(B168&gt;'AJUSTES'!$B$4,"Posterior al corte",IF(NOT(ISNUMBER(H168)),"Por conciliar",IF(H168&lt;='AJUSTES'!$B$10,"Pagado",IF(J168&gt;0,"Moroso","Vigente"))))))</x:f>
      </x:c>
      <x:c r="J168" s="22" t="str">
        <x:f>IF(OR(C168="",NOT(ISNUMBER(H168)),NOT(ISNUMBER(N168))),"",IF(H168&gt;'AJUSTES'!$B$10,MAX(0,'AJUSTES'!$B$4-N168),0))</x:f>
      </x:c>
      <x:c r="K168" s="27" t="str"/>
      <x:c r="L168" s="26" t="str"/>
      <x:c r="M168" s="26" t="str">
        <x:f>IF(C168="","",'AJUSTES'!$B$5)</x:f>
      </x:c>
      <x:c r="N168" s="29" t="str">
        <x:f>IF(OR(NOT(ISNUMBER(B168)),NOT(ISNUMBER(M168))),"",B168+M168)</x:f>
      </x:c>
      <x:c r="O168" s="25" t="str"/>
      <x:c r="P168" s="26" t="str">
        <x:v>Incluir</x:v>
      </x:c>
      <x:c r="Q168" s="22" t="str"/>
      <x:c r="R168" s="22" t="str"/>
      <x:c r="S168" s="22" t="str">
        <x:f>IF(C168="","",COUNTIFS('PAGOS'!$C$5:$C$504,A168,'PAGOS'!$B$5:$B$504,"&gt;0",'PAGOS'!$B$5:$B$504,"&lt;="&amp;'AJUSTES'!$B$4,'PAGOS'!$N$5:$N$504,"Incluir",'PAGOS'!$Q$5:$Q$504,"&lt;&gt;Aplicar"))</x:f>
      </x:c>
      <x:c r="T168" s="28" t="str">
        <x:f>IF(AND(C168&lt;&gt;"",ISNUMBER(O168),O168&lt;='AJUSTES'!$B$4,ISNUMBER(E168)),ROUND(E168-G168,2),"")</x:f>
      </x:c>
    </x:row>
    <x:row r="169" ht="25" customHeight="1">
      <x:c r="A169" s="22" t="str">
        <x:v>V-165</x:v>
      </x:c>
      <x:c r="B169" s="25" t="str"/>
      <x:c r="C169" s="26" t="str"/>
      <x:c r="D169" s="26" t="str"/>
      <x:c r="E169" s="27" t="str"/>
      <x:c r="F169" s="26" t="str"/>
      <x:c r="G169" s="28" t="str">
        <x:f>IF(C169="","",SUMIFS('PAGOS'!$K$5:$K$504,'PAGOS'!$C$5:$C$504,A169,'PAGOS'!$Q$5:$Q$504,"Aplicar",'PAGOS'!$B$5:$B$504,"&lt;="&amp;'AJUSTES'!$B$4))</x:f>
      </x:c>
      <x:c r="H169" s="28" t="str">
        <x:f>IF(C169="","",IF(AND(ISNUMBER(O169),O169&lt;='AJUSTES'!$B$4),0,IF(OR(P169&lt;&gt;"Incluir",NOT(ISNUMBER(E169)),B169="",B169&gt;'AJUSTES'!$B$4,S169&gt;0),"",MAX(0,ROUND(E169-G169,2)))))</x:f>
      </x:c>
      <x:c r="I169" s="22" t="str">
        <x:f>IF(C169="","",IF(P169="Anulada","Anulada",IF(B169&gt;'AJUSTES'!$B$4,"Posterior al corte",IF(NOT(ISNUMBER(H169)),"Por conciliar",IF(H169&lt;='AJUSTES'!$B$10,"Pagado",IF(J169&gt;0,"Moroso","Vigente"))))))</x:f>
      </x:c>
      <x:c r="J169" s="22" t="str">
        <x:f>IF(OR(C169="",NOT(ISNUMBER(H169)),NOT(ISNUMBER(N169))),"",IF(H169&gt;'AJUSTES'!$B$10,MAX(0,'AJUSTES'!$B$4-N169),0))</x:f>
      </x:c>
      <x:c r="K169" s="27" t="str"/>
      <x:c r="L169" s="26" t="str"/>
      <x:c r="M169" s="26" t="str">
        <x:f>IF(C169="","",'AJUSTES'!$B$5)</x:f>
      </x:c>
      <x:c r="N169" s="29" t="str">
        <x:f>IF(OR(NOT(ISNUMBER(B169)),NOT(ISNUMBER(M169))),"",B169+M169)</x:f>
      </x:c>
      <x:c r="O169" s="25" t="str"/>
      <x:c r="P169" s="26" t="str">
        <x:v>Incluir</x:v>
      </x:c>
      <x:c r="Q169" s="22" t="str"/>
      <x:c r="R169" s="22" t="str"/>
      <x:c r="S169" s="22" t="str">
        <x:f>IF(C169="","",COUNTIFS('PAGOS'!$C$5:$C$504,A169,'PAGOS'!$B$5:$B$504,"&gt;0",'PAGOS'!$B$5:$B$504,"&lt;="&amp;'AJUSTES'!$B$4,'PAGOS'!$N$5:$N$504,"Incluir",'PAGOS'!$Q$5:$Q$504,"&lt;&gt;Aplicar"))</x:f>
      </x:c>
      <x:c r="T169" s="28" t="str">
        <x:f>IF(AND(C169&lt;&gt;"",ISNUMBER(O169),O169&lt;='AJUSTES'!$B$4,ISNUMBER(E169)),ROUND(E169-G169,2),"")</x:f>
      </x:c>
    </x:row>
    <x:row r="170" ht="25" customHeight="1">
      <x:c r="A170" s="22" t="str">
        <x:v>V-166</x:v>
      </x:c>
      <x:c r="B170" s="25" t="str"/>
      <x:c r="C170" s="26" t="str"/>
      <x:c r="D170" s="26" t="str"/>
      <x:c r="E170" s="27" t="str"/>
      <x:c r="F170" s="26" t="str"/>
      <x:c r="G170" s="28" t="str">
        <x:f>IF(C170="","",SUMIFS('PAGOS'!$K$5:$K$504,'PAGOS'!$C$5:$C$504,A170,'PAGOS'!$Q$5:$Q$504,"Aplicar",'PAGOS'!$B$5:$B$504,"&lt;="&amp;'AJUSTES'!$B$4))</x:f>
      </x:c>
      <x:c r="H170" s="28" t="str">
        <x:f>IF(C170="","",IF(AND(ISNUMBER(O170),O170&lt;='AJUSTES'!$B$4),0,IF(OR(P170&lt;&gt;"Incluir",NOT(ISNUMBER(E170)),B170="",B170&gt;'AJUSTES'!$B$4,S170&gt;0),"",MAX(0,ROUND(E170-G170,2)))))</x:f>
      </x:c>
      <x:c r="I170" s="22" t="str">
        <x:f>IF(C170="","",IF(P170="Anulada","Anulada",IF(B170&gt;'AJUSTES'!$B$4,"Posterior al corte",IF(NOT(ISNUMBER(H170)),"Por conciliar",IF(H170&lt;='AJUSTES'!$B$10,"Pagado",IF(J170&gt;0,"Moroso","Vigente"))))))</x:f>
      </x:c>
      <x:c r="J170" s="22" t="str">
        <x:f>IF(OR(C170="",NOT(ISNUMBER(H170)),NOT(ISNUMBER(N170))),"",IF(H170&gt;'AJUSTES'!$B$10,MAX(0,'AJUSTES'!$B$4-N170),0))</x:f>
      </x:c>
      <x:c r="K170" s="27" t="str"/>
      <x:c r="L170" s="26" t="str"/>
      <x:c r="M170" s="26" t="str">
        <x:f>IF(C170="","",'AJUSTES'!$B$5)</x:f>
      </x:c>
      <x:c r="N170" s="29" t="str">
        <x:f>IF(OR(NOT(ISNUMBER(B170)),NOT(ISNUMBER(M170))),"",B170+M170)</x:f>
      </x:c>
      <x:c r="O170" s="25" t="str"/>
      <x:c r="P170" s="26" t="str">
        <x:v>Incluir</x:v>
      </x:c>
      <x:c r="Q170" s="22" t="str"/>
      <x:c r="R170" s="22" t="str"/>
      <x:c r="S170" s="22" t="str">
        <x:f>IF(C170="","",COUNTIFS('PAGOS'!$C$5:$C$504,A170,'PAGOS'!$B$5:$B$504,"&gt;0",'PAGOS'!$B$5:$B$504,"&lt;="&amp;'AJUSTES'!$B$4,'PAGOS'!$N$5:$N$504,"Incluir",'PAGOS'!$Q$5:$Q$504,"&lt;&gt;Aplicar"))</x:f>
      </x:c>
      <x:c r="T170" s="28" t="str">
        <x:f>IF(AND(C170&lt;&gt;"",ISNUMBER(O170),O170&lt;='AJUSTES'!$B$4,ISNUMBER(E170)),ROUND(E170-G170,2),"")</x:f>
      </x:c>
    </x:row>
    <x:row r="171" ht="25" customHeight="1">
      <x:c r="A171" s="22" t="str">
        <x:v>V-167</x:v>
      </x:c>
      <x:c r="B171" s="25" t="str"/>
      <x:c r="C171" s="26" t="str"/>
      <x:c r="D171" s="26" t="str"/>
      <x:c r="E171" s="27" t="str"/>
      <x:c r="F171" s="26" t="str"/>
      <x:c r="G171" s="28" t="str">
        <x:f>IF(C171="","",SUMIFS('PAGOS'!$K$5:$K$504,'PAGOS'!$C$5:$C$504,A171,'PAGOS'!$Q$5:$Q$504,"Aplicar",'PAGOS'!$B$5:$B$504,"&lt;="&amp;'AJUSTES'!$B$4))</x:f>
      </x:c>
      <x:c r="H171" s="28" t="str">
        <x:f>IF(C171="","",IF(AND(ISNUMBER(O171),O171&lt;='AJUSTES'!$B$4),0,IF(OR(P171&lt;&gt;"Incluir",NOT(ISNUMBER(E171)),B171="",B171&gt;'AJUSTES'!$B$4,S171&gt;0),"",MAX(0,ROUND(E171-G171,2)))))</x:f>
      </x:c>
      <x:c r="I171" s="22" t="str">
        <x:f>IF(C171="","",IF(P171="Anulada","Anulada",IF(B171&gt;'AJUSTES'!$B$4,"Posterior al corte",IF(NOT(ISNUMBER(H171)),"Por conciliar",IF(H171&lt;='AJUSTES'!$B$10,"Pagado",IF(J171&gt;0,"Moroso","Vigente"))))))</x:f>
      </x:c>
      <x:c r="J171" s="22" t="str">
        <x:f>IF(OR(C171="",NOT(ISNUMBER(H171)),NOT(ISNUMBER(N171))),"",IF(H171&gt;'AJUSTES'!$B$10,MAX(0,'AJUSTES'!$B$4-N171),0))</x:f>
      </x:c>
      <x:c r="K171" s="27" t="str"/>
      <x:c r="L171" s="26" t="str"/>
      <x:c r="M171" s="26" t="str">
        <x:f>IF(C171="","",'AJUSTES'!$B$5)</x:f>
      </x:c>
      <x:c r="N171" s="29" t="str">
        <x:f>IF(OR(NOT(ISNUMBER(B171)),NOT(ISNUMBER(M171))),"",B171+M171)</x:f>
      </x:c>
      <x:c r="O171" s="25" t="str"/>
      <x:c r="P171" s="26" t="str">
        <x:v>Incluir</x:v>
      </x:c>
      <x:c r="Q171" s="22" t="str"/>
      <x:c r="R171" s="22" t="str"/>
      <x:c r="S171" s="22" t="str">
        <x:f>IF(C171="","",COUNTIFS('PAGOS'!$C$5:$C$504,A171,'PAGOS'!$B$5:$B$504,"&gt;0",'PAGOS'!$B$5:$B$504,"&lt;="&amp;'AJUSTES'!$B$4,'PAGOS'!$N$5:$N$504,"Incluir",'PAGOS'!$Q$5:$Q$504,"&lt;&gt;Aplicar"))</x:f>
      </x:c>
      <x:c r="T171" s="28" t="str">
        <x:f>IF(AND(C171&lt;&gt;"",ISNUMBER(O171),O171&lt;='AJUSTES'!$B$4,ISNUMBER(E171)),ROUND(E171-G171,2),"")</x:f>
      </x:c>
    </x:row>
    <x:row r="172" ht="25" customHeight="1">
      <x:c r="A172" s="22" t="str">
        <x:v>V-168</x:v>
      </x:c>
      <x:c r="B172" s="25" t="str"/>
      <x:c r="C172" s="26" t="str"/>
      <x:c r="D172" s="26" t="str"/>
      <x:c r="E172" s="27" t="str"/>
      <x:c r="F172" s="26" t="str"/>
      <x:c r="G172" s="28" t="str">
        <x:f>IF(C172="","",SUMIFS('PAGOS'!$K$5:$K$504,'PAGOS'!$C$5:$C$504,A172,'PAGOS'!$Q$5:$Q$504,"Aplicar",'PAGOS'!$B$5:$B$504,"&lt;="&amp;'AJUSTES'!$B$4))</x:f>
      </x:c>
      <x:c r="H172" s="28" t="str">
        <x:f>IF(C172="","",IF(AND(ISNUMBER(O172),O172&lt;='AJUSTES'!$B$4),0,IF(OR(P172&lt;&gt;"Incluir",NOT(ISNUMBER(E172)),B172="",B172&gt;'AJUSTES'!$B$4,S172&gt;0),"",MAX(0,ROUND(E172-G172,2)))))</x:f>
      </x:c>
      <x:c r="I172" s="22" t="str">
        <x:f>IF(C172="","",IF(P172="Anulada","Anulada",IF(B172&gt;'AJUSTES'!$B$4,"Posterior al corte",IF(NOT(ISNUMBER(H172)),"Por conciliar",IF(H172&lt;='AJUSTES'!$B$10,"Pagado",IF(J172&gt;0,"Moroso","Vigente"))))))</x:f>
      </x:c>
      <x:c r="J172" s="22" t="str">
        <x:f>IF(OR(C172="",NOT(ISNUMBER(H172)),NOT(ISNUMBER(N172))),"",IF(H172&gt;'AJUSTES'!$B$10,MAX(0,'AJUSTES'!$B$4-N172),0))</x:f>
      </x:c>
      <x:c r="K172" s="27" t="str"/>
      <x:c r="L172" s="26" t="str"/>
      <x:c r="M172" s="26" t="str">
        <x:f>IF(C172="","",'AJUSTES'!$B$5)</x:f>
      </x:c>
      <x:c r="N172" s="29" t="str">
        <x:f>IF(OR(NOT(ISNUMBER(B172)),NOT(ISNUMBER(M172))),"",B172+M172)</x:f>
      </x:c>
      <x:c r="O172" s="25" t="str"/>
      <x:c r="P172" s="26" t="str">
        <x:v>Incluir</x:v>
      </x:c>
      <x:c r="Q172" s="22" t="str"/>
      <x:c r="R172" s="22" t="str"/>
      <x:c r="S172" s="22" t="str">
        <x:f>IF(C172="","",COUNTIFS('PAGOS'!$C$5:$C$504,A172,'PAGOS'!$B$5:$B$504,"&gt;0",'PAGOS'!$B$5:$B$504,"&lt;="&amp;'AJUSTES'!$B$4,'PAGOS'!$N$5:$N$504,"Incluir",'PAGOS'!$Q$5:$Q$504,"&lt;&gt;Aplicar"))</x:f>
      </x:c>
      <x:c r="T172" s="28" t="str">
        <x:f>IF(AND(C172&lt;&gt;"",ISNUMBER(O172),O172&lt;='AJUSTES'!$B$4,ISNUMBER(E172)),ROUND(E172-G172,2),"")</x:f>
      </x:c>
    </x:row>
    <x:row r="173" ht="25" customHeight="1">
      <x:c r="A173" s="22" t="str">
        <x:v>V-169</x:v>
      </x:c>
      <x:c r="B173" s="25" t="str"/>
      <x:c r="C173" s="26" t="str"/>
      <x:c r="D173" s="26" t="str"/>
      <x:c r="E173" s="27" t="str"/>
      <x:c r="F173" s="26" t="str"/>
      <x:c r="G173" s="28" t="str">
        <x:f>IF(C173="","",SUMIFS('PAGOS'!$K$5:$K$504,'PAGOS'!$C$5:$C$504,A173,'PAGOS'!$Q$5:$Q$504,"Aplicar",'PAGOS'!$B$5:$B$504,"&lt;="&amp;'AJUSTES'!$B$4))</x:f>
      </x:c>
      <x:c r="H173" s="28" t="str">
        <x:f>IF(C173="","",IF(AND(ISNUMBER(O173),O173&lt;='AJUSTES'!$B$4),0,IF(OR(P173&lt;&gt;"Incluir",NOT(ISNUMBER(E173)),B173="",B173&gt;'AJUSTES'!$B$4,S173&gt;0),"",MAX(0,ROUND(E173-G173,2)))))</x:f>
      </x:c>
      <x:c r="I173" s="22" t="str">
        <x:f>IF(C173="","",IF(P173="Anulada","Anulada",IF(B173&gt;'AJUSTES'!$B$4,"Posterior al corte",IF(NOT(ISNUMBER(H173)),"Por conciliar",IF(H173&lt;='AJUSTES'!$B$10,"Pagado",IF(J173&gt;0,"Moroso","Vigente"))))))</x:f>
      </x:c>
      <x:c r="J173" s="22" t="str">
        <x:f>IF(OR(C173="",NOT(ISNUMBER(H173)),NOT(ISNUMBER(N173))),"",IF(H173&gt;'AJUSTES'!$B$10,MAX(0,'AJUSTES'!$B$4-N173),0))</x:f>
      </x:c>
      <x:c r="K173" s="27" t="str"/>
      <x:c r="L173" s="26" t="str"/>
      <x:c r="M173" s="26" t="str">
        <x:f>IF(C173="","",'AJUSTES'!$B$5)</x:f>
      </x:c>
      <x:c r="N173" s="29" t="str">
        <x:f>IF(OR(NOT(ISNUMBER(B173)),NOT(ISNUMBER(M173))),"",B173+M173)</x:f>
      </x:c>
      <x:c r="O173" s="25" t="str"/>
      <x:c r="P173" s="26" t="str">
        <x:v>Incluir</x:v>
      </x:c>
      <x:c r="Q173" s="22" t="str"/>
      <x:c r="R173" s="22" t="str"/>
      <x:c r="S173" s="22" t="str">
        <x:f>IF(C173="","",COUNTIFS('PAGOS'!$C$5:$C$504,A173,'PAGOS'!$B$5:$B$504,"&gt;0",'PAGOS'!$B$5:$B$504,"&lt;="&amp;'AJUSTES'!$B$4,'PAGOS'!$N$5:$N$504,"Incluir",'PAGOS'!$Q$5:$Q$504,"&lt;&gt;Aplicar"))</x:f>
      </x:c>
      <x:c r="T173" s="28" t="str">
        <x:f>IF(AND(C173&lt;&gt;"",ISNUMBER(O173),O173&lt;='AJUSTES'!$B$4,ISNUMBER(E173)),ROUND(E173-G173,2),"")</x:f>
      </x:c>
    </x:row>
    <x:row r="174" ht="25" customHeight="1">
      <x:c r="A174" s="22" t="str">
        <x:v>V-170</x:v>
      </x:c>
      <x:c r="B174" s="25" t="str"/>
      <x:c r="C174" s="26" t="str"/>
      <x:c r="D174" s="26" t="str"/>
      <x:c r="E174" s="27" t="str"/>
      <x:c r="F174" s="26" t="str"/>
      <x:c r="G174" s="28" t="str">
        <x:f>IF(C174="","",SUMIFS('PAGOS'!$K$5:$K$504,'PAGOS'!$C$5:$C$504,A174,'PAGOS'!$Q$5:$Q$504,"Aplicar",'PAGOS'!$B$5:$B$504,"&lt;="&amp;'AJUSTES'!$B$4))</x:f>
      </x:c>
      <x:c r="H174" s="28" t="str">
        <x:f>IF(C174="","",IF(AND(ISNUMBER(O174),O174&lt;='AJUSTES'!$B$4),0,IF(OR(P174&lt;&gt;"Incluir",NOT(ISNUMBER(E174)),B174="",B174&gt;'AJUSTES'!$B$4,S174&gt;0),"",MAX(0,ROUND(E174-G174,2)))))</x:f>
      </x:c>
      <x:c r="I174" s="22" t="str">
        <x:f>IF(C174="","",IF(P174="Anulada","Anulada",IF(B174&gt;'AJUSTES'!$B$4,"Posterior al corte",IF(NOT(ISNUMBER(H174)),"Por conciliar",IF(H174&lt;='AJUSTES'!$B$10,"Pagado",IF(J174&gt;0,"Moroso","Vigente"))))))</x:f>
      </x:c>
      <x:c r="J174" s="22" t="str">
        <x:f>IF(OR(C174="",NOT(ISNUMBER(H174)),NOT(ISNUMBER(N174))),"",IF(H174&gt;'AJUSTES'!$B$10,MAX(0,'AJUSTES'!$B$4-N174),0))</x:f>
      </x:c>
      <x:c r="K174" s="27" t="str"/>
      <x:c r="L174" s="26" t="str"/>
      <x:c r="M174" s="26" t="str">
        <x:f>IF(C174="","",'AJUSTES'!$B$5)</x:f>
      </x:c>
      <x:c r="N174" s="29" t="str">
        <x:f>IF(OR(NOT(ISNUMBER(B174)),NOT(ISNUMBER(M174))),"",B174+M174)</x:f>
      </x:c>
      <x:c r="O174" s="25" t="str"/>
      <x:c r="P174" s="26" t="str">
        <x:v>Incluir</x:v>
      </x:c>
      <x:c r="Q174" s="22" t="str"/>
      <x:c r="R174" s="22" t="str"/>
      <x:c r="S174" s="22" t="str">
        <x:f>IF(C174="","",COUNTIFS('PAGOS'!$C$5:$C$504,A174,'PAGOS'!$B$5:$B$504,"&gt;0",'PAGOS'!$B$5:$B$504,"&lt;="&amp;'AJUSTES'!$B$4,'PAGOS'!$N$5:$N$504,"Incluir",'PAGOS'!$Q$5:$Q$504,"&lt;&gt;Aplicar"))</x:f>
      </x:c>
      <x:c r="T174" s="28" t="str">
        <x:f>IF(AND(C174&lt;&gt;"",ISNUMBER(O174),O174&lt;='AJUSTES'!$B$4,ISNUMBER(E174)),ROUND(E174-G174,2),"")</x:f>
      </x:c>
    </x:row>
    <x:row r="175" ht="25" customHeight="1">
      <x:c r="A175" s="22" t="str">
        <x:v>V-171</x:v>
      </x:c>
      <x:c r="B175" s="25" t="str"/>
      <x:c r="C175" s="26" t="str"/>
      <x:c r="D175" s="26" t="str"/>
      <x:c r="E175" s="27" t="str"/>
      <x:c r="F175" s="26" t="str"/>
      <x:c r="G175" s="28" t="str">
        <x:f>IF(C175="","",SUMIFS('PAGOS'!$K$5:$K$504,'PAGOS'!$C$5:$C$504,A175,'PAGOS'!$Q$5:$Q$504,"Aplicar",'PAGOS'!$B$5:$B$504,"&lt;="&amp;'AJUSTES'!$B$4))</x:f>
      </x:c>
      <x:c r="H175" s="28" t="str">
        <x:f>IF(C175="","",IF(AND(ISNUMBER(O175),O175&lt;='AJUSTES'!$B$4),0,IF(OR(P175&lt;&gt;"Incluir",NOT(ISNUMBER(E175)),B175="",B175&gt;'AJUSTES'!$B$4,S175&gt;0),"",MAX(0,ROUND(E175-G175,2)))))</x:f>
      </x:c>
      <x:c r="I175" s="22" t="str">
        <x:f>IF(C175="","",IF(P175="Anulada","Anulada",IF(B175&gt;'AJUSTES'!$B$4,"Posterior al corte",IF(NOT(ISNUMBER(H175)),"Por conciliar",IF(H175&lt;='AJUSTES'!$B$10,"Pagado",IF(J175&gt;0,"Moroso","Vigente"))))))</x:f>
      </x:c>
      <x:c r="J175" s="22" t="str">
        <x:f>IF(OR(C175="",NOT(ISNUMBER(H175)),NOT(ISNUMBER(N175))),"",IF(H175&gt;'AJUSTES'!$B$10,MAX(0,'AJUSTES'!$B$4-N175),0))</x:f>
      </x:c>
      <x:c r="K175" s="27" t="str"/>
      <x:c r="L175" s="26" t="str"/>
      <x:c r="M175" s="26" t="str">
        <x:f>IF(C175="","",'AJUSTES'!$B$5)</x:f>
      </x:c>
      <x:c r="N175" s="29" t="str">
        <x:f>IF(OR(NOT(ISNUMBER(B175)),NOT(ISNUMBER(M175))),"",B175+M175)</x:f>
      </x:c>
      <x:c r="O175" s="25" t="str"/>
      <x:c r="P175" s="26" t="str">
        <x:v>Incluir</x:v>
      </x:c>
      <x:c r="Q175" s="22" t="str"/>
      <x:c r="R175" s="22" t="str"/>
      <x:c r="S175" s="22" t="str">
        <x:f>IF(C175="","",COUNTIFS('PAGOS'!$C$5:$C$504,A175,'PAGOS'!$B$5:$B$504,"&gt;0",'PAGOS'!$B$5:$B$504,"&lt;="&amp;'AJUSTES'!$B$4,'PAGOS'!$N$5:$N$504,"Incluir",'PAGOS'!$Q$5:$Q$504,"&lt;&gt;Aplicar"))</x:f>
      </x:c>
      <x:c r="T175" s="28" t="str">
        <x:f>IF(AND(C175&lt;&gt;"",ISNUMBER(O175),O175&lt;='AJUSTES'!$B$4,ISNUMBER(E175)),ROUND(E175-G175,2),"")</x:f>
      </x:c>
    </x:row>
    <x:row r="176" ht="25" customHeight="1">
      <x:c r="A176" s="22" t="str">
        <x:v>V-172</x:v>
      </x:c>
      <x:c r="B176" s="25" t="str"/>
      <x:c r="C176" s="26" t="str"/>
      <x:c r="D176" s="26" t="str"/>
      <x:c r="E176" s="27" t="str"/>
      <x:c r="F176" s="26" t="str"/>
      <x:c r="G176" s="28" t="str">
        <x:f>IF(C176="","",SUMIFS('PAGOS'!$K$5:$K$504,'PAGOS'!$C$5:$C$504,A176,'PAGOS'!$Q$5:$Q$504,"Aplicar",'PAGOS'!$B$5:$B$504,"&lt;="&amp;'AJUSTES'!$B$4))</x:f>
      </x:c>
      <x:c r="H176" s="28" t="str">
        <x:f>IF(C176="","",IF(AND(ISNUMBER(O176),O176&lt;='AJUSTES'!$B$4),0,IF(OR(P176&lt;&gt;"Incluir",NOT(ISNUMBER(E176)),B176="",B176&gt;'AJUSTES'!$B$4,S176&gt;0),"",MAX(0,ROUND(E176-G176,2)))))</x:f>
      </x:c>
      <x:c r="I176" s="22" t="str">
        <x:f>IF(C176="","",IF(P176="Anulada","Anulada",IF(B176&gt;'AJUSTES'!$B$4,"Posterior al corte",IF(NOT(ISNUMBER(H176)),"Por conciliar",IF(H176&lt;='AJUSTES'!$B$10,"Pagado",IF(J176&gt;0,"Moroso","Vigente"))))))</x:f>
      </x:c>
      <x:c r="J176" s="22" t="str">
        <x:f>IF(OR(C176="",NOT(ISNUMBER(H176)),NOT(ISNUMBER(N176))),"",IF(H176&gt;'AJUSTES'!$B$10,MAX(0,'AJUSTES'!$B$4-N176),0))</x:f>
      </x:c>
      <x:c r="K176" s="27" t="str"/>
      <x:c r="L176" s="26" t="str"/>
      <x:c r="M176" s="26" t="str">
        <x:f>IF(C176="","",'AJUSTES'!$B$5)</x:f>
      </x:c>
      <x:c r="N176" s="29" t="str">
        <x:f>IF(OR(NOT(ISNUMBER(B176)),NOT(ISNUMBER(M176))),"",B176+M176)</x:f>
      </x:c>
      <x:c r="O176" s="25" t="str"/>
      <x:c r="P176" s="26" t="str">
        <x:v>Incluir</x:v>
      </x:c>
      <x:c r="Q176" s="22" t="str"/>
      <x:c r="R176" s="22" t="str"/>
      <x:c r="S176" s="22" t="str">
        <x:f>IF(C176="","",COUNTIFS('PAGOS'!$C$5:$C$504,A176,'PAGOS'!$B$5:$B$504,"&gt;0",'PAGOS'!$B$5:$B$504,"&lt;="&amp;'AJUSTES'!$B$4,'PAGOS'!$N$5:$N$504,"Incluir",'PAGOS'!$Q$5:$Q$504,"&lt;&gt;Aplicar"))</x:f>
      </x:c>
      <x:c r="T176" s="28" t="str">
        <x:f>IF(AND(C176&lt;&gt;"",ISNUMBER(O176),O176&lt;='AJUSTES'!$B$4,ISNUMBER(E176)),ROUND(E176-G176,2),"")</x:f>
      </x:c>
    </x:row>
    <x:row r="177" ht="25" customHeight="1">
      <x:c r="A177" s="22" t="str">
        <x:v>V-173</x:v>
      </x:c>
      <x:c r="B177" s="25" t="str"/>
      <x:c r="C177" s="26" t="str"/>
      <x:c r="D177" s="26" t="str"/>
      <x:c r="E177" s="27" t="str"/>
      <x:c r="F177" s="26" t="str"/>
      <x:c r="G177" s="28" t="str">
        <x:f>IF(C177="","",SUMIFS('PAGOS'!$K$5:$K$504,'PAGOS'!$C$5:$C$504,A177,'PAGOS'!$Q$5:$Q$504,"Aplicar",'PAGOS'!$B$5:$B$504,"&lt;="&amp;'AJUSTES'!$B$4))</x:f>
      </x:c>
      <x:c r="H177" s="28" t="str">
        <x:f>IF(C177="","",IF(AND(ISNUMBER(O177),O177&lt;='AJUSTES'!$B$4),0,IF(OR(P177&lt;&gt;"Incluir",NOT(ISNUMBER(E177)),B177="",B177&gt;'AJUSTES'!$B$4,S177&gt;0),"",MAX(0,ROUND(E177-G177,2)))))</x:f>
      </x:c>
      <x:c r="I177" s="22" t="str">
        <x:f>IF(C177="","",IF(P177="Anulada","Anulada",IF(B177&gt;'AJUSTES'!$B$4,"Posterior al corte",IF(NOT(ISNUMBER(H177)),"Por conciliar",IF(H177&lt;='AJUSTES'!$B$10,"Pagado",IF(J177&gt;0,"Moroso","Vigente"))))))</x:f>
      </x:c>
      <x:c r="J177" s="22" t="str">
        <x:f>IF(OR(C177="",NOT(ISNUMBER(H177)),NOT(ISNUMBER(N177))),"",IF(H177&gt;'AJUSTES'!$B$10,MAX(0,'AJUSTES'!$B$4-N177),0))</x:f>
      </x:c>
      <x:c r="K177" s="27" t="str"/>
      <x:c r="L177" s="26" t="str"/>
      <x:c r="M177" s="26" t="str">
        <x:f>IF(C177="","",'AJUSTES'!$B$5)</x:f>
      </x:c>
      <x:c r="N177" s="29" t="str">
        <x:f>IF(OR(NOT(ISNUMBER(B177)),NOT(ISNUMBER(M177))),"",B177+M177)</x:f>
      </x:c>
      <x:c r="O177" s="25" t="str"/>
      <x:c r="P177" s="26" t="str">
        <x:v>Incluir</x:v>
      </x:c>
      <x:c r="Q177" s="22" t="str"/>
      <x:c r="R177" s="22" t="str"/>
      <x:c r="S177" s="22" t="str">
        <x:f>IF(C177="","",COUNTIFS('PAGOS'!$C$5:$C$504,A177,'PAGOS'!$B$5:$B$504,"&gt;0",'PAGOS'!$B$5:$B$504,"&lt;="&amp;'AJUSTES'!$B$4,'PAGOS'!$N$5:$N$504,"Incluir",'PAGOS'!$Q$5:$Q$504,"&lt;&gt;Aplicar"))</x:f>
      </x:c>
      <x:c r="T177" s="28" t="str">
        <x:f>IF(AND(C177&lt;&gt;"",ISNUMBER(O177),O177&lt;='AJUSTES'!$B$4,ISNUMBER(E177)),ROUND(E177-G177,2),"")</x:f>
      </x:c>
    </x:row>
    <x:row r="178" ht="25" customHeight="1">
      <x:c r="A178" s="22" t="str">
        <x:v>V-174</x:v>
      </x:c>
      <x:c r="B178" s="25" t="str"/>
      <x:c r="C178" s="26" t="str"/>
      <x:c r="D178" s="26" t="str"/>
      <x:c r="E178" s="27" t="str"/>
      <x:c r="F178" s="26" t="str"/>
      <x:c r="G178" s="28" t="str">
        <x:f>IF(C178="","",SUMIFS('PAGOS'!$K$5:$K$504,'PAGOS'!$C$5:$C$504,A178,'PAGOS'!$Q$5:$Q$504,"Aplicar",'PAGOS'!$B$5:$B$504,"&lt;="&amp;'AJUSTES'!$B$4))</x:f>
      </x:c>
      <x:c r="H178" s="28" t="str">
        <x:f>IF(C178="","",IF(AND(ISNUMBER(O178),O178&lt;='AJUSTES'!$B$4),0,IF(OR(P178&lt;&gt;"Incluir",NOT(ISNUMBER(E178)),B178="",B178&gt;'AJUSTES'!$B$4,S178&gt;0),"",MAX(0,ROUND(E178-G178,2)))))</x:f>
      </x:c>
      <x:c r="I178" s="22" t="str">
        <x:f>IF(C178="","",IF(P178="Anulada","Anulada",IF(B178&gt;'AJUSTES'!$B$4,"Posterior al corte",IF(NOT(ISNUMBER(H178)),"Por conciliar",IF(H178&lt;='AJUSTES'!$B$10,"Pagado",IF(J178&gt;0,"Moroso","Vigente"))))))</x:f>
      </x:c>
      <x:c r="J178" s="22" t="str">
        <x:f>IF(OR(C178="",NOT(ISNUMBER(H178)),NOT(ISNUMBER(N178))),"",IF(H178&gt;'AJUSTES'!$B$10,MAX(0,'AJUSTES'!$B$4-N178),0))</x:f>
      </x:c>
      <x:c r="K178" s="27" t="str"/>
      <x:c r="L178" s="26" t="str"/>
      <x:c r="M178" s="26" t="str">
        <x:f>IF(C178="","",'AJUSTES'!$B$5)</x:f>
      </x:c>
      <x:c r="N178" s="29" t="str">
        <x:f>IF(OR(NOT(ISNUMBER(B178)),NOT(ISNUMBER(M178))),"",B178+M178)</x:f>
      </x:c>
      <x:c r="O178" s="25" t="str"/>
      <x:c r="P178" s="26" t="str">
        <x:v>Incluir</x:v>
      </x:c>
      <x:c r="Q178" s="22" t="str"/>
      <x:c r="R178" s="22" t="str"/>
      <x:c r="S178" s="22" t="str">
        <x:f>IF(C178="","",COUNTIFS('PAGOS'!$C$5:$C$504,A178,'PAGOS'!$B$5:$B$504,"&gt;0",'PAGOS'!$B$5:$B$504,"&lt;="&amp;'AJUSTES'!$B$4,'PAGOS'!$N$5:$N$504,"Incluir",'PAGOS'!$Q$5:$Q$504,"&lt;&gt;Aplicar"))</x:f>
      </x:c>
      <x:c r="T178" s="28" t="str">
        <x:f>IF(AND(C178&lt;&gt;"",ISNUMBER(O178),O178&lt;='AJUSTES'!$B$4,ISNUMBER(E178)),ROUND(E178-G178,2),"")</x:f>
      </x:c>
    </x:row>
    <x:row r="179" ht="25" customHeight="1">
      <x:c r="A179" s="22" t="str">
        <x:v>V-175</x:v>
      </x:c>
      <x:c r="B179" s="25" t="str"/>
      <x:c r="C179" s="26" t="str"/>
      <x:c r="D179" s="26" t="str"/>
      <x:c r="E179" s="27" t="str"/>
      <x:c r="F179" s="26" t="str"/>
      <x:c r="G179" s="28" t="str">
        <x:f>IF(C179="","",SUMIFS('PAGOS'!$K$5:$K$504,'PAGOS'!$C$5:$C$504,A179,'PAGOS'!$Q$5:$Q$504,"Aplicar",'PAGOS'!$B$5:$B$504,"&lt;="&amp;'AJUSTES'!$B$4))</x:f>
      </x:c>
      <x:c r="H179" s="28" t="str">
        <x:f>IF(C179="","",IF(AND(ISNUMBER(O179),O179&lt;='AJUSTES'!$B$4),0,IF(OR(P179&lt;&gt;"Incluir",NOT(ISNUMBER(E179)),B179="",B179&gt;'AJUSTES'!$B$4,S179&gt;0),"",MAX(0,ROUND(E179-G179,2)))))</x:f>
      </x:c>
      <x:c r="I179" s="22" t="str">
        <x:f>IF(C179="","",IF(P179="Anulada","Anulada",IF(B179&gt;'AJUSTES'!$B$4,"Posterior al corte",IF(NOT(ISNUMBER(H179)),"Por conciliar",IF(H179&lt;='AJUSTES'!$B$10,"Pagado",IF(J179&gt;0,"Moroso","Vigente"))))))</x:f>
      </x:c>
      <x:c r="J179" s="22" t="str">
        <x:f>IF(OR(C179="",NOT(ISNUMBER(H179)),NOT(ISNUMBER(N179))),"",IF(H179&gt;'AJUSTES'!$B$10,MAX(0,'AJUSTES'!$B$4-N179),0))</x:f>
      </x:c>
      <x:c r="K179" s="27" t="str"/>
      <x:c r="L179" s="26" t="str"/>
      <x:c r="M179" s="26" t="str">
        <x:f>IF(C179="","",'AJUSTES'!$B$5)</x:f>
      </x:c>
      <x:c r="N179" s="29" t="str">
        <x:f>IF(OR(NOT(ISNUMBER(B179)),NOT(ISNUMBER(M179))),"",B179+M179)</x:f>
      </x:c>
      <x:c r="O179" s="25" t="str"/>
      <x:c r="P179" s="26" t="str">
        <x:v>Incluir</x:v>
      </x:c>
      <x:c r="Q179" s="22" t="str"/>
      <x:c r="R179" s="22" t="str"/>
      <x:c r="S179" s="22" t="str">
        <x:f>IF(C179="","",COUNTIFS('PAGOS'!$C$5:$C$504,A179,'PAGOS'!$B$5:$B$504,"&gt;0",'PAGOS'!$B$5:$B$504,"&lt;="&amp;'AJUSTES'!$B$4,'PAGOS'!$N$5:$N$504,"Incluir",'PAGOS'!$Q$5:$Q$504,"&lt;&gt;Aplicar"))</x:f>
      </x:c>
      <x:c r="T179" s="28" t="str">
        <x:f>IF(AND(C179&lt;&gt;"",ISNUMBER(O179),O179&lt;='AJUSTES'!$B$4,ISNUMBER(E179)),ROUND(E179-G179,2),"")</x:f>
      </x:c>
    </x:row>
    <x:row r="180" ht="25" customHeight="1">
      <x:c r="A180" s="22" t="str">
        <x:v>V-176</x:v>
      </x:c>
      <x:c r="B180" s="25" t="str"/>
      <x:c r="C180" s="26" t="str"/>
      <x:c r="D180" s="26" t="str"/>
      <x:c r="E180" s="27" t="str"/>
      <x:c r="F180" s="26" t="str"/>
      <x:c r="G180" s="28" t="str">
        <x:f>IF(C180="","",SUMIFS('PAGOS'!$K$5:$K$504,'PAGOS'!$C$5:$C$504,A180,'PAGOS'!$Q$5:$Q$504,"Aplicar",'PAGOS'!$B$5:$B$504,"&lt;="&amp;'AJUSTES'!$B$4))</x:f>
      </x:c>
      <x:c r="H180" s="28" t="str">
        <x:f>IF(C180="","",IF(AND(ISNUMBER(O180),O180&lt;='AJUSTES'!$B$4),0,IF(OR(P180&lt;&gt;"Incluir",NOT(ISNUMBER(E180)),B180="",B180&gt;'AJUSTES'!$B$4,S180&gt;0),"",MAX(0,ROUND(E180-G180,2)))))</x:f>
      </x:c>
      <x:c r="I180" s="22" t="str">
        <x:f>IF(C180="","",IF(P180="Anulada","Anulada",IF(B180&gt;'AJUSTES'!$B$4,"Posterior al corte",IF(NOT(ISNUMBER(H180)),"Por conciliar",IF(H180&lt;='AJUSTES'!$B$10,"Pagado",IF(J180&gt;0,"Moroso","Vigente"))))))</x:f>
      </x:c>
      <x:c r="J180" s="22" t="str">
        <x:f>IF(OR(C180="",NOT(ISNUMBER(H180)),NOT(ISNUMBER(N180))),"",IF(H180&gt;'AJUSTES'!$B$10,MAX(0,'AJUSTES'!$B$4-N180),0))</x:f>
      </x:c>
      <x:c r="K180" s="27" t="str"/>
      <x:c r="L180" s="26" t="str"/>
      <x:c r="M180" s="26" t="str">
        <x:f>IF(C180="","",'AJUSTES'!$B$5)</x:f>
      </x:c>
      <x:c r="N180" s="29" t="str">
        <x:f>IF(OR(NOT(ISNUMBER(B180)),NOT(ISNUMBER(M180))),"",B180+M180)</x:f>
      </x:c>
      <x:c r="O180" s="25" t="str"/>
      <x:c r="P180" s="26" t="str">
        <x:v>Incluir</x:v>
      </x:c>
      <x:c r="Q180" s="22" t="str"/>
      <x:c r="R180" s="22" t="str"/>
      <x:c r="S180" s="22" t="str">
        <x:f>IF(C180="","",COUNTIFS('PAGOS'!$C$5:$C$504,A180,'PAGOS'!$B$5:$B$504,"&gt;0",'PAGOS'!$B$5:$B$504,"&lt;="&amp;'AJUSTES'!$B$4,'PAGOS'!$N$5:$N$504,"Incluir",'PAGOS'!$Q$5:$Q$504,"&lt;&gt;Aplicar"))</x:f>
      </x:c>
      <x:c r="T180" s="28" t="str">
        <x:f>IF(AND(C180&lt;&gt;"",ISNUMBER(O180),O180&lt;='AJUSTES'!$B$4,ISNUMBER(E180)),ROUND(E180-G180,2),"")</x:f>
      </x:c>
    </x:row>
    <x:row r="181" ht="25" customHeight="1">
      <x:c r="A181" s="22" t="str">
        <x:v>V-177</x:v>
      </x:c>
      <x:c r="B181" s="25" t="str"/>
      <x:c r="C181" s="26" t="str"/>
      <x:c r="D181" s="26" t="str"/>
      <x:c r="E181" s="27" t="str"/>
      <x:c r="F181" s="26" t="str"/>
      <x:c r="G181" s="28" t="str">
        <x:f>IF(C181="","",SUMIFS('PAGOS'!$K$5:$K$504,'PAGOS'!$C$5:$C$504,A181,'PAGOS'!$Q$5:$Q$504,"Aplicar",'PAGOS'!$B$5:$B$504,"&lt;="&amp;'AJUSTES'!$B$4))</x:f>
      </x:c>
      <x:c r="H181" s="28" t="str">
        <x:f>IF(C181="","",IF(AND(ISNUMBER(O181),O181&lt;='AJUSTES'!$B$4),0,IF(OR(P181&lt;&gt;"Incluir",NOT(ISNUMBER(E181)),B181="",B181&gt;'AJUSTES'!$B$4,S181&gt;0),"",MAX(0,ROUND(E181-G181,2)))))</x:f>
      </x:c>
      <x:c r="I181" s="22" t="str">
        <x:f>IF(C181="","",IF(P181="Anulada","Anulada",IF(B181&gt;'AJUSTES'!$B$4,"Posterior al corte",IF(NOT(ISNUMBER(H181)),"Por conciliar",IF(H181&lt;='AJUSTES'!$B$10,"Pagado",IF(J181&gt;0,"Moroso","Vigente"))))))</x:f>
      </x:c>
      <x:c r="J181" s="22" t="str">
        <x:f>IF(OR(C181="",NOT(ISNUMBER(H181)),NOT(ISNUMBER(N181))),"",IF(H181&gt;'AJUSTES'!$B$10,MAX(0,'AJUSTES'!$B$4-N181),0))</x:f>
      </x:c>
      <x:c r="K181" s="27" t="str"/>
      <x:c r="L181" s="26" t="str"/>
      <x:c r="M181" s="26" t="str">
        <x:f>IF(C181="","",'AJUSTES'!$B$5)</x:f>
      </x:c>
      <x:c r="N181" s="29" t="str">
        <x:f>IF(OR(NOT(ISNUMBER(B181)),NOT(ISNUMBER(M181))),"",B181+M181)</x:f>
      </x:c>
      <x:c r="O181" s="25" t="str"/>
      <x:c r="P181" s="26" t="str">
        <x:v>Incluir</x:v>
      </x:c>
      <x:c r="Q181" s="22" t="str"/>
      <x:c r="R181" s="22" t="str"/>
      <x:c r="S181" s="22" t="str">
        <x:f>IF(C181="","",COUNTIFS('PAGOS'!$C$5:$C$504,A181,'PAGOS'!$B$5:$B$504,"&gt;0",'PAGOS'!$B$5:$B$504,"&lt;="&amp;'AJUSTES'!$B$4,'PAGOS'!$N$5:$N$504,"Incluir",'PAGOS'!$Q$5:$Q$504,"&lt;&gt;Aplicar"))</x:f>
      </x:c>
      <x:c r="T181" s="28" t="str">
        <x:f>IF(AND(C181&lt;&gt;"",ISNUMBER(O181),O181&lt;='AJUSTES'!$B$4,ISNUMBER(E181)),ROUND(E181-G181,2),"")</x:f>
      </x:c>
    </x:row>
    <x:row r="182" ht="25" customHeight="1">
      <x:c r="A182" s="22" t="str">
        <x:v>V-178</x:v>
      </x:c>
      <x:c r="B182" s="25" t="str"/>
      <x:c r="C182" s="26" t="str"/>
      <x:c r="D182" s="26" t="str"/>
      <x:c r="E182" s="27" t="str"/>
      <x:c r="F182" s="26" t="str"/>
      <x:c r="G182" s="28" t="str">
        <x:f>IF(C182="","",SUMIFS('PAGOS'!$K$5:$K$504,'PAGOS'!$C$5:$C$504,A182,'PAGOS'!$Q$5:$Q$504,"Aplicar",'PAGOS'!$B$5:$B$504,"&lt;="&amp;'AJUSTES'!$B$4))</x:f>
      </x:c>
      <x:c r="H182" s="28" t="str">
        <x:f>IF(C182="","",IF(AND(ISNUMBER(O182),O182&lt;='AJUSTES'!$B$4),0,IF(OR(P182&lt;&gt;"Incluir",NOT(ISNUMBER(E182)),B182="",B182&gt;'AJUSTES'!$B$4,S182&gt;0),"",MAX(0,ROUND(E182-G182,2)))))</x:f>
      </x:c>
      <x:c r="I182" s="22" t="str">
        <x:f>IF(C182="","",IF(P182="Anulada","Anulada",IF(B182&gt;'AJUSTES'!$B$4,"Posterior al corte",IF(NOT(ISNUMBER(H182)),"Por conciliar",IF(H182&lt;='AJUSTES'!$B$10,"Pagado",IF(J182&gt;0,"Moroso","Vigente"))))))</x:f>
      </x:c>
      <x:c r="J182" s="22" t="str">
        <x:f>IF(OR(C182="",NOT(ISNUMBER(H182)),NOT(ISNUMBER(N182))),"",IF(H182&gt;'AJUSTES'!$B$10,MAX(0,'AJUSTES'!$B$4-N182),0))</x:f>
      </x:c>
      <x:c r="K182" s="27" t="str"/>
      <x:c r="L182" s="26" t="str"/>
      <x:c r="M182" s="26" t="str">
        <x:f>IF(C182="","",'AJUSTES'!$B$5)</x:f>
      </x:c>
      <x:c r="N182" s="29" t="str">
        <x:f>IF(OR(NOT(ISNUMBER(B182)),NOT(ISNUMBER(M182))),"",B182+M182)</x:f>
      </x:c>
      <x:c r="O182" s="25" t="str"/>
      <x:c r="P182" s="26" t="str">
        <x:v>Incluir</x:v>
      </x:c>
      <x:c r="Q182" s="22" t="str"/>
      <x:c r="R182" s="22" t="str"/>
      <x:c r="S182" s="22" t="str">
        <x:f>IF(C182="","",COUNTIFS('PAGOS'!$C$5:$C$504,A182,'PAGOS'!$B$5:$B$504,"&gt;0",'PAGOS'!$B$5:$B$504,"&lt;="&amp;'AJUSTES'!$B$4,'PAGOS'!$N$5:$N$504,"Incluir",'PAGOS'!$Q$5:$Q$504,"&lt;&gt;Aplicar"))</x:f>
      </x:c>
      <x:c r="T182" s="28" t="str">
        <x:f>IF(AND(C182&lt;&gt;"",ISNUMBER(O182),O182&lt;='AJUSTES'!$B$4,ISNUMBER(E182)),ROUND(E182-G182,2),"")</x:f>
      </x:c>
    </x:row>
    <x:row r="183" ht="25" customHeight="1">
      <x:c r="A183" s="22" t="str">
        <x:v>V-179</x:v>
      </x:c>
      <x:c r="B183" s="25" t="str"/>
      <x:c r="C183" s="26" t="str"/>
      <x:c r="D183" s="26" t="str"/>
      <x:c r="E183" s="27" t="str"/>
      <x:c r="F183" s="26" t="str"/>
      <x:c r="G183" s="28" t="str">
        <x:f>IF(C183="","",SUMIFS('PAGOS'!$K$5:$K$504,'PAGOS'!$C$5:$C$504,A183,'PAGOS'!$Q$5:$Q$504,"Aplicar",'PAGOS'!$B$5:$B$504,"&lt;="&amp;'AJUSTES'!$B$4))</x:f>
      </x:c>
      <x:c r="H183" s="28" t="str">
        <x:f>IF(C183="","",IF(AND(ISNUMBER(O183),O183&lt;='AJUSTES'!$B$4),0,IF(OR(P183&lt;&gt;"Incluir",NOT(ISNUMBER(E183)),B183="",B183&gt;'AJUSTES'!$B$4,S183&gt;0),"",MAX(0,ROUND(E183-G183,2)))))</x:f>
      </x:c>
      <x:c r="I183" s="22" t="str">
        <x:f>IF(C183="","",IF(P183="Anulada","Anulada",IF(B183&gt;'AJUSTES'!$B$4,"Posterior al corte",IF(NOT(ISNUMBER(H183)),"Por conciliar",IF(H183&lt;='AJUSTES'!$B$10,"Pagado",IF(J183&gt;0,"Moroso","Vigente"))))))</x:f>
      </x:c>
      <x:c r="J183" s="22" t="str">
        <x:f>IF(OR(C183="",NOT(ISNUMBER(H183)),NOT(ISNUMBER(N183))),"",IF(H183&gt;'AJUSTES'!$B$10,MAX(0,'AJUSTES'!$B$4-N183),0))</x:f>
      </x:c>
      <x:c r="K183" s="27" t="str"/>
      <x:c r="L183" s="26" t="str"/>
      <x:c r="M183" s="26" t="str">
        <x:f>IF(C183="","",'AJUSTES'!$B$5)</x:f>
      </x:c>
      <x:c r="N183" s="29" t="str">
        <x:f>IF(OR(NOT(ISNUMBER(B183)),NOT(ISNUMBER(M183))),"",B183+M183)</x:f>
      </x:c>
      <x:c r="O183" s="25" t="str"/>
      <x:c r="P183" s="26" t="str">
        <x:v>Incluir</x:v>
      </x:c>
      <x:c r="Q183" s="22" t="str"/>
      <x:c r="R183" s="22" t="str"/>
      <x:c r="S183" s="22" t="str">
        <x:f>IF(C183="","",COUNTIFS('PAGOS'!$C$5:$C$504,A183,'PAGOS'!$B$5:$B$504,"&gt;0",'PAGOS'!$B$5:$B$504,"&lt;="&amp;'AJUSTES'!$B$4,'PAGOS'!$N$5:$N$504,"Incluir",'PAGOS'!$Q$5:$Q$504,"&lt;&gt;Aplicar"))</x:f>
      </x:c>
      <x:c r="T183" s="28" t="str">
        <x:f>IF(AND(C183&lt;&gt;"",ISNUMBER(O183),O183&lt;='AJUSTES'!$B$4,ISNUMBER(E183)),ROUND(E183-G183,2),"")</x:f>
      </x:c>
    </x:row>
    <x:row r="184" ht="25" customHeight="1">
      <x:c r="A184" s="22" t="str">
        <x:v>V-180</x:v>
      </x:c>
      <x:c r="B184" s="25" t="str"/>
      <x:c r="C184" s="26" t="str"/>
      <x:c r="D184" s="26" t="str"/>
      <x:c r="E184" s="27" t="str"/>
      <x:c r="F184" s="26" t="str"/>
      <x:c r="G184" s="28" t="str">
        <x:f>IF(C184="","",SUMIFS('PAGOS'!$K$5:$K$504,'PAGOS'!$C$5:$C$504,A184,'PAGOS'!$Q$5:$Q$504,"Aplicar",'PAGOS'!$B$5:$B$504,"&lt;="&amp;'AJUSTES'!$B$4))</x:f>
      </x:c>
      <x:c r="H184" s="28" t="str">
        <x:f>IF(C184="","",IF(AND(ISNUMBER(O184),O184&lt;='AJUSTES'!$B$4),0,IF(OR(P184&lt;&gt;"Incluir",NOT(ISNUMBER(E184)),B184="",B184&gt;'AJUSTES'!$B$4,S184&gt;0),"",MAX(0,ROUND(E184-G184,2)))))</x:f>
      </x:c>
      <x:c r="I184" s="22" t="str">
        <x:f>IF(C184="","",IF(P184="Anulada","Anulada",IF(B184&gt;'AJUSTES'!$B$4,"Posterior al corte",IF(NOT(ISNUMBER(H184)),"Por conciliar",IF(H184&lt;='AJUSTES'!$B$10,"Pagado",IF(J184&gt;0,"Moroso","Vigente"))))))</x:f>
      </x:c>
      <x:c r="J184" s="22" t="str">
        <x:f>IF(OR(C184="",NOT(ISNUMBER(H184)),NOT(ISNUMBER(N184))),"",IF(H184&gt;'AJUSTES'!$B$10,MAX(0,'AJUSTES'!$B$4-N184),0))</x:f>
      </x:c>
      <x:c r="K184" s="27" t="str"/>
      <x:c r="L184" s="26" t="str"/>
      <x:c r="M184" s="26" t="str">
        <x:f>IF(C184="","",'AJUSTES'!$B$5)</x:f>
      </x:c>
      <x:c r="N184" s="29" t="str">
        <x:f>IF(OR(NOT(ISNUMBER(B184)),NOT(ISNUMBER(M184))),"",B184+M184)</x:f>
      </x:c>
      <x:c r="O184" s="25" t="str"/>
      <x:c r="P184" s="26" t="str">
        <x:v>Incluir</x:v>
      </x:c>
      <x:c r="Q184" s="22" t="str"/>
      <x:c r="R184" s="22" t="str"/>
      <x:c r="S184" s="22" t="str">
        <x:f>IF(C184="","",COUNTIFS('PAGOS'!$C$5:$C$504,A184,'PAGOS'!$B$5:$B$504,"&gt;0",'PAGOS'!$B$5:$B$504,"&lt;="&amp;'AJUSTES'!$B$4,'PAGOS'!$N$5:$N$504,"Incluir",'PAGOS'!$Q$5:$Q$504,"&lt;&gt;Aplicar"))</x:f>
      </x:c>
      <x:c r="T184" s="28" t="str">
        <x:f>IF(AND(C184&lt;&gt;"",ISNUMBER(O184),O184&lt;='AJUSTES'!$B$4,ISNUMBER(E184)),ROUND(E184-G184,2),"")</x:f>
      </x:c>
    </x:row>
    <x:row r="185" ht="25" customHeight="1">
      <x:c r="A185" s="22" t="str">
        <x:v>V-181</x:v>
      </x:c>
      <x:c r="B185" s="25" t="str"/>
      <x:c r="C185" s="26" t="str"/>
      <x:c r="D185" s="26" t="str"/>
      <x:c r="E185" s="27" t="str"/>
      <x:c r="F185" s="26" t="str"/>
      <x:c r="G185" s="28" t="str">
        <x:f>IF(C185="","",SUMIFS('PAGOS'!$K$5:$K$504,'PAGOS'!$C$5:$C$504,A185,'PAGOS'!$Q$5:$Q$504,"Aplicar",'PAGOS'!$B$5:$B$504,"&lt;="&amp;'AJUSTES'!$B$4))</x:f>
      </x:c>
      <x:c r="H185" s="28" t="str">
        <x:f>IF(C185="","",IF(AND(ISNUMBER(O185),O185&lt;='AJUSTES'!$B$4),0,IF(OR(P185&lt;&gt;"Incluir",NOT(ISNUMBER(E185)),B185="",B185&gt;'AJUSTES'!$B$4,S185&gt;0),"",MAX(0,ROUND(E185-G185,2)))))</x:f>
      </x:c>
      <x:c r="I185" s="22" t="str">
        <x:f>IF(C185="","",IF(P185="Anulada","Anulada",IF(B185&gt;'AJUSTES'!$B$4,"Posterior al corte",IF(NOT(ISNUMBER(H185)),"Por conciliar",IF(H185&lt;='AJUSTES'!$B$10,"Pagado",IF(J185&gt;0,"Moroso","Vigente"))))))</x:f>
      </x:c>
      <x:c r="J185" s="22" t="str">
        <x:f>IF(OR(C185="",NOT(ISNUMBER(H185)),NOT(ISNUMBER(N185))),"",IF(H185&gt;'AJUSTES'!$B$10,MAX(0,'AJUSTES'!$B$4-N185),0))</x:f>
      </x:c>
      <x:c r="K185" s="27" t="str"/>
      <x:c r="L185" s="26" t="str"/>
      <x:c r="M185" s="26" t="str">
        <x:f>IF(C185="","",'AJUSTES'!$B$5)</x:f>
      </x:c>
      <x:c r="N185" s="29" t="str">
        <x:f>IF(OR(NOT(ISNUMBER(B185)),NOT(ISNUMBER(M185))),"",B185+M185)</x:f>
      </x:c>
      <x:c r="O185" s="25" t="str"/>
      <x:c r="P185" s="26" t="str">
        <x:v>Incluir</x:v>
      </x:c>
      <x:c r="Q185" s="22" t="str"/>
      <x:c r="R185" s="22" t="str"/>
      <x:c r="S185" s="22" t="str">
        <x:f>IF(C185="","",COUNTIFS('PAGOS'!$C$5:$C$504,A185,'PAGOS'!$B$5:$B$504,"&gt;0",'PAGOS'!$B$5:$B$504,"&lt;="&amp;'AJUSTES'!$B$4,'PAGOS'!$N$5:$N$504,"Incluir",'PAGOS'!$Q$5:$Q$504,"&lt;&gt;Aplicar"))</x:f>
      </x:c>
      <x:c r="T185" s="28" t="str">
        <x:f>IF(AND(C185&lt;&gt;"",ISNUMBER(O185),O185&lt;='AJUSTES'!$B$4,ISNUMBER(E185)),ROUND(E185-G185,2),"")</x:f>
      </x:c>
    </x:row>
    <x:row r="186" ht="25" customHeight="1">
      <x:c r="A186" s="22" t="str">
        <x:v>V-182</x:v>
      </x:c>
      <x:c r="B186" s="25" t="str"/>
      <x:c r="C186" s="26" t="str"/>
      <x:c r="D186" s="26" t="str"/>
      <x:c r="E186" s="27" t="str"/>
      <x:c r="F186" s="26" t="str"/>
      <x:c r="G186" s="28" t="str">
        <x:f>IF(C186="","",SUMIFS('PAGOS'!$K$5:$K$504,'PAGOS'!$C$5:$C$504,A186,'PAGOS'!$Q$5:$Q$504,"Aplicar",'PAGOS'!$B$5:$B$504,"&lt;="&amp;'AJUSTES'!$B$4))</x:f>
      </x:c>
      <x:c r="H186" s="28" t="str">
        <x:f>IF(C186="","",IF(AND(ISNUMBER(O186),O186&lt;='AJUSTES'!$B$4),0,IF(OR(P186&lt;&gt;"Incluir",NOT(ISNUMBER(E186)),B186="",B186&gt;'AJUSTES'!$B$4,S186&gt;0),"",MAX(0,ROUND(E186-G186,2)))))</x:f>
      </x:c>
      <x:c r="I186" s="22" t="str">
        <x:f>IF(C186="","",IF(P186="Anulada","Anulada",IF(B186&gt;'AJUSTES'!$B$4,"Posterior al corte",IF(NOT(ISNUMBER(H186)),"Por conciliar",IF(H186&lt;='AJUSTES'!$B$10,"Pagado",IF(J186&gt;0,"Moroso","Vigente"))))))</x:f>
      </x:c>
      <x:c r="J186" s="22" t="str">
        <x:f>IF(OR(C186="",NOT(ISNUMBER(H186)),NOT(ISNUMBER(N186))),"",IF(H186&gt;'AJUSTES'!$B$10,MAX(0,'AJUSTES'!$B$4-N186),0))</x:f>
      </x:c>
      <x:c r="K186" s="27" t="str"/>
      <x:c r="L186" s="26" t="str"/>
      <x:c r="M186" s="26" t="str">
        <x:f>IF(C186="","",'AJUSTES'!$B$5)</x:f>
      </x:c>
      <x:c r="N186" s="29" t="str">
        <x:f>IF(OR(NOT(ISNUMBER(B186)),NOT(ISNUMBER(M186))),"",B186+M186)</x:f>
      </x:c>
      <x:c r="O186" s="25" t="str"/>
      <x:c r="P186" s="26" t="str">
        <x:v>Incluir</x:v>
      </x:c>
      <x:c r="Q186" s="22" t="str"/>
      <x:c r="R186" s="22" t="str"/>
      <x:c r="S186" s="22" t="str">
        <x:f>IF(C186="","",COUNTIFS('PAGOS'!$C$5:$C$504,A186,'PAGOS'!$B$5:$B$504,"&gt;0",'PAGOS'!$B$5:$B$504,"&lt;="&amp;'AJUSTES'!$B$4,'PAGOS'!$N$5:$N$504,"Incluir",'PAGOS'!$Q$5:$Q$504,"&lt;&gt;Aplicar"))</x:f>
      </x:c>
      <x:c r="T186" s="28" t="str">
        <x:f>IF(AND(C186&lt;&gt;"",ISNUMBER(O186),O186&lt;='AJUSTES'!$B$4,ISNUMBER(E186)),ROUND(E186-G186,2),"")</x:f>
      </x:c>
    </x:row>
    <x:row r="187" ht="25" customHeight="1">
      <x:c r="A187" s="22" t="str">
        <x:v>V-183</x:v>
      </x:c>
      <x:c r="B187" s="25" t="str"/>
      <x:c r="C187" s="26" t="str"/>
      <x:c r="D187" s="26" t="str"/>
      <x:c r="E187" s="27" t="str"/>
      <x:c r="F187" s="26" t="str"/>
      <x:c r="G187" s="28" t="str">
        <x:f>IF(C187="","",SUMIFS('PAGOS'!$K$5:$K$504,'PAGOS'!$C$5:$C$504,A187,'PAGOS'!$Q$5:$Q$504,"Aplicar",'PAGOS'!$B$5:$B$504,"&lt;="&amp;'AJUSTES'!$B$4))</x:f>
      </x:c>
      <x:c r="H187" s="28" t="str">
        <x:f>IF(C187="","",IF(AND(ISNUMBER(O187),O187&lt;='AJUSTES'!$B$4),0,IF(OR(P187&lt;&gt;"Incluir",NOT(ISNUMBER(E187)),B187="",B187&gt;'AJUSTES'!$B$4,S187&gt;0),"",MAX(0,ROUND(E187-G187,2)))))</x:f>
      </x:c>
      <x:c r="I187" s="22" t="str">
        <x:f>IF(C187="","",IF(P187="Anulada","Anulada",IF(B187&gt;'AJUSTES'!$B$4,"Posterior al corte",IF(NOT(ISNUMBER(H187)),"Por conciliar",IF(H187&lt;='AJUSTES'!$B$10,"Pagado",IF(J187&gt;0,"Moroso","Vigente"))))))</x:f>
      </x:c>
      <x:c r="J187" s="22" t="str">
        <x:f>IF(OR(C187="",NOT(ISNUMBER(H187)),NOT(ISNUMBER(N187))),"",IF(H187&gt;'AJUSTES'!$B$10,MAX(0,'AJUSTES'!$B$4-N187),0))</x:f>
      </x:c>
      <x:c r="K187" s="27" t="str"/>
      <x:c r="L187" s="26" t="str"/>
      <x:c r="M187" s="26" t="str">
        <x:f>IF(C187="","",'AJUSTES'!$B$5)</x:f>
      </x:c>
      <x:c r="N187" s="29" t="str">
        <x:f>IF(OR(NOT(ISNUMBER(B187)),NOT(ISNUMBER(M187))),"",B187+M187)</x:f>
      </x:c>
      <x:c r="O187" s="25" t="str"/>
      <x:c r="P187" s="26" t="str">
        <x:v>Incluir</x:v>
      </x:c>
      <x:c r="Q187" s="22" t="str"/>
      <x:c r="R187" s="22" t="str"/>
      <x:c r="S187" s="22" t="str">
        <x:f>IF(C187="","",COUNTIFS('PAGOS'!$C$5:$C$504,A187,'PAGOS'!$B$5:$B$504,"&gt;0",'PAGOS'!$B$5:$B$504,"&lt;="&amp;'AJUSTES'!$B$4,'PAGOS'!$N$5:$N$504,"Incluir",'PAGOS'!$Q$5:$Q$504,"&lt;&gt;Aplicar"))</x:f>
      </x:c>
      <x:c r="T187" s="28" t="str">
        <x:f>IF(AND(C187&lt;&gt;"",ISNUMBER(O187),O187&lt;='AJUSTES'!$B$4,ISNUMBER(E187)),ROUND(E187-G187,2),"")</x:f>
      </x:c>
    </x:row>
    <x:row r="188" ht="25" customHeight="1">
      <x:c r="A188" s="22" t="str">
        <x:v>V-184</x:v>
      </x:c>
      <x:c r="B188" s="25" t="str"/>
      <x:c r="C188" s="26" t="str"/>
      <x:c r="D188" s="26" t="str"/>
      <x:c r="E188" s="27" t="str"/>
      <x:c r="F188" s="26" t="str"/>
      <x:c r="G188" s="28" t="str">
        <x:f>IF(C188="","",SUMIFS('PAGOS'!$K$5:$K$504,'PAGOS'!$C$5:$C$504,A188,'PAGOS'!$Q$5:$Q$504,"Aplicar",'PAGOS'!$B$5:$B$504,"&lt;="&amp;'AJUSTES'!$B$4))</x:f>
      </x:c>
      <x:c r="H188" s="28" t="str">
        <x:f>IF(C188="","",IF(AND(ISNUMBER(O188),O188&lt;='AJUSTES'!$B$4),0,IF(OR(P188&lt;&gt;"Incluir",NOT(ISNUMBER(E188)),B188="",B188&gt;'AJUSTES'!$B$4,S188&gt;0),"",MAX(0,ROUND(E188-G188,2)))))</x:f>
      </x:c>
      <x:c r="I188" s="22" t="str">
        <x:f>IF(C188="","",IF(P188="Anulada","Anulada",IF(B188&gt;'AJUSTES'!$B$4,"Posterior al corte",IF(NOT(ISNUMBER(H188)),"Por conciliar",IF(H188&lt;='AJUSTES'!$B$10,"Pagado",IF(J188&gt;0,"Moroso","Vigente"))))))</x:f>
      </x:c>
      <x:c r="J188" s="22" t="str">
        <x:f>IF(OR(C188="",NOT(ISNUMBER(H188)),NOT(ISNUMBER(N188))),"",IF(H188&gt;'AJUSTES'!$B$10,MAX(0,'AJUSTES'!$B$4-N188),0))</x:f>
      </x:c>
      <x:c r="K188" s="27" t="str"/>
      <x:c r="L188" s="26" t="str"/>
      <x:c r="M188" s="26" t="str">
        <x:f>IF(C188="","",'AJUSTES'!$B$5)</x:f>
      </x:c>
      <x:c r="N188" s="29" t="str">
        <x:f>IF(OR(NOT(ISNUMBER(B188)),NOT(ISNUMBER(M188))),"",B188+M188)</x:f>
      </x:c>
      <x:c r="O188" s="25" t="str"/>
      <x:c r="P188" s="26" t="str">
        <x:v>Incluir</x:v>
      </x:c>
      <x:c r="Q188" s="22" t="str"/>
      <x:c r="R188" s="22" t="str"/>
      <x:c r="S188" s="22" t="str">
        <x:f>IF(C188="","",COUNTIFS('PAGOS'!$C$5:$C$504,A188,'PAGOS'!$B$5:$B$504,"&gt;0",'PAGOS'!$B$5:$B$504,"&lt;="&amp;'AJUSTES'!$B$4,'PAGOS'!$N$5:$N$504,"Incluir",'PAGOS'!$Q$5:$Q$504,"&lt;&gt;Aplicar"))</x:f>
      </x:c>
      <x:c r="T188" s="28" t="str">
        <x:f>IF(AND(C188&lt;&gt;"",ISNUMBER(O188),O188&lt;='AJUSTES'!$B$4,ISNUMBER(E188)),ROUND(E188-G188,2),"")</x:f>
      </x:c>
    </x:row>
    <x:row r="189" ht="25" customHeight="1">
      <x:c r="A189" s="22" t="str">
        <x:v>V-185</x:v>
      </x:c>
      <x:c r="B189" s="25" t="str"/>
      <x:c r="C189" s="26" t="str"/>
      <x:c r="D189" s="26" t="str"/>
      <x:c r="E189" s="27" t="str"/>
      <x:c r="F189" s="26" t="str"/>
      <x:c r="G189" s="28" t="str">
        <x:f>IF(C189="","",SUMIFS('PAGOS'!$K$5:$K$504,'PAGOS'!$C$5:$C$504,A189,'PAGOS'!$Q$5:$Q$504,"Aplicar",'PAGOS'!$B$5:$B$504,"&lt;="&amp;'AJUSTES'!$B$4))</x:f>
      </x:c>
      <x:c r="H189" s="28" t="str">
        <x:f>IF(C189="","",IF(AND(ISNUMBER(O189),O189&lt;='AJUSTES'!$B$4),0,IF(OR(P189&lt;&gt;"Incluir",NOT(ISNUMBER(E189)),B189="",B189&gt;'AJUSTES'!$B$4,S189&gt;0),"",MAX(0,ROUND(E189-G189,2)))))</x:f>
      </x:c>
      <x:c r="I189" s="22" t="str">
        <x:f>IF(C189="","",IF(P189="Anulada","Anulada",IF(B189&gt;'AJUSTES'!$B$4,"Posterior al corte",IF(NOT(ISNUMBER(H189)),"Por conciliar",IF(H189&lt;='AJUSTES'!$B$10,"Pagado",IF(J189&gt;0,"Moroso","Vigente"))))))</x:f>
      </x:c>
      <x:c r="J189" s="22" t="str">
        <x:f>IF(OR(C189="",NOT(ISNUMBER(H189)),NOT(ISNUMBER(N189))),"",IF(H189&gt;'AJUSTES'!$B$10,MAX(0,'AJUSTES'!$B$4-N189),0))</x:f>
      </x:c>
      <x:c r="K189" s="27" t="str"/>
      <x:c r="L189" s="26" t="str"/>
      <x:c r="M189" s="26" t="str">
        <x:f>IF(C189="","",'AJUSTES'!$B$5)</x:f>
      </x:c>
      <x:c r="N189" s="29" t="str">
        <x:f>IF(OR(NOT(ISNUMBER(B189)),NOT(ISNUMBER(M189))),"",B189+M189)</x:f>
      </x:c>
      <x:c r="O189" s="25" t="str"/>
      <x:c r="P189" s="26" t="str">
        <x:v>Incluir</x:v>
      </x:c>
      <x:c r="Q189" s="22" t="str"/>
      <x:c r="R189" s="22" t="str"/>
      <x:c r="S189" s="22" t="str">
        <x:f>IF(C189="","",COUNTIFS('PAGOS'!$C$5:$C$504,A189,'PAGOS'!$B$5:$B$504,"&gt;0",'PAGOS'!$B$5:$B$504,"&lt;="&amp;'AJUSTES'!$B$4,'PAGOS'!$N$5:$N$504,"Incluir",'PAGOS'!$Q$5:$Q$504,"&lt;&gt;Aplicar"))</x:f>
      </x:c>
      <x:c r="T189" s="28" t="str">
        <x:f>IF(AND(C189&lt;&gt;"",ISNUMBER(O189),O189&lt;='AJUSTES'!$B$4,ISNUMBER(E189)),ROUND(E189-G189,2),"")</x:f>
      </x:c>
    </x:row>
    <x:row r="190" ht="25" customHeight="1">
      <x:c r="A190" s="22" t="str">
        <x:v>V-186</x:v>
      </x:c>
      <x:c r="B190" s="25" t="str"/>
      <x:c r="C190" s="26" t="str"/>
      <x:c r="D190" s="26" t="str"/>
      <x:c r="E190" s="27" t="str"/>
      <x:c r="F190" s="26" t="str"/>
      <x:c r="G190" s="28" t="str">
        <x:f>IF(C190="","",SUMIFS('PAGOS'!$K$5:$K$504,'PAGOS'!$C$5:$C$504,A190,'PAGOS'!$Q$5:$Q$504,"Aplicar",'PAGOS'!$B$5:$B$504,"&lt;="&amp;'AJUSTES'!$B$4))</x:f>
      </x:c>
      <x:c r="H190" s="28" t="str">
        <x:f>IF(C190="","",IF(AND(ISNUMBER(O190),O190&lt;='AJUSTES'!$B$4),0,IF(OR(P190&lt;&gt;"Incluir",NOT(ISNUMBER(E190)),B190="",B190&gt;'AJUSTES'!$B$4,S190&gt;0),"",MAX(0,ROUND(E190-G190,2)))))</x:f>
      </x:c>
      <x:c r="I190" s="22" t="str">
        <x:f>IF(C190="","",IF(P190="Anulada","Anulada",IF(B190&gt;'AJUSTES'!$B$4,"Posterior al corte",IF(NOT(ISNUMBER(H190)),"Por conciliar",IF(H190&lt;='AJUSTES'!$B$10,"Pagado",IF(J190&gt;0,"Moroso","Vigente"))))))</x:f>
      </x:c>
      <x:c r="J190" s="22" t="str">
        <x:f>IF(OR(C190="",NOT(ISNUMBER(H190)),NOT(ISNUMBER(N190))),"",IF(H190&gt;'AJUSTES'!$B$10,MAX(0,'AJUSTES'!$B$4-N190),0))</x:f>
      </x:c>
      <x:c r="K190" s="27" t="str"/>
      <x:c r="L190" s="26" t="str"/>
      <x:c r="M190" s="26" t="str">
        <x:f>IF(C190="","",'AJUSTES'!$B$5)</x:f>
      </x:c>
      <x:c r="N190" s="29" t="str">
        <x:f>IF(OR(NOT(ISNUMBER(B190)),NOT(ISNUMBER(M190))),"",B190+M190)</x:f>
      </x:c>
      <x:c r="O190" s="25" t="str"/>
      <x:c r="P190" s="26" t="str">
        <x:v>Incluir</x:v>
      </x:c>
      <x:c r="Q190" s="22" t="str"/>
      <x:c r="R190" s="22" t="str"/>
      <x:c r="S190" s="22" t="str">
        <x:f>IF(C190="","",COUNTIFS('PAGOS'!$C$5:$C$504,A190,'PAGOS'!$B$5:$B$504,"&gt;0",'PAGOS'!$B$5:$B$504,"&lt;="&amp;'AJUSTES'!$B$4,'PAGOS'!$N$5:$N$504,"Incluir",'PAGOS'!$Q$5:$Q$504,"&lt;&gt;Aplicar"))</x:f>
      </x:c>
      <x:c r="T190" s="28" t="str">
        <x:f>IF(AND(C190&lt;&gt;"",ISNUMBER(O190),O190&lt;='AJUSTES'!$B$4,ISNUMBER(E190)),ROUND(E190-G190,2),"")</x:f>
      </x:c>
    </x:row>
    <x:row r="191" ht="25" customHeight="1">
      <x:c r="A191" s="22" t="str">
        <x:v>V-187</x:v>
      </x:c>
      <x:c r="B191" s="25" t="str"/>
      <x:c r="C191" s="26" t="str"/>
      <x:c r="D191" s="26" t="str"/>
      <x:c r="E191" s="27" t="str"/>
      <x:c r="F191" s="26" t="str"/>
      <x:c r="G191" s="28" t="str">
        <x:f>IF(C191="","",SUMIFS('PAGOS'!$K$5:$K$504,'PAGOS'!$C$5:$C$504,A191,'PAGOS'!$Q$5:$Q$504,"Aplicar",'PAGOS'!$B$5:$B$504,"&lt;="&amp;'AJUSTES'!$B$4))</x:f>
      </x:c>
      <x:c r="H191" s="28" t="str">
        <x:f>IF(C191="","",IF(AND(ISNUMBER(O191),O191&lt;='AJUSTES'!$B$4),0,IF(OR(P191&lt;&gt;"Incluir",NOT(ISNUMBER(E191)),B191="",B191&gt;'AJUSTES'!$B$4,S191&gt;0),"",MAX(0,ROUND(E191-G191,2)))))</x:f>
      </x:c>
      <x:c r="I191" s="22" t="str">
        <x:f>IF(C191="","",IF(P191="Anulada","Anulada",IF(B191&gt;'AJUSTES'!$B$4,"Posterior al corte",IF(NOT(ISNUMBER(H191)),"Por conciliar",IF(H191&lt;='AJUSTES'!$B$10,"Pagado",IF(J191&gt;0,"Moroso","Vigente"))))))</x:f>
      </x:c>
      <x:c r="J191" s="22" t="str">
        <x:f>IF(OR(C191="",NOT(ISNUMBER(H191)),NOT(ISNUMBER(N191))),"",IF(H191&gt;'AJUSTES'!$B$10,MAX(0,'AJUSTES'!$B$4-N191),0))</x:f>
      </x:c>
      <x:c r="K191" s="27" t="str"/>
      <x:c r="L191" s="26" t="str"/>
      <x:c r="M191" s="26" t="str">
        <x:f>IF(C191="","",'AJUSTES'!$B$5)</x:f>
      </x:c>
      <x:c r="N191" s="29" t="str">
        <x:f>IF(OR(NOT(ISNUMBER(B191)),NOT(ISNUMBER(M191))),"",B191+M191)</x:f>
      </x:c>
      <x:c r="O191" s="25" t="str"/>
      <x:c r="P191" s="26" t="str">
        <x:v>Incluir</x:v>
      </x:c>
      <x:c r="Q191" s="22" t="str"/>
      <x:c r="R191" s="22" t="str"/>
      <x:c r="S191" s="22" t="str">
        <x:f>IF(C191="","",COUNTIFS('PAGOS'!$C$5:$C$504,A191,'PAGOS'!$B$5:$B$504,"&gt;0",'PAGOS'!$B$5:$B$504,"&lt;="&amp;'AJUSTES'!$B$4,'PAGOS'!$N$5:$N$504,"Incluir",'PAGOS'!$Q$5:$Q$504,"&lt;&gt;Aplicar"))</x:f>
      </x:c>
      <x:c r="T191" s="28" t="str">
        <x:f>IF(AND(C191&lt;&gt;"",ISNUMBER(O191),O191&lt;='AJUSTES'!$B$4,ISNUMBER(E191)),ROUND(E191-G191,2),"")</x:f>
      </x:c>
    </x:row>
    <x:row r="192" ht="25" customHeight="1">
      <x:c r="A192" s="22" t="str">
        <x:v>V-188</x:v>
      </x:c>
      <x:c r="B192" s="25" t="str"/>
      <x:c r="C192" s="26" t="str"/>
      <x:c r="D192" s="26" t="str"/>
      <x:c r="E192" s="27" t="str"/>
      <x:c r="F192" s="26" t="str"/>
      <x:c r="G192" s="28" t="str">
        <x:f>IF(C192="","",SUMIFS('PAGOS'!$K$5:$K$504,'PAGOS'!$C$5:$C$504,A192,'PAGOS'!$Q$5:$Q$504,"Aplicar",'PAGOS'!$B$5:$B$504,"&lt;="&amp;'AJUSTES'!$B$4))</x:f>
      </x:c>
      <x:c r="H192" s="28" t="str">
        <x:f>IF(C192="","",IF(AND(ISNUMBER(O192),O192&lt;='AJUSTES'!$B$4),0,IF(OR(P192&lt;&gt;"Incluir",NOT(ISNUMBER(E192)),B192="",B192&gt;'AJUSTES'!$B$4,S192&gt;0),"",MAX(0,ROUND(E192-G192,2)))))</x:f>
      </x:c>
      <x:c r="I192" s="22" t="str">
        <x:f>IF(C192="","",IF(P192="Anulada","Anulada",IF(B192&gt;'AJUSTES'!$B$4,"Posterior al corte",IF(NOT(ISNUMBER(H192)),"Por conciliar",IF(H192&lt;='AJUSTES'!$B$10,"Pagado",IF(J192&gt;0,"Moroso","Vigente"))))))</x:f>
      </x:c>
      <x:c r="J192" s="22" t="str">
        <x:f>IF(OR(C192="",NOT(ISNUMBER(H192)),NOT(ISNUMBER(N192))),"",IF(H192&gt;'AJUSTES'!$B$10,MAX(0,'AJUSTES'!$B$4-N192),0))</x:f>
      </x:c>
      <x:c r="K192" s="27" t="str"/>
      <x:c r="L192" s="26" t="str"/>
      <x:c r="M192" s="26" t="str">
        <x:f>IF(C192="","",'AJUSTES'!$B$5)</x:f>
      </x:c>
      <x:c r="N192" s="29" t="str">
        <x:f>IF(OR(NOT(ISNUMBER(B192)),NOT(ISNUMBER(M192))),"",B192+M192)</x:f>
      </x:c>
      <x:c r="O192" s="25" t="str"/>
      <x:c r="P192" s="26" t="str">
        <x:v>Incluir</x:v>
      </x:c>
      <x:c r="Q192" s="22" t="str"/>
      <x:c r="R192" s="22" t="str"/>
      <x:c r="S192" s="22" t="str">
        <x:f>IF(C192="","",COUNTIFS('PAGOS'!$C$5:$C$504,A192,'PAGOS'!$B$5:$B$504,"&gt;0",'PAGOS'!$B$5:$B$504,"&lt;="&amp;'AJUSTES'!$B$4,'PAGOS'!$N$5:$N$504,"Incluir",'PAGOS'!$Q$5:$Q$504,"&lt;&gt;Aplicar"))</x:f>
      </x:c>
      <x:c r="T192" s="28" t="str">
        <x:f>IF(AND(C192&lt;&gt;"",ISNUMBER(O192),O192&lt;='AJUSTES'!$B$4,ISNUMBER(E192)),ROUND(E192-G192,2),"")</x:f>
      </x:c>
    </x:row>
    <x:row r="193" ht="25" customHeight="1">
      <x:c r="A193" s="22" t="str">
        <x:v>V-189</x:v>
      </x:c>
      <x:c r="B193" s="25" t="str"/>
      <x:c r="C193" s="26" t="str"/>
      <x:c r="D193" s="26" t="str"/>
      <x:c r="E193" s="27" t="str"/>
      <x:c r="F193" s="26" t="str"/>
      <x:c r="G193" s="28" t="str">
        <x:f>IF(C193="","",SUMIFS('PAGOS'!$K$5:$K$504,'PAGOS'!$C$5:$C$504,A193,'PAGOS'!$Q$5:$Q$504,"Aplicar",'PAGOS'!$B$5:$B$504,"&lt;="&amp;'AJUSTES'!$B$4))</x:f>
      </x:c>
      <x:c r="H193" s="28" t="str">
        <x:f>IF(C193="","",IF(AND(ISNUMBER(O193),O193&lt;='AJUSTES'!$B$4),0,IF(OR(P193&lt;&gt;"Incluir",NOT(ISNUMBER(E193)),B193="",B193&gt;'AJUSTES'!$B$4,S193&gt;0),"",MAX(0,ROUND(E193-G193,2)))))</x:f>
      </x:c>
      <x:c r="I193" s="22" t="str">
        <x:f>IF(C193="","",IF(P193="Anulada","Anulada",IF(B193&gt;'AJUSTES'!$B$4,"Posterior al corte",IF(NOT(ISNUMBER(H193)),"Por conciliar",IF(H193&lt;='AJUSTES'!$B$10,"Pagado",IF(J193&gt;0,"Moroso","Vigente"))))))</x:f>
      </x:c>
      <x:c r="J193" s="22" t="str">
        <x:f>IF(OR(C193="",NOT(ISNUMBER(H193)),NOT(ISNUMBER(N193))),"",IF(H193&gt;'AJUSTES'!$B$10,MAX(0,'AJUSTES'!$B$4-N193),0))</x:f>
      </x:c>
      <x:c r="K193" s="27" t="str"/>
      <x:c r="L193" s="26" t="str"/>
      <x:c r="M193" s="26" t="str">
        <x:f>IF(C193="","",'AJUSTES'!$B$5)</x:f>
      </x:c>
      <x:c r="N193" s="29" t="str">
        <x:f>IF(OR(NOT(ISNUMBER(B193)),NOT(ISNUMBER(M193))),"",B193+M193)</x:f>
      </x:c>
      <x:c r="O193" s="25" t="str"/>
      <x:c r="P193" s="26" t="str">
        <x:v>Incluir</x:v>
      </x:c>
      <x:c r="Q193" s="22" t="str"/>
      <x:c r="R193" s="22" t="str"/>
      <x:c r="S193" s="22" t="str">
        <x:f>IF(C193="","",COUNTIFS('PAGOS'!$C$5:$C$504,A193,'PAGOS'!$B$5:$B$504,"&gt;0",'PAGOS'!$B$5:$B$504,"&lt;="&amp;'AJUSTES'!$B$4,'PAGOS'!$N$5:$N$504,"Incluir",'PAGOS'!$Q$5:$Q$504,"&lt;&gt;Aplicar"))</x:f>
      </x:c>
      <x:c r="T193" s="28" t="str">
        <x:f>IF(AND(C193&lt;&gt;"",ISNUMBER(O193),O193&lt;='AJUSTES'!$B$4,ISNUMBER(E193)),ROUND(E193-G193,2),"")</x:f>
      </x:c>
    </x:row>
    <x:row r="194" ht="25" customHeight="1">
      <x:c r="A194" s="22" t="str">
        <x:v>V-190</x:v>
      </x:c>
      <x:c r="B194" s="25" t="str"/>
      <x:c r="C194" s="26" t="str"/>
      <x:c r="D194" s="26" t="str"/>
      <x:c r="E194" s="27" t="str"/>
      <x:c r="F194" s="26" t="str"/>
      <x:c r="G194" s="28" t="str">
        <x:f>IF(C194="","",SUMIFS('PAGOS'!$K$5:$K$504,'PAGOS'!$C$5:$C$504,A194,'PAGOS'!$Q$5:$Q$504,"Aplicar",'PAGOS'!$B$5:$B$504,"&lt;="&amp;'AJUSTES'!$B$4))</x:f>
      </x:c>
      <x:c r="H194" s="28" t="str">
        <x:f>IF(C194="","",IF(AND(ISNUMBER(O194),O194&lt;='AJUSTES'!$B$4),0,IF(OR(P194&lt;&gt;"Incluir",NOT(ISNUMBER(E194)),B194="",B194&gt;'AJUSTES'!$B$4,S194&gt;0),"",MAX(0,ROUND(E194-G194,2)))))</x:f>
      </x:c>
      <x:c r="I194" s="22" t="str">
        <x:f>IF(C194="","",IF(P194="Anulada","Anulada",IF(B194&gt;'AJUSTES'!$B$4,"Posterior al corte",IF(NOT(ISNUMBER(H194)),"Por conciliar",IF(H194&lt;='AJUSTES'!$B$10,"Pagado",IF(J194&gt;0,"Moroso","Vigente"))))))</x:f>
      </x:c>
      <x:c r="J194" s="22" t="str">
        <x:f>IF(OR(C194="",NOT(ISNUMBER(H194)),NOT(ISNUMBER(N194))),"",IF(H194&gt;'AJUSTES'!$B$10,MAX(0,'AJUSTES'!$B$4-N194),0))</x:f>
      </x:c>
      <x:c r="K194" s="27" t="str"/>
      <x:c r="L194" s="26" t="str"/>
      <x:c r="M194" s="26" t="str">
        <x:f>IF(C194="","",'AJUSTES'!$B$5)</x:f>
      </x:c>
      <x:c r="N194" s="29" t="str">
        <x:f>IF(OR(NOT(ISNUMBER(B194)),NOT(ISNUMBER(M194))),"",B194+M194)</x:f>
      </x:c>
      <x:c r="O194" s="25" t="str"/>
      <x:c r="P194" s="26" t="str">
        <x:v>Incluir</x:v>
      </x:c>
      <x:c r="Q194" s="22" t="str"/>
      <x:c r="R194" s="22" t="str"/>
      <x:c r="S194" s="22" t="str">
        <x:f>IF(C194="","",COUNTIFS('PAGOS'!$C$5:$C$504,A194,'PAGOS'!$B$5:$B$504,"&gt;0",'PAGOS'!$B$5:$B$504,"&lt;="&amp;'AJUSTES'!$B$4,'PAGOS'!$N$5:$N$504,"Incluir",'PAGOS'!$Q$5:$Q$504,"&lt;&gt;Aplicar"))</x:f>
      </x:c>
      <x:c r="T194" s="28" t="str">
        <x:f>IF(AND(C194&lt;&gt;"",ISNUMBER(O194),O194&lt;='AJUSTES'!$B$4,ISNUMBER(E194)),ROUND(E194-G194,2),"")</x:f>
      </x:c>
    </x:row>
    <x:row r="195" ht="25" customHeight="1">
      <x:c r="A195" s="22" t="str">
        <x:v>V-191</x:v>
      </x:c>
      <x:c r="B195" s="25" t="str"/>
      <x:c r="C195" s="26" t="str"/>
      <x:c r="D195" s="26" t="str"/>
      <x:c r="E195" s="27" t="str"/>
      <x:c r="F195" s="26" t="str"/>
      <x:c r="G195" s="28" t="str">
        <x:f>IF(C195="","",SUMIFS('PAGOS'!$K$5:$K$504,'PAGOS'!$C$5:$C$504,A195,'PAGOS'!$Q$5:$Q$504,"Aplicar",'PAGOS'!$B$5:$B$504,"&lt;="&amp;'AJUSTES'!$B$4))</x:f>
      </x:c>
      <x:c r="H195" s="28" t="str">
        <x:f>IF(C195="","",IF(AND(ISNUMBER(O195),O195&lt;='AJUSTES'!$B$4),0,IF(OR(P195&lt;&gt;"Incluir",NOT(ISNUMBER(E195)),B195="",B195&gt;'AJUSTES'!$B$4,S195&gt;0),"",MAX(0,ROUND(E195-G195,2)))))</x:f>
      </x:c>
      <x:c r="I195" s="22" t="str">
        <x:f>IF(C195="","",IF(P195="Anulada","Anulada",IF(B195&gt;'AJUSTES'!$B$4,"Posterior al corte",IF(NOT(ISNUMBER(H195)),"Por conciliar",IF(H195&lt;='AJUSTES'!$B$10,"Pagado",IF(J195&gt;0,"Moroso","Vigente"))))))</x:f>
      </x:c>
      <x:c r="J195" s="22" t="str">
        <x:f>IF(OR(C195="",NOT(ISNUMBER(H195)),NOT(ISNUMBER(N195))),"",IF(H195&gt;'AJUSTES'!$B$10,MAX(0,'AJUSTES'!$B$4-N195),0))</x:f>
      </x:c>
      <x:c r="K195" s="27" t="str"/>
      <x:c r="L195" s="26" t="str"/>
      <x:c r="M195" s="26" t="str">
        <x:f>IF(C195="","",'AJUSTES'!$B$5)</x:f>
      </x:c>
      <x:c r="N195" s="29" t="str">
        <x:f>IF(OR(NOT(ISNUMBER(B195)),NOT(ISNUMBER(M195))),"",B195+M195)</x:f>
      </x:c>
      <x:c r="O195" s="25" t="str"/>
      <x:c r="P195" s="26" t="str">
        <x:v>Incluir</x:v>
      </x:c>
      <x:c r="Q195" s="22" t="str"/>
      <x:c r="R195" s="22" t="str"/>
      <x:c r="S195" s="22" t="str">
        <x:f>IF(C195="","",COUNTIFS('PAGOS'!$C$5:$C$504,A195,'PAGOS'!$B$5:$B$504,"&gt;0",'PAGOS'!$B$5:$B$504,"&lt;="&amp;'AJUSTES'!$B$4,'PAGOS'!$N$5:$N$504,"Incluir",'PAGOS'!$Q$5:$Q$504,"&lt;&gt;Aplicar"))</x:f>
      </x:c>
      <x:c r="T195" s="28" t="str">
        <x:f>IF(AND(C195&lt;&gt;"",ISNUMBER(O195),O195&lt;='AJUSTES'!$B$4,ISNUMBER(E195)),ROUND(E195-G195,2),"")</x:f>
      </x:c>
    </x:row>
    <x:row r="196" ht="25" customHeight="1">
      <x:c r="A196" s="22" t="str">
        <x:v>V-192</x:v>
      </x:c>
      <x:c r="B196" s="25" t="str"/>
      <x:c r="C196" s="26" t="str"/>
      <x:c r="D196" s="26" t="str"/>
      <x:c r="E196" s="27" t="str"/>
      <x:c r="F196" s="26" t="str"/>
      <x:c r="G196" s="28" t="str">
        <x:f>IF(C196="","",SUMIFS('PAGOS'!$K$5:$K$504,'PAGOS'!$C$5:$C$504,A196,'PAGOS'!$Q$5:$Q$504,"Aplicar",'PAGOS'!$B$5:$B$504,"&lt;="&amp;'AJUSTES'!$B$4))</x:f>
      </x:c>
      <x:c r="H196" s="28" t="str">
        <x:f>IF(C196="","",IF(AND(ISNUMBER(O196),O196&lt;='AJUSTES'!$B$4),0,IF(OR(P196&lt;&gt;"Incluir",NOT(ISNUMBER(E196)),B196="",B196&gt;'AJUSTES'!$B$4,S196&gt;0),"",MAX(0,ROUND(E196-G196,2)))))</x:f>
      </x:c>
      <x:c r="I196" s="22" t="str">
        <x:f>IF(C196="","",IF(P196="Anulada","Anulada",IF(B196&gt;'AJUSTES'!$B$4,"Posterior al corte",IF(NOT(ISNUMBER(H196)),"Por conciliar",IF(H196&lt;='AJUSTES'!$B$10,"Pagado",IF(J196&gt;0,"Moroso","Vigente"))))))</x:f>
      </x:c>
      <x:c r="J196" s="22" t="str">
        <x:f>IF(OR(C196="",NOT(ISNUMBER(H196)),NOT(ISNUMBER(N196))),"",IF(H196&gt;'AJUSTES'!$B$10,MAX(0,'AJUSTES'!$B$4-N196),0))</x:f>
      </x:c>
      <x:c r="K196" s="27" t="str"/>
      <x:c r="L196" s="26" t="str"/>
      <x:c r="M196" s="26" t="str">
        <x:f>IF(C196="","",'AJUSTES'!$B$5)</x:f>
      </x:c>
      <x:c r="N196" s="29" t="str">
        <x:f>IF(OR(NOT(ISNUMBER(B196)),NOT(ISNUMBER(M196))),"",B196+M196)</x:f>
      </x:c>
      <x:c r="O196" s="25" t="str"/>
      <x:c r="P196" s="26" t="str">
        <x:v>Incluir</x:v>
      </x:c>
      <x:c r="Q196" s="22" t="str"/>
      <x:c r="R196" s="22" t="str"/>
      <x:c r="S196" s="22" t="str">
        <x:f>IF(C196="","",COUNTIFS('PAGOS'!$C$5:$C$504,A196,'PAGOS'!$B$5:$B$504,"&gt;0",'PAGOS'!$B$5:$B$504,"&lt;="&amp;'AJUSTES'!$B$4,'PAGOS'!$N$5:$N$504,"Incluir",'PAGOS'!$Q$5:$Q$504,"&lt;&gt;Aplicar"))</x:f>
      </x:c>
      <x:c r="T196" s="28" t="str">
        <x:f>IF(AND(C196&lt;&gt;"",ISNUMBER(O196),O196&lt;='AJUSTES'!$B$4,ISNUMBER(E196)),ROUND(E196-G196,2),"")</x:f>
      </x:c>
    </x:row>
    <x:row r="197" ht="25" customHeight="1">
      <x:c r="A197" s="22" t="str">
        <x:v>V-193</x:v>
      </x:c>
      <x:c r="B197" s="25" t="str"/>
      <x:c r="C197" s="26" t="str"/>
      <x:c r="D197" s="26" t="str"/>
      <x:c r="E197" s="27" t="str"/>
      <x:c r="F197" s="26" t="str"/>
      <x:c r="G197" s="28" t="str">
        <x:f>IF(C197="","",SUMIFS('PAGOS'!$K$5:$K$504,'PAGOS'!$C$5:$C$504,A197,'PAGOS'!$Q$5:$Q$504,"Aplicar",'PAGOS'!$B$5:$B$504,"&lt;="&amp;'AJUSTES'!$B$4))</x:f>
      </x:c>
      <x:c r="H197" s="28" t="str">
        <x:f>IF(C197="","",IF(AND(ISNUMBER(O197),O197&lt;='AJUSTES'!$B$4),0,IF(OR(P197&lt;&gt;"Incluir",NOT(ISNUMBER(E197)),B197="",B197&gt;'AJUSTES'!$B$4,S197&gt;0),"",MAX(0,ROUND(E197-G197,2)))))</x:f>
      </x:c>
      <x:c r="I197" s="22" t="str">
        <x:f>IF(C197="","",IF(P197="Anulada","Anulada",IF(B197&gt;'AJUSTES'!$B$4,"Posterior al corte",IF(NOT(ISNUMBER(H197)),"Por conciliar",IF(H197&lt;='AJUSTES'!$B$10,"Pagado",IF(J197&gt;0,"Moroso","Vigente"))))))</x:f>
      </x:c>
      <x:c r="J197" s="22" t="str">
        <x:f>IF(OR(C197="",NOT(ISNUMBER(H197)),NOT(ISNUMBER(N197))),"",IF(H197&gt;'AJUSTES'!$B$10,MAX(0,'AJUSTES'!$B$4-N197),0))</x:f>
      </x:c>
      <x:c r="K197" s="27" t="str"/>
      <x:c r="L197" s="26" t="str"/>
      <x:c r="M197" s="26" t="str">
        <x:f>IF(C197="","",'AJUSTES'!$B$5)</x:f>
      </x:c>
      <x:c r="N197" s="29" t="str">
        <x:f>IF(OR(NOT(ISNUMBER(B197)),NOT(ISNUMBER(M197))),"",B197+M197)</x:f>
      </x:c>
      <x:c r="O197" s="25" t="str"/>
      <x:c r="P197" s="26" t="str">
        <x:v>Incluir</x:v>
      </x:c>
      <x:c r="Q197" s="22" t="str"/>
      <x:c r="R197" s="22" t="str"/>
      <x:c r="S197" s="22" t="str">
        <x:f>IF(C197="","",COUNTIFS('PAGOS'!$C$5:$C$504,A197,'PAGOS'!$B$5:$B$504,"&gt;0",'PAGOS'!$B$5:$B$504,"&lt;="&amp;'AJUSTES'!$B$4,'PAGOS'!$N$5:$N$504,"Incluir",'PAGOS'!$Q$5:$Q$504,"&lt;&gt;Aplicar"))</x:f>
      </x:c>
      <x:c r="T197" s="28" t="str">
        <x:f>IF(AND(C197&lt;&gt;"",ISNUMBER(O197),O197&lt;='AJUSTES'!$B$4,ISNUMBER(E197)),ROUND(E197-G197,2),"")</x:f>
      </x:c>
    </x:row>
    <x:row r="198" ht="25" customHeight="1">
      <x:c r="A198" s="22" t="str">
        <x:v>V-194</x:v>
      </x:c>
      <x:c r="B198" s="25" t="str"/>
      <x:c r="C198" s="26" t="str"/>
      <x:c r="D198" s="26" t="str"/>
      <x:c r="E198" s="27" t="str"/>
      <x:c r="F198" s="26" t="str"/>
      <x:c r="G198" s="28" t="str">
        <x:f>IF(C198="","",SUMIFS('PAGOS'!$K$5:$K$504,'PAGOS'!$C$5:$C$504,A198,'PAGOS'!$Q$5:$Q$504,"Aplicar",'PAGOS'!$B$5:$B$504,"&lt;="&amp;'AJUSTES'!$B$4))</x:f>
      </x:c>
      <x:c r="H198" s="28" t="str">
        <x:f>IF(C198="","",IF(AND(ISNUMBER(O198),O198&lt;='AJUSTES'!$B$4),0,IF(OR(P198&lt;&gt;"Incluir",NOT(ISNUMBER(E198)),B198="",B198&gt;'AJUSTES'!$B$4,S198&gt;0),"",MAX(0,ROUND(E198-G198,2)))))</x:f>
      </x:c>
      <x:c r="I198" s="22" t="str">
        <x:f>IF(C198="","",IF(P198="Anulada","Anulada",IF(B198&gt;'AJUSTES'!$B$4,"Posterior al corte",IF(NOT(ISNUMBER(H198)),"Por conciliar",IF(H198&lt;='AJUSTES'!$B$10,"Pagado",IF(J198&gt;0,"Moroso","Vigente"))))))</x:f>
      </x:c>
      <x:c r="J198" s="22" t="str">
        <x:f>IF(OR(C198="",NOT(ISNUMBER(H198)),NOT(ISNUMBER(N198))),"",IF(H198&gt;'AJUSTES'!$B$10,MAX(0,'AJUSTES'!$B$4-N198),0))</x:f>
      </x:c>
      <x:c r="K198" s="27" t="str"/>
      <x:c r="L198" s="26" t="str"/>
      <x:c r="M198" s="26" t="str">
        <x:f>IF(C198="","",'AJUSTES'!$B$5)</x:f>
      </x:c>
      <x:c r="N198" s="29" t="str">
        <x:f>IF(OR(NOT(ISNUMBER(B198)),NOT(ISNUMBER(M198))),"",B198+M198)</x:f>
      </x:c>
      <x:c r="O198" s="25" t="str"/>
      <x:c r="P198" s="26" t="str">
        <x:v>Incluir</x:v>
      </x:c>
      <x:c r="Q198" s="22" t="str"/>
      <x:c r="R198" s="22" t="str"/>
      <x:c r="S198" s="22" t="str">
        <x:f>IF(C198="","",COUNTIFS('PAGOS'!$C$5:$C$504,A198,'PAGOS'!$B$5:$B$504,"&gt;0",'PAGOS'!$B$5:$B$504,"&lt;="&amp;'AJUSTES'!$B$4,'PAGOS'!$N$5:$N$504,"Incluir",'PAGOS'!$Q$5:$Q$504,"&lt;&gt;Aplicar"))</x:f>
      </x:c>
      <x:c r="T198" s="28" t="str">
        <x:f>IF(AND(C198&lt;&gt;"",ISNUMBER(O198),O198&lt;='AJUSTES'!$B$4,ISNUMBER(E198)),ROUND(E198-G198,2),"")</x:f>
      </x:c>
    </x:row>
    <x:row r="199" ht="25" customHeight="1">
      <x:c r="A199" s="22" t="str">
        <x:v>V-195</x:v>
      </x:c>
      <x:c r="B199" s="25" t="str"/>
      <x:c r="C199" s="26" t="str"/>
      <x:c r="D199" s="26" t="str"/>
      <x:c r="E199" s="27" t="str"/>
      <x:c r="F199" s="26" t="str"/>
      <x:c r="G199" s="28" t="str">
        <x:f>IF(C199="","",SUMIFS('PAGOS'!$K$5:$K$504,'PAGOS'!$C$5:$C$504,A199,'PAGOS'!$Q$5:$Q$504,"Aplicar",'PAGOS'!$B$5:$B$504,"&lt;="&amp;'AJUSTES'!$B$4))</x:f>
      </x:c>
      <x:c r="H199" s="28" t="str">
        <x:f>IF(C199="","",IF(AND(ISNUMBER(O199),O199&lt;='AJUSTES'!$B$4),0,IF(OR(P199&lt;&gt;"Incluir",NOT(ISNUMBER(E199)),B199="",B199&gt;'AJUSTES'!$B$4,S199&gt;0),"",MAX(0,ROUND(E199-G199,2)))))</x:f>
      </x:c>
      <x:c r="I199" s="22" t="str">
        <x:f>IF(C199="","",IF(P199="Anulada","Anulada",IF(B199&gt;'AJUSTES'!$B$4,"Posterior al corte",IF(NOT(ISNUMBER(H199)),"Por conciliar",IF(H199&lt;='AJUSTES'!$B$10,"Pagado",IF(J199&gt;0,"Moroso","Vigente"))))))</x:f>
      </x:c>
      <x:c r="J199" s="22" t="str">
        <x:f>IF(OR(C199="",NOT(ISNUMBER(H199)),NOT(ISNUMBER(N199))),"",IF(H199&gt;'AJUSTES'!$B$10,MAX(0,'AJUSTES'!$B$4-N199),0))</x:f>
      </x:c>
      <x:c r="K199" s="27" t="str"/>
      <x:c r="L199" s="26" t="str"/>
      <x:c r="M199" s="26" t="str">
        <x:f>IF(C199="","",'AJUSTES'!$B$5)</x:f>
      </x:c>
      <x:c r="N199" s="29" t="str">
        <x:f>IF(OR(NOT(ISNUMBER(B199)),NOT(ISNUMBER(M199))),"",B199+M199)</x:f>
      </x:c>
      <x:c r="O199" s="25" t="str"/>
      <x:c r="P199" s="26" t="str">
        <x:v>Incluir</x:v>
      </x:c>
      <x:c r="Q199" s="22" t="str"/>
      <x:c r="R199" s="22" t="str"/>
      <x:c r="S199" s="22" t="str">
        <x:f>IF(C199="","",COUNTIFS('PAGOS'!$C$5:$C$504,A199,'PAGOS'!$B$5:$B$504,"&gt;0",'PAGOS'!$B$5:$B$504,"&lt;="&amp;'AJUSTES'!$B$4,'PAGOS'!$N$5:$N$504,"Incluir",'PAGOS'!$Q$5:$Q$504,"&lt;&gt;Aplicar"))</x:f>
      </x:c>
      <x:c r="T199" s="28" t="str">
        <x:f>IF(AND(C199&lt;&gt;"",ISNUMBER(O199),O199&lt;='AJUSTES'!$B$4,ISNUMBER(E199)),ROUND(E199-G199,2),"")</x:f>
      </x:c>
    </x:row>
    <x:row r="200" ht="25" customHeight="1">
      <x:c r="A200" s="22" t="str">
        <x:v>V-196</x:v>
      </x:c>
      <x:c r="B200" s="25" t="str"/>
      <x:c r="C200" s="26" t="str"/>
      <x:c r="D200" s="26" t="str"/>
      <x:c r="E200" s="27" t="str"/>
      <x:c r="F200" s="26" t="str"/>
      <x:c r="G200" s="28" t="str">
        <x:f>IF(C200="","",SUMIFS('PAGOS'!$K$5:$K$504,'PAGOS'!$C$5:$C$504,A200,'PAGOS'!$Q$5:$Q$504,"Aplicar",'PAGOS'!$B$5:$B$504,"&lt;="&amp;'AJUSTES'!$B$4))</x:f>
      </x:c>
      <x:c r="H200" s="28" t="str">
        <x:f>IF(C200="","",IF(AND(ISNUMBER(O200),O200&lt;='AJUSTES'!$B$4),0,IF(OR(P200&lt;&gt;"Incluir",NOT(ISNUMBER(E200)),B200="",B200&gt;'AJUSTES'!$B$4,S200&gt;0),"",MAX(0,ROUND(E200-G200,2)))))</x:f>
      </x:c>
      <x:c r="I200" s="22" t="str">
        <x:f>IF(C200="","",IF(P200="Anulada","Anulada",IF(B200&gt;'AJUSTES'!$B$4,"Posterior al corte",IF(NOT(ISNUMBER(H200)),"Por conciliar",IF(H200&lt;='AJUSTES'!$B$10,"Pagado",IF(J200&gt;0,"Moroso","Vigente"))))))</x:f>
      </x:c>
      <x:c r="J200" s="22" t="str">
        <x:f>IF(OR(C200="",NOT(ISNUMBER(H200)),NOT(ISNUMBER(N200))),"",IF(H200&gt;'AJUSTES'!$B$10,MAX(0,'AJUSTES'!$B$4-N200),0))</x:f>
      </x:c>
      <x:c r="K200" s="27" t="str"/>
      <x:c r="L200" s="26" t="str"/>
      <x:c r="M200" s="26" t="str">
        <x:f>IF(C200="","",'AJUSTES'!$B$5)</x:f>
      </x:c>
      <x:c r="N200" s="29" t="str">
        <x:f>IF(OR(NOT(ISNUMBER(B200)),NOT(ISNUMBER(M200))),"",B200+M200)</x:f>
      </x:c>
      <x:c r="O200" s="25" t="str"/>
      <x:c r="P200" s="26" t="str">
        <x:v>Incluir</x:v>
      </x:c>
      <x:c r="Q200" s="22" t="str"/>
      <x:c r="R200" s="22" t="str"/>
      <x:c r="S200" s="22" t="str">
        <x:f>IF(C200="","",COUNTIFS('PAGOS'!$C$5:$C$504,A200,'PAGOS'!$B$5:$B$504,"&gt;0",'PAGOS'!$B$5:$B$504,"&lt;="&amp;'AJUSTES'!$B$4,'PAGOS'!$N$5:$N$504,"Incluir",'PAGOS'!$Q$5:$Q$504,"&lt;&gt;Aplicar"))</x:f>
      </x:c>
      <x:c r="T200" s="28" t="str">
        <x:f>IF(AND(C200&lt;&gt;"",ISNUMBER(O200),O200&lt;='AJUSTES'!$B$4,ISNUMBER(E200)),ROUND(E200-G200,2),"")</x:f>
      </x:c>
    </x:row>
    <x:row r="201" ht="25" customHeight="1">
      <x:c r="A201" s="22" t="str">
        <x:v>V-197</x:v>
      </x:c>
      <x:c r="B201" s="25" t="str"/>
      <x:c r="C201" s="26" t="str"/>
      <x:c r="D201" s="26" t="str"/>
      <x:c r="E201" s="27" t="str"/>
      <x:c r="F201" s="26" t="str"/>
      <x:c r="G201" s="28" t="str">
        <x:f>IF(C201="","",SUMIFS('PAGOS'!$K$5:$K$504,'PAGOS'!$C$5:$C$504,A201,'PAGOS'!$Q$5:$Q$504,"Aplicar",'PAGOS'!$B$5:$B$504,"&lt;="&amp;'AJUSTES'!$B$4))</x:f>
      </x:c>
      <x:c r="H201" s="28" t="str">
        <x:f>IF(C201="","",IF(AND(ISNUMBER(O201),O201&lt;='AJUSTES'!$B$4),0,IF(OR(P201&lt;&gt;"Incluir",NOT(ISNUMBER(E201)),B201="",B201&gt;'AJUSTES'!$B$4,S201&gt;0),"",MAX(0,ROUND(E201-G201,2)))))</x:f>
      </x:c>
      <x:c r="I201" s="22" t="str">
        <x:f>IF(C201="","",IF(P201="Anulada","Anulada",IF(B201&gt;'AJUSTES'!$B$4,"Posterior al corte",IF(NOT(ISNUMBER(H201)),"Por conciliar",IF(H201&lt;='AJUSTES'!$B$10,"Pagado",IF(J201&gt;0,"Moroso","Vigente"))))))</x:f>
      </x:c>
      <x:c r="J201" s="22" t="str">
        <x:f>IF(OR(C201="",NOT(ISNUMBER(H201)),NOT(ISNUMBER(N201))),"",IF(H201&gt;'AJUSTES'!$B$10,MAX(0,'AJUSTES'!$B$4-N201),0))</x:f>
      </x:c>
      <x:c r="K201" s="27" t="str"/>
      <x:c r="L201" s="26" t="str"/>
      <x:c r="M201" s="26" t="str">
        <x:f>IF(C201="","",'AJUSTES'!$B$5)</x:f>
      </x:c>
      <x:c r="N201" s="29" t="str">
        <x:f>IF(OR(NOT(ISNUMBER(B201)),NOT(ISNUMBER(M201))),"",B201+M201)</x:f>
      </x:c>
      <x:c r="O201" s="25" t="str"/>
      <x:c r="P201" s="26" t="str">
        <x:v>Incluir</x:v>
      </x:c>
      <x:c r="Q201" s="22" t="str"/>
      <x:c r="R201" s="22" t="str"/>
      <x:c r="S201" s="22" t="str">
        <x:f>IF(C201="","",COUNTIFS('PAGOS'!$C$5:$C$504,A201,'PAGOS'!$B$5:$B$504,"&gt;0",'PAGOS'!$B$5:$B$504,"&lt;="&amp;'AJUSTES'!$B$4,'PAGOS'!$N$5:$N$504,"Incluir",'PAGOS'!$Q$5:$Q$504,"&lt;&gt;Aplicar"))</x:f>
      </x:c>
      <x:c r="T201" s="28" t="str">
        <x:f>IF(AND(C201&lt;&gt;"",ISNUMBER(O201),O201&lt;='AJUSTES'!$B$4,ISNUMBER(E201)),ROUND(E201-G201,2),"")</x:f>
      </x:c>
    </x:row>
    <x:row r="202" ht="25" customHeight="1">
      <x:c r="A202" s="22" t="str">
        <x:v>V-198</x:v>
      </x:c>
      <x:c r="B202" s="25" t="str"/>
      <x:c r="C202" s="26" t="str"/>
      <x:c r="D202" s="26" t="str"/>
      <x:c r="E202" s="27" t="str"/>
      <x:c r="F202" s="26" t="str"/>
      <x:c r="G202" s="28" t="str">
        <x:f>IF(C202="","",SUMIFS('PAGOS'!$K$5:$K$504,'PAGOS'!$C$5:$C$504,A202,'PAGOS'!$Q$5:$Q$504,"Aplicar",'PAGOS'!$B$5:$B$504,"&lt;="&amp;'AJUSTES'!$B$4))</x:f>
      </x:c>
      <x:c r="H202" s="28" t="str">
        <x:f>IF(C202="","",IF(AND(ISNUMBER(O202),O202&lt;='AJUSTES'!$B$4),0,IF(OR(P202&lt;&gt;"Incluir",NOT(ISNUMBER(E202)),B202="",B202&gt;'AJUSTES'!$B$4,S202&gt;0),"",MAX(0,ROUND(E202-G202,2)))))</x:f>
      </x:c>
      <x:c r="I202" s="22" t="str">
        <x:f>IF(C202="","",IF(P202="Anulada","Anulada",IF(B202&gt;'AJUSTES'!$B$4,"Posterior al corte",IF(NOT(ISNUMBER(H202)),"Por conciliar",IF(H202&lt;='AJUSTES'!$B$10,"Pagado",IF(J202&gt;0,"Moroso","Vigente"))))))</x:f>
      </x:c>
      <x:c r="J202" s="22" t="str">
        <x:f>IF(OR(C202="",NOT(ISNUMBER(H202)),NOT(ISNUMBER(N202))),"",IF(H202&gt;'AJUSTES'!$B$10,MAX(0,'AJUSTES'!$B$4-N202),0))</x:f>
      </x:c>
      <x:c r="K202" s="27" t="str"/>
      <x:c r="L202" s="26" t="str"/>
      <x:c r="M202" s="26" t="str">
        <x:f>IF(C202="","",'AJUSTES'!$B$5)</x:f>
      </x:c>
      <x:c r="N202" s="29" t="str">
        <x:f>IF(OR(NOT(ISNUMBER(B202)),NOT(ISNUMBER(M202))),"",B202+M202)</x:f>
      </x:c>
      <x:c r="O202" s="25" t="str"/>
      <x:c r="P202" s="26" t="str">
        <x:v>Incluir</x:v>
      </x:c>
      <x:c r="Q202" s="22" t="str"/>
      <x:c r="R202" s="22" t="str"/>
      <x:c r="S202" s="22" t="str">
        <x:f>IF(C202="","",COUNTIFS('PAGOS'!$C$5:$C$504,A202,'PAGOS'!$B$5:$B$504,"&gt;0",'PAGOS'!$B$5:$B$504,"&lt;="&amp;'AJUSTES'!$B$4,'PAGOS'!$N$5:$N$504,"Incluir",'PAGOS'!$Q$5:$Q$504,"&lt;&gt;Aplicar"))</x:f>
      </x:c>
      <x:c r="T202" s="28" t="str">
        <x:f>IF(AND(C202&lt;&gt;"",ISNUMBER(O202),O202&lt;='AJUSTES'!$B$4,ISNUMBER(E202)),ROUND(E202-G202,2),"")</x:f>
      </x:c>
    </x:row>
    <x:row r="203" ht="25" customHeight="1">
      <x:c r="A203" s="22" t="str">
        <x:v>V-199</x:v>
      </x:c>
      <x:c r="B203" s="25" t="str"/>
      <x:c r="C203" s="26" t="str"/>
      <x:c r="D203" s="26" t="str"/>
      <x:c r="E203" s="27" t="str"/>
      <x:c r="F203" s="26" t="str"/>
      <x:c r="G203" s="28" t="str">
        <x:f>IF(C203="","",SUMIFS('PAGOS'!$K$5:$K$504,'PAGOS'!$C$5:$C$504,A203,'PAGOS'!$Q$5:$Q$504,"Aplicar",'PAGOS'!$B$5:$B$504,"&lt;="&amp;'AJUSTES'!$B$4))</x:f>
      </x:c>
      <x:c r="H203" s="28" t="str">
        <x:f>IF(C203="","",IF(AND(ISNUMBER(O203),O203&lt;='AJUSTES'!$B$4),0,IF(OR(P203&lt;&gt;"Incluir",NOT(ISNUMBER(E203)),B203="",B203&gt;'AJUSTES'!$B$4,S203&gt;0),"",MAX(0,ROUND(E203-G203,2)))))</x:f>
      </x:c>
      <x:c r="I203" s="22" t="str">
        <x:f>IF(C203="","",IF(P203="Anulada","Anulada",IF(B203&gt;'AJUSTES'!$B$4,"Posterior al corte",IF(NOT(ISNUMBER(H203)),"Por conciliar",IF(H203&lt;='AJUSTES'!$B$10,"Pagado",IF(J203&gt;0,"Moroso","Vigente"))))))</x:f>
      </x:c>
      <x:c r="J203" s="22" t="str">
        <x:f>IF(OR(C203="",NOT(ISNUMBER(H203)),NOT(ISNUMBER(N203))),"",IF(H203&gt;'AJUSTES'!$B$10,MAX(0,'AJUSTES'!$B$4-N203),0))</x:f>
      </x:c>
      <x:c r="K203" s="27" t="str"/>
      <x:c r="L203" s="26" t="str"/>
      <x:c r="M203" s="26" t="str">
        <x:f>IF(C203="","",'AJUSTES'!$B$5)</x:f>
      </x:c>
      <x:c r="N203" s="29" t="str">
        <x:f>IF(OR(NOT(ISNUMBER(B203)),NOT(ISNUMBER(M203))),"",B203+M203)</x:f>
      </x:c>
      <x:c r="O203" s="25" t="str"/>
      <x:c r="P203" s="26" t="str">
        <x:v>Incluir</x:v>
      </x:c>
      <x:c r="Q203" s="22" t="str"/>
      <x:c r="R203" s="22" t="str"/>
      <x:c r="S203" s="22" t="str">
        <x:f>IF(C203="","",COUNTIFS('PAGOS'!$C$5:$C$504,A203,'PAGOS'!$B$5:$B$504,"&gt;0",'PAGOS'!$B$5:$B$504,"&lt;="&amp;'AJUSTES'!$B$4,'PAGOS'!$N$5:$N$504,"Incluir",'PAGOS'!$Q$5:$Q$504,"&lt;&gt;Aplicar"))</x:f>
      </x:c>
      <x:c r="T203" s="28" t="str">
        <x:f>IF(AND(C203&lt;&gt;"",ISNUMBER(O203),O203&lt;='AJUSTES'!$B$4,ISNUMBER(E203)),ROUND(E203-G203,2),"")</x:f>
      </x:c>
    </x:row>
    <x:row r="204" ht="25" customHeight="1">
      <x:c r="A204" s="22" t="str">
        <x:v>V-200</x:v>
      </x:c>
      <x:c r="B204" s="25" t="str"/>
      <x:c r="C204" s="26" t="str"/>
      <x:c r="D204" s="26" t="str"/>
      <x:c r="E204" s="27" t="str"/>
      <x:c r="F204" s="26" t="str"/>
      <x:c r="G204" s="28" t="str">
        <x:f>IF(C204="","",SUMIFS('PAGOS'!$K$5:$K$504,'PAGOS'!$C$5:$C$504,A204,'PAGOS'!$Q$5:$Q$504,"Aplicar",'PAGOS'!$B$5:$B$504,"&lt;="&amp;'AJUSTES'!$B$4))</x:f>
      </x:c>
      <x:c r="H204" s="28" t="str">
        <x:f>IF(C204="","",IF(AND(ISNUMBER(O204),O204&lt;='AJUSTES'!$B$4),0,IF(OR(P204&lt;&gt;"Incluir",NOT(ISNUMBER(E204)),B204="",B204&gt;'AJUSTES'!$B$4,S204&gt;0),"",MAX(0,ROUND(E204-G204,2)))))</x:f>
      </x:c>
      <x:c r="I204" s="22" t="str">
        <x:f>IF(C204="","",IF(P204="Anulada","Anulada",IF(B204&gt;'AJUSTES'!$B$4,"Posterior al corte",IF(NOT(ISNUMBER(H204)),"Por conciliar",IF(H204&lt;='AJUSTES'!$B$10,"Pagado",IF(J204&gt;0,"Moroso","Vigente"))))))</x:f>
      </x:c>
      <x:c r="J204" s="22" t="str">
        <x:f>IF(OR(C204="",NOT(ISNUMBER(H204)),NOT(ISNUMBER(N204))),"",IF(H204&gt;'AJUSTES'!$B$10,MAX(0,'AJUSTES'!$B$4-N204),0))</x:f>
      </x:c>
      <x:c r="K204" s="27" t="str"/>
      <x:c r="L204" s="26" t="str"/>
      <x:c r="M204" s="26" t="str">
        <x:f>IF(C204="","",'AJUSTES'!$B$5)</x:f>
      </x:c>
      <x:c r="N204" s="29" t="str">
        <x:f>IF(OR(NOT(ISNUMBER(B204)),NOT(ISNUMBER(M204))),"",B204+M204)</x:f>
      </x:c>
      <x:c r="O204" s="25" t="str"/>
      <x:c r="P204" s="26" t="str">
        <x:v>Incluir</x:v>
      </x:c>
      <x:c r="Q204" s="22" t="str"/>
      <x:c r="R204" s="22" t="str"/>
      <x:c r="S204" s="22" t="str">
        <x:f>IF(C204="","",COUNTIFS('PAGOS'!$C$5:$C$504,A204,'PAGOS'!$B$5:$B$504,"&gt;0",'PAGOS'!$B$5:$B$504,"&lt;="&amp;'AJUSTES'!$B$4,'PAGOS'!$N$5:$N$504,"Incluir",'PAGOS'!$Q$5:$Q$504,"&lt;&gt;Aplicar"))</x:f>
      </x:c>
      <x:c r="T204" s="28" t="str">
        <x:f>IF(AND(C204&lt;&gt;"",ISNUMBER(O204),O204&lt;='AJUSTES'!$B$4,ISNUMBER(E204)),ROUND(E204-G204,2),"")</x:f>
      </x:c>
    </x:row>
    <x:row r="205" ht="25" customHeight="1">
      <x:c r="A205" s="22" t="str">
        <x:v>V-201</x:v>
      </x:c>
      <x:c r="B205" s="25" t="str"/>
      <x:c r="C205" s="26" t="str"/>
      <x:c r="D205" s="26" t="str"/>
      <x:c r="E205" s="27" t="str"/>
      <x:c r="F205" s="26" t="str"/>
      <x:c r="G205" s="28" t="str">
        <x:f>IF(C205="","",SUMIFS('PAGOS'!$K$5:$K$504,'PAGOS'!$C$5:$C$504,A205,'PAGOS'!$Q$5:$Q$504,"Aplicar",'PAGOS'!$B$5:$B$504,"&lt;="&amp;'AJUSTES'!$B$4))</x:f>
      </x:c>
      <x:c r="H205" s="28" t="str">
        <x:f>IF(C205="","",IF(AND(ISNUMBER(O205),O205&lt;='AJUSTES'!$B$4),0,IF(OR(P205&lt;&gt;"Incluir",NOT(ISNUMBER(E205)),B205="",B205&gt;'AJUSTES'!$B$4,S205&gt;0),"",MAX(0,ROUND(E205-G205,2)))))</x:f>
      </x:c>
      <x:c r="I205" s="22" t="str">
        <x:f>IF(C205="","",IF(P205="Anulada","Anulada",IF(B205&gt;'AJUSTES'!$B$4,"Posterior al corte",IF(NOT(ISNUMBER(H205)),"Por conciliar",IF(H205&lt;='AJUSTES'!$B$10,"Pagado",IF(J205&gt;0,"Moroso","Vigente"))))))</x:f>
      </x:c>
      <x:c r="J205" s="22" t="str">
        <x:f>IF(OR(C205="",NOT(ISNUMBER(H205)),NOT(ISNUMBER(N205))),"",IF(H205&gt;'AJUSTES'!$B$10,MAX(0,'AJUSTES'!$B$4-N205),0))</x:f>
      </x:c>
      <x:c r="K205" s="27" t="str"/>
      <x:c r="L205" s="26" t="str"/>
      <x:c r="M205" s="26" t="str">
        <x:f>IF(C205="","",'AJUSTES'!$B$5)</x:f>
      </x:c>
      <x:c r="N205" s="29" t="str">
        <x:f>IF(OR(NOT(ISNUMBER(B205)),NOT(ISNUMBER(M205))),"",B205+M205)</x:f>
      </x:c>
      <x:c r="O205" s="25" t="str"/>
      <x:c r="P205" s="26" t="str">
        <x:v>Incluir</x:v>
      </x:c>
      <x:c r="Q205" s="22" t="str"/>
      <x:c r="R205" s="22" t="str"/>
      <x:c r="S205" s="22" t="str">
        <x:f>IF(C205="","",COUNTIFS('PAGOS'!$C$5:$C$504,A205,'PAGOS'!$B$5:$B$504,"&gt;0",'PAGOS'!$B$5:$B$504,"&lt;="&amp;'AJUSTES'!$B$4,'PAGOS'!$N$5:$N$504,"Incluir",'PAGOS'!$Q$5:$Q$504,"&lt;&gt;Aplicar"))</x:f>
      </x:c>
      <x:c r="T205" s="28" t="str">
        <x:f>IF(AND(C205&lt;&gt;"",ISNUMBER(O205),O205&lt;='AJUSTES'!$B$4,ISNUMBER(E205)),ROUND(E205-G205,2),"")</x:f>
      </x:c>
    </x:row>
    <x:row r="206" ht="25" customHeight="1">
      <x:c r="A206" s="22" t="str">
        <x:v>V-202</x:v>
      </x:c>
      <x:c r="B206" s="25" t="str"/>
      <x:c r="C206" s="26" t="str"/>
      <x:c r="D206" s="26" t="str"/>
      <x:c r="E206" s="27" t="str"/>
      <x:c r="F206" s="26" t="str"/>
      <x:c r="G206" s="28" t="str">
        <x:f>IF(C206="","",SUMIFS('PAGOS'!$K$5:$K$504,'PAGOS'!$C$5:$C$504,A206,'PAGOS'!$Q$5:$Q$504,"Aplicar",'PAGOS'!$B$5:$B$504,"&lt;="&amp;'AJUSTES'!$B$4))</x:f>
      </x:c>
      <x:c r="H206" s="28" t="str">
        <x:f>IF(C206="","",IF(AND(ISNUMBER(O206),O206&lt;='AJUSTES'!$B$4),0,IF(OR(P206&lt;&gt;"Incluir",NOT(ISNUMBER(E206)),B206="",B206&gt;'AJUSTES'!$B$4,S206&gt;0),"",MAX(0,ROUND(E206-G206,2)))))</x:f>
      </x:c>
      <x:c r="I206" s="22" t="str">
        <x:f>IF(C206="","",IF(P206="Anulada","Anulada",IF(B206&gt;'AJUSTES'!$B$4,"Posterior al corte",IF(NOT(ISNUMBER(H206)),"Por conciliar",IF(H206&lt;='AJUSTES'!$B$10,"Pagado",IF(J206&gt;0,"Moroso","Vigente"))))))</x:f>
      </x:c>
      <x:c r="J206" s="22" t="str">
        <x:f>IF(OR(C206="",NOT(ISNUMBER(H206)),NOT(ISNUMBER(N206))),"",IF(H206&gt;'AJUSTES'!$B$10,MAX(0,'AJUSTES'!$B$4-N206),0))</x:f>
      </x:c>
      <x:c r="K206" s="27" t="str"/>
      <x:c r="L206" s="26" t="str"/>
      <x:c r="M206" s="26" t="str">
        <x:f>IF(C206="","",'AJUSTES'!$B$5)</x:f>
      </x:c>
      <x:c r="N206" s="29" t="str">
        <x:f>IF(OR(NOT(ISNUMBER(B206)),NOT(ISNUMBER(M206))),"",B206+M206)</x:f>
      </x:c>
      <x:c r="O206" s="25" t="str"/>
      <x:c r="P206" s="26" t="str">
        <x:v>Incluir</x:v>
      </x:c>
      <x:c r="Q206" s="22" t="str"/>
      <x:c r="R206" s="22" t="str"/>
      <x:c r="S206" s="22" t="str">
        <x:f>IF(C206="","",COUNTIFS('PAGOS'!$C$5:$C$504,A206,'PAGOS'!$B$5:$B$504,"&gt;0",'PAGOS'!$B$5:$B$504,"&lt;="&amp;'AJUSTES'!$B$4,'PAGOS'!$N$5:$N$504,"Incluir",'PAGOS'!$Q$5:$Q$504,"&lt;&gt;Aplicar"))</x:f>
      </x:c>
      <x:c r="T206" s="28" t="str">
        <x:f>IF(AND(C206&lt;&gt;"",ISNUMBER(O206),O206&lt;='AJUSTES'!$B$4,ISNUMBER(E206)),ROUND(E206-G206,2),"")</x:f>
      </x:c>
    </x:row>
    <x:row r="207" ht="25" customHeight="1">
      <x:c r="A207" s="22" t="str">
        <x:v>V-203</x:v>
      </x:c>
      <x:c r="B207" s="25" t="str"/>
      <x:c r="C207" s="26" t="str"/>
      <x:c r="D207" s="26" t="str"/>
      <x:c r="E207" s="27" t="str"/>
      <x:c r="F207" s="26" t="str"/>
      <x:c r="G207" s="28" t="str">
        <x:f>IF(C207="","",SUMIFS('PAGOS'!$K$5:$K$504,'PAGOS'!$C$5:$C$504,A207,'PAGOS'!$Q$5:$Q$504,"Aplicar",'PAGOS'!$B$5:$B$504,"&lt;="&amp;'AJUSTES'!$B$4))</x:f>
      </x:c>
      <x:c r="H207" s="28" t="str">
        <x:f>IF(C207="","",IF(AND(ISNUMBER(O207),O207&lt;='AJUSTES'!$B$4),0,IF(OR(P207&lt;&gt;"Incluir",NOT(ISNUMBER(E207)),B207="",B207&gt;'AJUSTES'!$B$4,S207&gt;0),"",MAX(0,ROUND(E207-G207,2)))))</x:f>
      </x:c>
      <x:c r="I207" s="22" t="str">
        <x:f>IF(C207="","",IF(P207="Anulada","Anulada",IF(B207&gt;'AJUSTES'!$B$4,"Posterior al corte",IF(NOT(ISNUMBER(H207)),"Por conciliar",IF(H207&lt;='AJUSTES'!$B$10,"Pagado",IF(J207&gt;0,"Moroso","Vigente"))))))</x:f>
      </x:c>
      <x:c r="J207" s="22" t="str">
        <x:f>IF(OR(C207="",NOT(ISNUMBER(H207)),NOT(ISNUMBER(N207))),"",IF(H207&gt;'AJUSTES'!$B$10,MAX(0,'AJUSTES'!$B$4-N207),0))</x:f>
      </x:c>
      <x:c r="K207" s="27" t="str"/>
      <x:c r="L207" s="26" t="str"/>
      <x:c r="M207" s="26" t="str">
        <x:f>IF(C207="","",'AJUSTES'!$B$5)</x:f>
      </x:c>
      <x:c r="N207" s="29" t="str">
        <x:f>IF(OR(NOT(ISNUMBER(B207)),NOT(ISNUMBER(M207))),"",B207+M207)</x:f>
      </x:c>
      <x:c r="O207" s="25" t="str"/>
      <x:c r="P207" s="26" t="str">
        <x:v>Incluir</x:v>
      </x:c>
      <x:c r="Q207" s="22" t="str"/>
      <x:c r="R207" s="22" t="str"/>
      <x:c r="S207" s="22" t="str">
        <x:f>IF(C207="","",COUNTIFS('PAGOS'!$C$5:$C$504,A207,'PAGOS'!$B$5:$B$504,"&gt;0",'PAGOS'!$B$5:$B$504,"&lt;="&amp;'AJUSTES'!$B$4,'PAGOS'!$N$5:$N$504,"Incluir",'PAGOS'!$Q$5:$Q$504,"&lt;&gt;Aplicar"))</x:f>
      </x:c>
      <x:c r="T207" s="28" t="str">
        <x:f>IF(AND(C207&lt;&gt;"",ISNUMBER(O207),O207&lt;='AJUSTES'!$B$4,ISNUMBER(E207)),ROUND(E207-G207,2),"")</x:f>
      </x:c>
    </x:row>
    <x:row r="208" ht="25" customHeight="1">
      <x:c r="A208" s="22" t="str">
        <x:v>V-204</x:v>
      </x:c>
      <x:c r="B208" s="25" t="str"/>
      <x:c r="C208" s="26" t="str"/>
      <x:c r="D208" s="26" t="str"/>
      <x:c r="E208" s="27" t="str"/>
      <x:c r="F208" s="26" t="str"/>
      <x:c r="G208" s="28" t="str">
        <x:f>IF(C208="","",SUMIFS('PAGOS'!$K$5:$K$504,'PAGOS'!$C$5:$C$504,A208,'PAGOS'!$Q$5:$Q$504,"Aplicar",'PAGOS'!$B$5:$B$504,"&lt;="&amp;'AJUSTES'!$B$4))</x:f>
      </x:c>
      <x:c r="H208" s="28" t="str">
        <x:f>IF(C208="","",IF(AND(ISNUMBER(O208),O208&lt;='AJUSTES'!$B$4),0,IF(OR(P208&lt;&gt;"Incluir",NOT(ISNUMBER(E208)),B208="",B208&gt;'AJUSTES'!$B$4,S208&gt;0),"",MAX(0,ROUND(E208-G208,2)))))</x:f>
      </x:c>
      <x:c r="I208" s="22" t="str">
        <x:f>IF(C208="","",IF(P208="Anulada","Anulada",IF(B208&gt;'AJUSTES'!$B$4,"Posterior al corte",IF(NOT(ISNUMBER(H208)),"Por conciliar",IF(H208&lt;='AJUSTES'!$B$10,"Pagado",IF(J208&gt;0,"Moroso","Vigente"))))))</x:f>
      </x:c>
      <x:c r="J208" s="22" t="str">
        <x:f>IF(OR(C208="",NOT(ISNUMBER(H208)),NOT(ISNUMBER(N208))),"",IF(H208&gt;'AJUSTES'!$B$10,MAX(0,'AJUSTES'!$B$4-N208),0))</x:f>
      </x:c>
      <x:c r="K208" s="27" t="str"/>
      <x:c r="L208" s="26" t="str"/>
      <x:c r="M208" s="26" t="str">
        <x:f>IF(C208="","",'AJUSTES'!$B$5)</x:f>
      </x:c>
      <x:c r="N208" s="29" t="str">
        <x:f>IF(OR(NOT(ISNUMBER(B208)),NOT(ISNUMBER(M208))),"",B208+M208)</x:f>
      </x:c>
      <x:c r="O208" s="25" t="str"/>
      <x:c r="P208" s="26" t="str">
        <x:v>Incluir</x:v>
      </x:c>
      <x:c r="Q208" s="22" t="str"/>
      <x:c r="R208" s="22" t="str"/>
      <x:c r="S208" s="22" t="str">
        <x:f>IF(C208="","",COUNTIFS('PAGOS'!$C$5:$C$504,A208,'PAGOS'!$B$5:$B$504,"&gt;0",'PAGOS'!$B$5:$B$504,"&lt;="&amp;'AJUSTES'!$B$4,'PAGOS'!$N$5:$N$504,"Incluir",'PAGOS'!$Q$5:$Q$504,"&lt;&gt;Aplicar"))</x:f>
      </x:c>
      <x:c r="T208" s="28" t="str">
        <x:f>IF(AND(C208&lt;&gt;"",ISNUMBER(O208),O208&lt;='AJUSTES'!$B$4,ISNUMBER(E208)),ROUND(E208-G208,2),"")</x:f>
      </x:c>
    </x:row>
    <x:row r="209" ht="25" customHeight="1">
      <x:c r="A209" s="22" t="str">
        <x:v>V-205</x:v>
      </x:c>
      <x:c r="B209" s="25" t="str"/>
      <x:c r="C209" s="26" t="str"/>
      <x:c r="D209" s="26" t="str"/>
      <x:c r="E209" s="27" t="str"/>
      <x:c r="F209" s="26" t="str"/>
      <x:c r="G209" s="28" t="str">
        <x:f>IF(C209="","",SUMIFS('PAGOS'!$K$5:$K$504,'PAGOS'!$C$5:$C$504,A209,'PAGOS'!$Q$5:$Q$504,"Aplicar",'PAGOS'!$B$5:$B$504,"&lt;="&amp;'AJUSTES'!$B$4))</x:f>
      </x:c>
      <x:c r="H209" s="28" t="str">
        <x:f>IF(C209="","",IF(AND(ISNUMBER(O209),O209&lt;='AJUSTES'!$B$4),0,IF(OR(P209&lt;&gt;"Incluir",NOT(ISNUMBER(E209)),B209="",B209&gt;'AJUSTES'!$B$4,S209&gt;0),"",MAX(0,ROUND(E209-G209,2)))))</x:f>
      </x:c>
      <x:c r="I209" s="22" t="str">
        <x:f>IF(C209="","",IF(P209="Anulada","Anulada",IF(B209&gt;'AJUSTES'!$B$4,"Posterior al corte",IF(NOT(ISNUMBER(H209)),"Por conciliar",IF(H209&lt;='AJUSTES'!$B$10,"Pagado",IF(J209&gt;0,"Moroso","Vigente"))))))</x:f>
      </x:c>
      <x:c r="J209" s="22" t="str">
        <x:f>IF(OR(C209="",NOT(ISNUMBER(H209)),NOT(ISNUMBER(N209))),"",IF(H209&gt;'AJUSTES'!$B$10,MAX(0,'AJUSTES'!$B$4-N209),0))</x:f>
      </x:c>
      <x:c r="K209" s="27" t="str"/>
      <x:c r="L209" s="26" t="str"/>
      <x:c r="M209" s="26" t="str">
        <x:f>IF(C209="","",'AJUSTES'!$B$5)</x:f>
      </x:c>
      <x:c r="N209" s="29" t="str">
        <x:f>IF(OR(NOT(ISNUMBER(B209)),NOT(ISNUMBER(M209))),"",B209+M209)</x:f>
      </x:c>
      <x:c r="O209" s="25" t="str"/>
      <x:c r="P209" s="26" t="str">
        <x:v>Incluir</x:v>
      </x:c>
      <x:c r="Q209" s="22" t="str"/>
      <x:c r="R209" s="22" t="str"/>
      <x:c r="S209" s="22" t="str">
        <x:f>IF(C209="","",COUNTIFS('PAGOS'!$C$5:$C$504,A209,'PAGOS'!$B$5:$B$504,"&gt;0",'PAGOS'!$B$5:$B$504,"&lt;="&amp;'AJUSTES'!$B$4,'PAGOS'!$N$5:$N$504,"Incluir",'PAGOS'!$Q$5:$Q$504,"&lt;&gt;Aplicar"))</x:f>
      </x:c>
      <x:c r="T209" s="28" t="str">
        <x:f>IF(AND(C209&lt;&gt;"",ISNUMBER(O209),O209&lt;='AJUSTES'!$B$4,ISNUMBER(E209)),ROUND(E209-G209,2),"")</x:f>
      </x:c>
    </x:row>
    <x:row r="210" ht="25" customHeight="1">
      <x:c r="A210" s="22" t="str">
        <x:v>V-206</x:v>
      </x:c>
      <x:c r="B210" s="25" t="str"/>
      <x:c r="C210" s="26" t="str"/>
      <x:c r="D210" s="26" t="str"/>
      <x:c r="E210" s="27" t="str"/>
      <x:c r="F210" s="26" t="str"/>
      <x:c r="G210" s="28" t="str">
        <x:f>IF(C210="","",SUMIFS('PAGOS'!$K$5:$K$504,'PAGOS'!$C$5:$C$504,A210,'PAGOS'!$Q$5:$Q$504,"Aplicar",'PAGOS'!$B$5:$B$504,"&lt;="&amp;'AJUSTES'!$B$4))</x:f>
      </x:c>
      <x:c r="H210" s="28" t="str">
        <x:f>IF(C210="","",IF(AND(ISNUMBER(O210),O210&lt;='AJUSTES'!$B$4),0,IF(OR(P210&lt;&gt;"Incluir",NOT(ISNUMBER(E210)),B210="",B210&gt;'AJUSTES'!$B$4,S210&gt;0),"",MAX(0,ROUND(E210-G210,2)))))</x:f>
      </x:c>
      <x:c r="I210" s="22" t="str">
        <x:f>IF(C210="","",IF(P210="Anulada","Anulada",IF(B210&gt;'AJUSTES'!$B$4,"Posterior al corte",IF(NOT(ISNUMBER(H210)),"Por conciliar",IF(H210&lt;='AJUSTES'!$B$10,"Pagado",IF(J210&gt;0,"Moroso","Vigente"))))))</x:f>
      </x:c>
      <x:c r="J210" s="22" t="str">
        <x:f>IF(OR(C210="",NOT(ISNUMBER(H210)),NOT(ISNUMBER(N210))),"",IF(H210&gt;'AJUSTES'!$B$10,MAX(0,'AJUSTES'!$B$4-N210),0))</x:f>
      </x:c>
      <x:c r="K210" s="27" t="str"/>
      <x:c r="L210" s="26" t="str"/>
      <x:c r="M210" s="26" t="str">
        <x:f>IF(C210="","",'AJUSTES'!$B$5)</x:f>
      </x:c>
      <x:c r="N210" s="29" t="str">
        <x:f>IF(OR(NOT(ISNUMBER(B210)),NOT(ISNUMBER(M210))),"",B210+M210)</x:f>
      </x:c>
      <x:c r="O210" s="25" t="str"/>
      <x:c r="P210" s="26" t="str">
        <x:v>Incluir</x:v>
      </x:c>
      <x:c r="Q210" s="22" t="str"/>
      <x:c r="R210" s="22" t="str"/>
      <x:c r="S210" s="22" t="str">
        <x:f>IF(C210="","",COUNTIFS('PAGOS'!$C$5:$C$504,A210,'PAGOS'!$B$5:$B$504,"&gt;0",'PAGOS'!$B$5:$B$504,"&lt;="&amp;'AJUSTES'!$B$4,'PAGOS'!$N$5:$N$504,"Incluir",'PAGOS'!$Q$5:$Q$504,"&lt;&gt;Aplicar"))</x:f>
      </x:c>
      <x:c r="T210" s="28" t="str">
        <x:f>IF(AND(C210&lt;&gt;"",ISNUMBER(O210),O210&lt;='AJUSTES'!$B$4,ISNUMBER(E210)),ROUND(E210-G210,2),"")</x:f>
      </x:c>
    </x:row>
    <x:row r="211" ht="25" customHeight="1">
      <x:c r="A211" s="22" t="str">
        <x:v>V-207</x:v>
      </x:c>
      <x:c r="B211" s="25" t="str"/>
      <x:c r="C211" s="26" t="str"/>
      <x:c r="D211" s="26" t="str"/>
      <x:c r="E211" s="27" t="str"/>
      <x:c r="F211" s="26" t="str"/>
      <x:c r="G211" s="28" t="str">
        <x:f>IF(C211="","",SUMIFS('PAGOS'!$K$5:$K$504,'PAGOS'!$C$5:$C$504,A211,'PAGOS'!$Q$5:$Q$504,"Aplicar",'PAGOS'!$B$5:$B$504,"&lt;="&amp;'AJUSTES'!$B$4))</x:f>
      </x:c>
      <x:c r="H211" s="28" t="str">
        <x:f>IF(C211="","",IF(AND(ISNUMBER(O211),O211&lt;='AJUSTES'!$B$4),0,IF(OR(P211&lt;&gt;"Incluir",NOT(ISNUMBER(E211)),B211="",B211&gt;'AJUSTES'!$B$4,S211&gt;0),"",MAX(0,ROUND(E211-G211,2)))))</x:f>
      </x:c>
      <x:c r="I211" s="22" t="str">
        <x:f>IF(C211="","",IF(P211="Anulada","Anulada",IF(B211&gt;'AJUSTES'!$B$4,"Posterior al corte",IF(NOT(ISNUMBER(H211)),"Por conciliar",IF(H211&lt;='AJUSTES'!$B$10,"Pagado",IF(J211&gt;0,"Moroso","Vigente"))))))</x:f>
      </x:c>
      <x:c r="J211" s="22" t="str">
        <x:f>IF(OR(C211="",NOT(ISNUMBER(H211)),NOT(ISNUMBER(N211))),"",IF(H211&gt;'AJUSTES'!$B$10,MAX(0,'AJUSTES'!$B$4-N211),0))</x:f>
      </x:c>
      <x:c r="K211" s="27" t="str"/>
      <x:c r="L211" s="26" t="str"/>
      <x:c r="M211" s="26" t="str">
        <x:f>IF(C211="","",'AJUSTES'!$B$5)</x:f>
      </x:c>
      <x:c r="N211" s="29" t="str">
        <x:f>IF(OR(NOT(ISNUMBER(B211)),NOT(ISNUMBER(M211))),"",B211+M211)</x:f>
      </x:c>
      <x:c r="O211" s="25" t="str"/>
      <x:c r="P211" s="26" t="str">
        <x:v>Incluir</x:v>
      </x:c>
      <x:c r="Q211" s="22" t="str"/>
      <x:c r="R211" s="22" t="str"/>
      <x:c r="S211" s="22" t="str">
        <x:f>IF(C211="","",COUNTIFS('PAGOS'!$C$5:$C$504,A211,'PAGOS'!$B$5:$B$504,"&gt;0",'PAGOS'!$B$5:$B$504,"&lt;="&amp;'AJUSTES'!$B$4,'PAGOS'!$N$5:$N$504,"Incluir",'PAGOS'!$Q$5:$Q$504,"&lt;&gt;Aplicar"))</x:f>
      </x:c>
      <x:c r="T211" s="28" t="str">
        <x:f>IF(AND(C211&lt;&gt;"",ISNUMBER(O211),O211&lt;='AJUSTES'!$B$4,ISNUMBER(E211)),ROUND(E211-G211,2),"")</x:f>
      </x:c>
    </x:row>
    <x:row r="212" ht="25" customHeight="1">
      <x:c r="A212" s="22" t="str">
        <x:v>V-208</x:v>
      </x:c>
      <x:c r="B212" s="25" t="str"/>
      <x:c r="C212" s="26" t="str"/>
      <x:c r="D212" s="26" t="str"/>
      <x:c r="E212" s="27" t="str"/>
      <x:c r="F212" s="26" t="str"/>
      <x:c r="G212" s="28" t="str">
        <x:f>IF(C212="","",SUMIFS('PAGOS'!$K$5:$K$504,'PAGOS'!$C$5:$C$504,A212,'PAGOS'!$Q$5:$Q$504,"Aplicar",'PAGOS'!$B$5:$B$504,"&lt;="&amp;'AJUSTES'!$B$4))</x:f>
      </x:c>
      <x:c r="H212" s="28" t="str">
        <x:f>IF(C212="","",IF(AND(ISNUMBER(O212),O212&lt;='AJUSTES'!$B$4),0,IF(OR(P212&lt;&gt;"Incluir",NOT(ISNUMBER(E212)),B212="",B212&gt;'AJUSTES'!$B$4,S212&gt;0),"",MAX(0,ROUND(E212-G212,2)))))</x:f>
      </x:c>
      <x:c r="I212" s="22" t="str">
        <x:f>IF(C212="","",IF(P212="Anulada","Anulada",IF(B212&gt;'AJUSTES'!$B$4,"Posterior al corte",IF(NOT(ISNUMBER(H212)),"Por conciliar",IF(H212&lt;='AJUSTES'!$B$10,"Pagado",IF(J212&gt;0,"Moroso","Vigente"))))))</x:f>
      </x:c>
      <x:c r="J212" s="22" t="str">
        <x:f>IF(OR(C212="",NOT(ISNUMBER(H212)),NOT(ISNUMBER(N212))),"",IF(H212&gt;'AJUSTES'!$B$10,MAX(0,'AJUSTES'!$B$4-N212),0))</x:f>
      </x:c>
      <x:c r="K212" s="27" t="str"/>
      <x:c r="L212" s="26" t="str"/>
      <x:c r="M212" s="26" t="str">
        <x:f>IF(C212="","",'AJUSTES'!$B$5)</x:f>
      </x:c>
      <x:c r="N212" s="29" t="str">
        <x:f>IF(OR(NOT(ISNUMBER(B212)),NOT(ISNUMBER(M212))),"",B212+M212)</x:f>
      </x:c>
      <x:c r="O212" s="25" t="str"/>
      <x:c r="P212" s="26" t="str">
        <x:v>Incluir</x:v>
      </x:c>
      <x:c r="Q212" s="22" t="str"/>
      <x:c r="R212" s="22" t="str"/>
      <x:c r="S212" s="22" t="str">
        <x:f>IF(C212="","",COUNTIFS('PAGOS'!$C$5:$C$504,A212,'PAGOS'!$B$5:$B$504,"&gt;0",'PAGOS'!$B$5:$B$504,"&lt;="&amp;'AJUSTES'!$B$4,'PAGOS'!$N$5:$N$504,"Incluir",'PAGOS'!$Q$5:$Q$504,"&lt;&gt;Aplicar"))</x:f>
      </x:c>
      <x:c r="T212" s="28" t="str">
        <x:f>IF(AND(C212&lt;&gt;"",ISNUMBER(O212),O212&lt;='AJUSTES'!$B$4,ISNUMBER(E212)),ROUND(E212-G212,2),"")</x:f>
      </x:c>
    </x:row>
    <x:row r="213" ht="25" customHeight="1">
      <x:c r="A213" s="22" t="str">
        <x:v>V-209</x:v>
      </x:c>
      <x:c r="B213" s="25" t="str"/>
      <x:c r="C213" s="26" t="str"/>
      <x:c r="D213" s="26" t="str"/>
      <x:c r="E213" s="27" t="str"/>
      <x:c r="F213" s="26" t="str"/>
      <x:c r="G213" s="28" t="str">
        <x:f>IF(C213="","",SUMIFS('PAGOS'!$K$5:$K$504,'PAGOS'!$C$5:$C$504,A213,'PAGOS'!$Q$5:$Q$504,"Aplicar",'PAGOS'!$B$5:$B$504,"&lt;="&amp;'AJUSTES'!$B$4))</x:f>
      </x:c>
      <x:c r="H213" s="28" t="str">
        <x:f>IF(C213="","",IF(AND(ISNUMBER(O213),O213&lt;='AJUSTES'!$B$4),0,IF(OR(P213&lt;&gt;"Incluir",NOT(ISNUMBER(E213)),B213="",B213&gt;'AJUSTES'!$B$4,S213&gt;0),"",MAX(0,ROUND(E213-G213,2)))))</x:f>
      </x:c>
      <x:c r="I213" s="22" t="str">
        <x:f>IF(C213="","",IF(P213="Anulada","Anulada",IF(B213&gt;'AJUSTES'!$B$4,"Posterior al corte",IF(NOT(ISNUMBER(H213)),"Por conciliar",IF(H213&lt;='AJUSTES'!$B$10,"Pagado",IF(J213&gt;0,"Moroso","Vigente"))))))</x:f>
      </x:c>
      <x:c r="J213" s="22" t="str">
        <x:f>IF(OR(C213="",NOT(ISNUMBER(H213)),NOT(ISNUMBER(N213))),"",IF(H213&gt;'AJUSTES'!$B$10,MAX(0,'AJUSTES'!$B$4-N213),0))</x:f>
      </x:c>
      <x:c r="K213" s="27" t="str"/>
      <x:c r="L213" s="26" t="str"/>
      <x:c r="M213" s="26" t="str">
        <x:f>IF(C213="","",'AJUSTES'!$B$5)</x:f>
      </x:c>
      <x:c r="N213" s="29" t="str">
        <x:f>IF(OR(NOT(ISNUMBER(B213)),NOT(ISNUMBER(M213))),"",B213+M213)</x:f>
      </x:c>
      <x:c r="O213" s="25" t="str"/>
      <x:c r="P213" s="26" t="str">
        <x:v>Incluir</x:v>
      </x:c>
      <x:c r="Q213" s="22" t="str"/>
      <x:c r="R213" s="22" t="str"/>
      <x:c r="S213" s="22" t="str">
        <x:f>IF(C213="","",COUNTIFS('PAGOS'!$C$5:$C$504,A213,'PAGOS'!$B$5:$B$504,"&gt;0",'PAGOS'!$B$5:$B$504,"&lt;="&amp;'AJUSTES'!$B$4,'PAGOS'!$N$5:$N$504,"Incluir",'PAGOS'!$Q$5:$Q$504,"&lt;&gt;Aplicar"))</x:f>
      </x:c>
      <x:c r="T213" s="28" t="str">
        <x:f>IF(AND(C213&lt;&gt;"",ISNUMBER(O213),O213&lt;='AJUSTES'!$B$4,ISNUMBER(E213)),ROUND(E213-G213,2),"")</x:f>
      </x:c>
    </x:row>
    <x:row r="214" ht="25" customHeight="1">
      <x:c r="A214" s="22" t="str">
        <x:v>V-210</x:v>
      </x:c>
      <x:c r="B214" s="25" t="str"/>
      <x:c r="C214" s="26" t="str"/>
      <x:c r="D214" s="26" t="str"/>
      <x:c r="E214" s="27" t="str"/>
      <x:c r="F214" s="26" t="str"/>
      <x:c r="G214" s="28" t="str">
        <x:f>IF(C214="","",SUMIFS('PAGOS'!$K$5:$K$504,'PAGOS'!$C$5:$C$504,A214,'PAGOS'!$Q$5:$Q$504,"Aplicar",'PAGOS'!$B$5:$B$504,"&lt;="&amp;'AJUSTES'!$B$4))</x:f>
      </x:c>
      <x:c r="H214" s="28" t="str">
        <x:f>IF(C214="","",IF(AND(ISNUMBER(O214),O214&lt;='AJUSTES'!$B$4),0,IF(OR(P214&lt;&gt;"Incluir",NOT(ISNUMBER(E214)),B214="",B214&gt;'AJUSTES'!$B$4,S214&gt;0),"",MAX(0,ROUND(E214-G214,2)))))</x:f>
      </x:c>
      <x:c r="I214" s="22" t="str">
        <x:f>IF(C214="","",IF(P214="Anulada","Anulada",IF(B214&gt;'AJUSTES'!$B$4,"Posterior al corte",IF(NOT(ISNUMBER(H214)),"Por conciliar",IF(H214&lt;='AJUSTES'!$B$10,"Pagado",IF(J214&gt;0,"Moroso","Vigente"))))))</x:f>
      </x:c>
      <x:c r="J214" s="22" t="str">
        <x:f>IF(OR(C214="",NOT(ISNUMBER(H214)),NOT(ISNUMBER(N214))),"",IF(H214&gt;'AJUSTES'!$B$10,MAX(0,'AJUSTES'!$B$4-N214),0))</x:f>
      </x:c>
      <x:c r="K214" s="27" t="str"/>
      <x:c r="L214" s="26" t="str"/>
      <x:c r="M214" s="26" t="str">
        <x:f>IF(C214="","",'AJUSTES'!$B$5)</x:f>
      </x:c>
      <x:c r="N214" s="29" t="str">
        <x:f>IF(OR(NOT(ISNUMBER(B214)),NOT(ISNUMBER(M214))),"",B214+M214)</x:f>
      </x:c>
      <x:c r="O214" s="25" t="str"/>
      <x:c r="P214" s="26" t="str">
        <x:v>Incluir</x:v>
      </x:c>
      <x:c r="Q214" s="22" t="str"/>
      <x:c r="R214" s="22" t="str"/>
      <x:c r="S214" s="22" t="str">
        <x:f>IF(C214="","",COUNTIFS('PAGOS'!$C$5:$C$504,A214,'PAGOS'!$B$5:$B$504,"&gt;0",'PAGOS'!$B$5:$B$504,"&lt;="&amp;'AJUSTES'!$B$4,'PAGOS'!$N$5:$N$504,"Incluir",'PAGOS'!$Q$5:$Q$504,"&lt;&gt;Aplicar"))</x:f>
      </x:c>
      <x:c r="T214" s="28" t="str">
        <x:f>IF(AND(C214&lt;&gt;"",ISNUMBER(O214),O214&lt;='AJUSTES'!$B$4,ISNUMBER(E214)),ROUND(E214-G214,2),"")</x:f>
      </x:c>
    </x:row>
    <x:row r="215" ht="25" customHeight="1">
      <x:c r="A215" s="22" t="str">
        <x:v>V-211</x:v>
      </x:c>
      <x:c r="B215" s="25" t="str"/>
      <x:c r="C215" s="26" t="str"/>
      <x:c r="D215" s="26" t="str"/>
      <x:c r="E215" s="27" t="str"/>
      <x:c r="F215" s="26" t="str"/>
      <x:c r="G215" s="28" t="str">
        <x:f>IF(C215="","",SUMIFS('PAGOS'!$K$5:$K$504,'PAGOS'!$C$5:$C$504,A215,'PAGOS'!$Q$5:$Q$504,"Aplicar",'PAGOS'!$B$5:$B$504,"&lt;="&amp;'AJUSTES'!$B$4))</x:f>
      </x:c>
      <x:c r="H215" s="28" t="str">
        <x:f>IF(C215="","",IF(AND(ISNUMBER(O215),O215&lt;='AJUSTES'!$B$4),0,IF(OR(P215&lt;&gt;"Incluir",NOT(ISNUMBER(E215)),B215="",B215&gt;'AJUSTES'!$B$4,S215&gt;0),"",MAX(0,ROUND(E215-G215,2)))))</x:f>
      </x:c>
      <x:c r="I215" s="22" t="str">
        <x:f>IF(C215="","",IF(P215="Anulada","Anulada",IF(B215&gt;'AJUSTES'!$B$4,"Posterior al corte",IF(NOT(ISNUMBER(H215)),"Por conciliar",IF(H215&lt;='AJUSTES'!$B$10,"Pagado",IF(J215&gt;0,"Moroso","Vigente"))))))</x:f>
      </x:c>
      <x:c r="J215" s="22" t="str">
        <x:f>IF(OR(C215="",NOT(ISNUMBER(H215)),NOT(ISNUMBER(N215))),"",IF(H215&gt;'AJUSTES'!$B$10,MAX(0,'AJUSTES'!$B$4-N215),0))</x:f>
      </x:c>
      <x:c r="K215" s="27" t="str"/>
      <x:c r="L215" s="26" t="str"/>
      <x:c r="M215" s="26" t="str">
        <x:f>IF(C215="","",'AJUSTES'!$B$5)</x:f>
      </x:c>
      <x:c r="N215" s="29" t="str">
        <x:f>IF(OR(NOT(ISNUMBER(B215)),NOT(ISNUMBER(M215))),"",B215+M215)</x:f>
      </x:c>
      <x:c r="O215" s="25" t="str"/>
      <x:c r="P215" s="26" t="str">
        <x:v>Incluir</x:v>
      </x:c>
      <x:c r="Q215" s="22" t="str"/>
      <x:c r="R215" s="22" t="str"/>
      <x:c r="S215" s="22" t="str">
        <x:f>IF(C215="","",COUNTIFS('PAGOS'!$C$5:$C$504,A215,'PAGOS'!$B$5:$B$504,"&gt;0",'PAGOS'!$B$5:$B$504,"&lt;="&amp;'AJUSTES'!$B$4,'PAGOS'!$N$5:$N$504,"Incluir",'PAGOS'!$Q$5:$Q$504,"&lt;&gt;Aplicar"))</x:f>
      </x:c>
      <x:c r="T215" s="28" t="str">
        <x:f>IF(AND(C215&lt;&gt;"",ISNUMBER(O215),O215&lt;='AJUSTES'!$B$4,ISNUMBER(E215)),ROUND(E215-G215,2),"")</x:f>
      </x:c>
    </x:row>
    <x:row r="216" ht="25" customHeight="1">
      <x:c r="A216" s="22" t="str">
        <x:v>V-212</x:v>
      </x:c>
      <x:c r="B216" s="25" t="str"/>
      <x:c r="C216" s="26" t="str"/>
      <x:c r="D216" s="26" t="str"/>
      <x:c r="E216" s="27" t="str"/>
      <x:c r="F216" s="26" t="str"/>
      <x:c r="G216" s="28" t="str">
        <x:f>IF(C216="","",SUMIFS('PAGOS'!$K$5:$K$504,'PAGOS'!$C$5:$C$504,A216,'PAGOS'!$Q$5:$Q$504,"Aplicar",'PAGOS'!$B$5:$B$504,"&lt;="&amp;'AJUSTES'!$B$4))</x:f>
      </x:c>
      <x:c r="H216" s="28" t="str">
        <x:f>IF(C216="","",IF(AND(ISNUMBER(O216),O216&lt;='AJUSTES'!$B$4),0,IF(OR(P216&lt;&gt;"Incluir",NOT(ISNUMBER(E216)),B216="",B216&gt;'AJUSTES'!$B$4,S216&gt;0),"",MAX(0,ROUND(E216-G216,2)))))</x:f>
      </x:c>
      <x:c r="I216" s="22" t="str">
        <x:f>IF(C216="","",IF(P216="Anulada","Anulada",IF(B216&gt;'AJUSTES'!$B$4,"Posterior al corte",IF(NOT(ISNUMBER(H216)),"Por conciliar",IF(H216&lt;='AJUSTES'!$B$10,"Pagado",IF(J216&gt;0,"Moroso","Vigente"))))))</x:f>
      </x:c>
      <x:c r="J216" s="22" t="str">
        <x:f>IF(OR(C216="",NOT(ISNUMBER(H216)),NOT(ISNUMBER(N216))),"",IF(H216&gt;'AJUSTES'!$B$10,MAX(0,'AJUSTES'!$B$4-N216),0))</x:f>
      </x:c>
      <x:c r="K216" s="27" t="str"/>
      <x:c r="L216" s="26" t="str"/>
      <x:c r="M216" s="26" t="str">
        <x:f>IF(C216="","",'AJUSTES'!$B$5)</x:f>
      </x:c>
      <x:c r="N216" s="29" t="str">
        <x:f>IF(OR(NOT(ISNUMBER(B216)),NOT(ISNUMBER(M216))),"",B216+M216)</x:f>
      </x:c>
      <x:c r="O216" s="25" t="str"/>
      <x:c r="P216" s="26" t="str">
        <x:v>Incluir</x:v>
      </x:c>
      <x:c r="Q216" s="22" t="str"/>
      <x:c r="R216" s="22" t="str"/>
      <x:c r="S216" s="22" t="str">
        <x:f>IF(C216="","",COUNTIFS('PAGOS'!$C$5:$C$504,A216,'PAGOS'!$B$5:$B$504,"&gt;0",'PAGOS'!$B$5:$B$504,"&lt;="&amp;'AJUSTES'!$B$4,'PAGOS'!$N$5:$N$504,"Incluir",'PAGOS'!$Q$5:$Q$504,"&lt;&gt;Aplicar"))</x:f>
      </x:c>
      <x:c r="T216" s="28" t="str">
        <x:f>IF(AND(C216&lt;&gt;"",ISNUMBER(O216),O216&lt;='AJUSTES'!$B$4,ISNUMBER(E216)),ROUND(E216-G216,2),"")</x:f>
      </x:c>
    </x:row>
    <x:row r="217" ht="25" customHeight="1">
      <x:c r="A217" s="22" t="str">
        <x:v>V-213</x:v>
      </x:c>
      <x:c r="B217" s="25" t="str"/>
      <x:c r="C217" s="26" t="str"/>
      <x:c r="D217" s="26" t="str"/>
      <x:c r="E217" s="27" t="str"/>
      <x:c r="F217" s="26" t="str"/>
      <x:c r="G217" s="28" t="str">
        <x:f>IF(C217="","",SUMIFS('PAGOS'!$K$5:$K$504,'PAGOS'!$C$5:$C$504,A217,'PAGOS'!$Q$5:$Q$504,"Aplicar",'PAGOS'!$B$5:$B$504,"&lt;="&amp;'AJUSTES'!$B$4))</x:f>
      </x:c>
      <x:c r="H217" s="28" t="str">
        <x:f>IF(C217="","",IF(AND(ISNUMBER(O217),O217&lt;='AJUSTES'!$B$4),0,IF(OR(P217&lt;&gt;"Incluir",NOT(ISNUMBER(E217)),B217="",B217&gt;'AJUSTES'!$B$4,S217&gt;0),"",MAX(0,ROUND(E217-G217,2)))))</x:f>
      </x:c>
      <x:c r="I217" s="22" t="str">
        <x:f>IF(C217="","",IF(P217="Anulada","Anulada",IF(B217&gt;'AJUSTES'!$B$4,"Posterior al corte",IF(NOT(ISNUMBER(H217)),"Por conciliar",IF(H217&lt;='AJUSTES'!$B$10,"Pagado",IF(J217&gt;0,"Moroso","Vigente"))))))</x:f>
      </x:c>
      <x:c r="J217" s="22" t="str">
        <x:f>IF(OR(C217="",NOT(ISNUMBER(H217)),NOT(ISNUMBER(N217))),"",IF(H217&gt;'AJUSTES'!$B$10,MAX(0,'AJUSTES'!$B$4-N217),0))</x:f>
      </x:c>
      <x:c r="K217" s="27" t="str"/>
      <x:c r="L217" s="26" t="str"/>
      <x:c r="M217" s="26" t="str">
        <x:f>IF(C217="","",'AJUSTES'!$B$5)</x:f>
      </x:c>
      <x:c r="N217" s="29" t="str">
        <x:f>IF(OR(NOT(ISNUMBER(B217)),NOT(ISNUMBER(M217))),"",B217+M217)</x:f>
      </x:c>
      <x:c r="O217" s="25" t="str"/>
      <x:c r="P217" s="26" t="str">
        <x:v>Incluir</x:v>
      </x:c>
      <x:c r="Q217" s="22" t="str"/>
      <x:c r="R217" s="22" t="str"/>
      <x:c r="S217" s="22" t="str">
        <x:f>IF(C217="","",COUNTIFS('PAGOS'!$C$5:$C$504,A217,'PAGOS'!$B$5:$B$504,"&gt;0",'PAGOS'!$B$5:$B$504,"&lt;="&amp;'AJUSTES'!$B$4,'PAGOS'!$N$5:$N$504,"Incluir",'PAGOS'!$Q$5:$Q$504,"&lt;&gt;Aplicar"))</x:f>
      </x:c>
      <x:c r="T217" s="28" t="str">
        <x:f>IF(AND(C217&lt;&gt;"",ISNUMBER(O217),O217&lt;='AJUSTES'!$B$4,ISNUMBER(E217)),ROUND(E217-G217,2),"")</x:f>
      </x:c>
    </x:row>
    <x:row r="218" ht="25" customHeight="1">
      <x:c r="A218" s="22" t="str">
        <x:v>V-214</x:v>
      </x:c>
      <x:c r="B218" s="25" t="str"/>
      <x:c r="C218" s="26" t="str"/>
      <x:c r="D218" s="26" t="str"/>
      <x:c r="E218" s="27" t="str"/>
      <x:c r="F218" s="26" t="str"/>
      <x:c r="G218" s="28" t="str">
        <x:f>IF(C218="","",SUMIFS('PAGOS'!$K$5:$K$504,'PAGOS'!$C$5:$C$504,A218,'PAGOS'!$Q$5:$Q$504,"Aplicar",'PAGOS'!$B$5:$B$504,"&lt;="&amp;'AJUSTES'!$B$4))</x:f>
      </x:c>
      <x:c r="H218" s="28" t="str">
        <x:f>IF(C218="","",IF(AND(ISNUMBER(O218),O218&lt;='AJUSTES'!$B$4),0,IF(OR(P218&lt;&gt;"Incluir",NOT(ISNUMBER(E218)),B218="",B218&gt;'AJUSTES'!$B$4,S218&gt;0),"",MAX(0,ROUND(E218-G218,2)))))</x:f>
      </x:c>
      <x:c r="I218" s="22" t="str">
        <x:f>IF(C218="","",IF(P218="Anulada","Anulada",IF(B218&gt;'AJUSTES'!$B$4,"Posterior al corte",IF(NOT(ISNUMBER(H218)),"Por conciliar",IF(H218&lt;='AJUSTES'!$B$10,"Pagado",IF(J218&gt;0,"Moroso","Vigente"))))))</x:f>
      </x:c>
      <x:c r="J218" s="22" t="str">
        <x:f>IF(OR(C218="",NOT(ISNUMBER(H218)),NOT(ISNUMBER(N218))),"",IF(H218&gt;'AJUSTES'!$B$10,MAX(0,'AJUSTES'!$B$4-N218),0))</x:f>
      </x:c>
      <x:c r="K218" s="27" t="str"/>
      <x:c r="L218" s="26" t="str"/>
      <x:c r="M218" s="26" t="str">
        <x:f>IF(C218="","",'AJUSTES'!$B$5)</x:f>
      </x:c>
      <x:c r="N218" s="29" t="str">
        <x:f>IF(OR(NOT(ISNUMBER(B218)),NOT(ISNUMBER(M218))),"",B218+M218)</x:f>
      </x:c>
      <x:c r="O218" s="25" t="str"/>
      <x:c r="P218" s="26" t="str">
        <x:v>Incluir</x:v>
      </x:c>
      <x:c r="Q218" s="22" t="str"/>
      <x:c r="R218" s="22" t="str"/>
      <x:c r="S218" s="22" t="str">
        <x:f>IF(C218="","",COUNTIFS('PAGOS'!$C$5:$C$504,A218,'PAGOS'!$B$5:$B$504,"&gt;0",'PAGOS'!$B$5:$B$504,"&lt;="&amp;'AJUSTES'!$B$4,'PAGOS'!$N$5:$N$504,"Incluir",'PAGOS'!$Q$5:$Q$504,"&lt;&gt;Aplicar"))</x:f>
      </x:c>
      <x:c r="T218" s="28" t="str">
        <x:f>IF(AND(C218&lt;&gt;"",ISNUMBER(O218),O218&lt;='AJUSTES'!$B$4,ISNUMBER(E218)),ROUND(E218-G218,2),"")</x:f>
      </x:c>
    </x:row>
    <x:row r="219" ht="25" customHeight="1">
      <x:c r="A219" s="22" t="str">
        <x:v>V-215</x:v>
      </x:c>
      <x:c r="B219" s="25" t="str"/>
      <x:c r="C219" s="26" t="str"/>
      <x:c r="D219" s="26" t="str"/>
      <x:c r="E219" s="27" t="str"/>
      <x:c r="F219" s="26" t="str"/>
      <x:c r="G219" s="28" t="str">
        <x:f>IF(C219="","",SUMIFS('PAGOS'!$K$5:$K$504,'PAGOS'!$C$5:$C$504,A219,'PAGOS'!$Q$5:$Q$504,"Aplicar",'PAGOS'!$B$5:$B$504,"&lt;="&amp;'AJUSTES'!$B$4))</x:f>
      </x:c>
      <x:c r="H219" s="28" t="str">
        <x:f>IF(C219="","",IF(AND(ISNUMBER(O219),O219&lt;='AJUSTES'!$B$4),0,IF(OR(P219&lt;&gt;"Incluir",NOT(ISNUMBER(E219)),B219="",B219&gt;'AJUSTES'!$B$4,S219&gt;0),"",MAX(0,ROUND(E219-G219,2)))))</x:f>
      </x:c>
      <x:c r="I219" s="22" t="str">
        <x:f>IF(C219="","",IF(P219="Anulada","Anulada",IF(B219&gt;'AJUSTES'!$B$4,"Posterior al corte",IF(NOT(ISNUMBER(H219)),"Por conciliar",IF(H219&lt;='AJUSTES'!$B$10,"Pagado",IF(J219&gt;0,"Moroso","Vigente"))))))</x:f>
      </x:c>
      <x:c r="J219" s="22" t="str">
        <x:f>IF(OR(C219="",NOT(ISNUMBER(H219)),NOT(ISNUMBER(N219))),"",IF(H219&gt;'AJUSTES'!$B$10,MAX(0,'AJUSTES'!$B$4-N219),0))</x:f>
      </x:c>
      <x:c r="K219" s="27" t="str"/>
      <x:c r="L219" s="26" t="str"/>
      <x:c r="M219" s="26" t="str">
        <x:f>IF(C219="","",'AJUSTES'!$B$5)</x:f>
      </x:c>
      <x:c r="N219" s="29" t="str">
        <x:f>IF(OR(NOT(ISNUMBER(B219)),NOT(ISNUMBER(M219))),"",B219+M219)</x:f>
      </x:c>
      <x:c r="O219" s="25" t="str"/>
      <x:c r="P219" s="26" t="str">
        <x:v>Incluir</x:v>
      </x:c>
      <x:c r="Q219" s="22" t="str"/>
      <x:c r="R219" s="22" t="str"/>
      <x:c r="S219" s="22" t="str">
        <x:f>IF(C219="","",COUNTIFS('PAGOS'!$C$5:$C$504,A219,'PAGOS'!$B$5:$B$504,"&gt;0",'PAGOS'!$B$5:$B$504,"&lt;="&amp;'AJUSTES'!$B$4,'PAGOS'!$N$5:$N$504,"Incluir",'PAGOS'!$Q$5:$Q$504,"&lt;&gt;Aplicar"))</x:f>
      </x:c>
      <x:c r="T219" s="28" t="str">
        <x:f>IF(AND(C219&lt;&gt;"",ISNUMBER(O219),O219&lt;='AJUSTES'!$B$4,ISNUMBER(E219)),ROUND(E219-G219,2),"")</x:f>
      </x:c>
    </x:row>
    <x:row r="220" ht="25" customHeight="1">
      <x:c r="A220" s="22" t="str">
        <x:v>V-216</x:v>
      </x:c>
      <x:c r="B220" s="25" t="str"/>
      <x:c r="C220" s="26" t="str"/>
      <x:c r="D220" s="26" t="str"/>
      <x:c r="E220" s="27" t="str"/>
      <x:c r="F220" s="26" t="str"/>
      <x:c r="G220" s="28" t="str">
        <x:f>IF(C220="","",SUMIFS('PAGOS'!$K$5:$K$504,'PAGOS'!$C$5:$C$504,A220,'PAGOS'!$Q$5:$Q$504,"Aplicar",'PAGOS'!$B$5:$B$504,"&lt;="&amp;'AJUSTES'!$B$4))</x:f>
      </x:c>
      <x:c r="H220" s="28" t="str">
        <x:f>IF(C220="","",IF(AND(ISNUMBER(O220),O220&lt;='AJUSTES'!$B$4),0,IF(OR(P220&lt;&gt;"Incluir",NOT(ISNUMBER(E220)),B220="",B220&gt;'AJUSTES'!$B$4,S220&gt;0),"",MAX(0,ROUND(E220-G220,2)))))</x:f>
      </x:c>
      <x:c r="I220" s="22" t="str">
        <x:f>IF(C220="","",IF(P220="Anulada","Anulada",IF(B220&gt;'AJUSTES'!$B$4,"Posterior al corte",IF(NOT(ISNUMBER(H220)),"Por conciliar",IF(H220&lt;='AJUSTES'!$B$10,"Pagado",IF(J220&gt;0,"Moroso","Vigente"))))))</x:f>
      </x:c>
      <x:c r="J220" s="22" t="str">
        <x:f>IF(OR(C220="",NOT(ISNUMBER(H220)),NOT(ISNUMBER(N220))),"",IF(H220&gt;'AJUSTES'!$B$10,MAX(0,'AJUSTES'!$B$4-N220),0))</x:f>
      </x:c>
      <x:c r="K220" s="27" t="str"/>
      <x:c r="L220" s="26" t="str"/>
      <x:c r="M220" s="26" t="str">
        <x:f>IF(C220="","",'AJUSTES'!$B$5)</x:f>
      </x:c>
      <x:c r="N220" s="29" t="str">
        <x:f>IF(OR(NOT(ISNUMBER(B220)),NOT(ISNUMBER(M220))),"",B220+M220)</x:f>
      </x:c>
      <x:c r="O220" s="25" t="str"/>
      <x:c r="P220" s="26" t="str">
        <x:v>Incluir</x:v>
      </x:c>
      <x:c r="Q220" s="22" t="str"/>
      <x:c r="R220" s="22" t="str"/>
      <x:c r="S220" s="22" t="str">
        <x:f>IF(C220="","",COUNTIFS('PAGOS'!$C$5:$C$504,A220,'PAGOS'!$B$5:$B$504,"&gt;0",'PAGOS'!$B$5:$B$504,"&lt;="&amp;'AJUSTES'!$B$4,'PAGOS'!$N$5:$N$504,"Incluir",'PAGOS'!$Q$5:$Q$504,"&lt;&gt;Aplicar"))</x:f>
      </x:c>
      <x:c r="T220" s="28" t="str">
        <x:f>IF(AND(C220&lt;&gt;"",ISNUMBER(O220),O220&lt;='AJUSTES'!$B$4,ISNUMBER(E220)),ROUND(E220-G220,2),"")</x:f>
      </x:c>
    </x:row>
    <x:row r="221" ht="25" customHeight="1">
      <x:c r="A221" s="22" t="str">
        <x:v>V-217</x:v>
      </x:c>
      <x:c r="B221" s="25" t="str"/>
      <x:c r="C221" s="26" t="str"/>
      <x:c r="D221" s="26" t="str"/>
      <x:c r="E221" s="27" t="str"/>
      <x:c r="F221" s="26" t="str"/>
      <x:c r="G221" s="28" t="str">
        <x:f>IF(C221="","",SUMIFS('PAGOS'!$K$5:$K$504,'PAGOS'!$C$5:$C$504,A221,'PAGOS'!$Q$5:$Q$504,"Aplicar",'PAGOS'!$B$5:$B$504,"&lt;="&amp;'AJUSTES'!$B$4))</x:f>
      </x:c>
      <x:c r="H221" s="28" t="str">
        <x:f>IF(C221="","",IF(AND(ISNUMBER(O221),O221&lt;='AJUSTES'!$B$4),0,IF(OR(P221&lt;&gt;"Incluir",NOT(ISNUMBER(E221)),B221="",B221&gt;'AJUSTES'!$B$4,S221&gt;0),"",MAX(0,ROUND(E221-G221,2)))))</x:f>
      </x:c>
      <x:c r="I221" s="22" t="str">
        <x:f>IF(C221="","",IF(P221="Anulada","Anulada",IF(B221&gt;'AJUSTES'!$B$4,"Posterior al corte",IF(NOT(ISNUMBER(H221)),"Por conciliar",IF(H221&lt;='AJUSTES'!$B$10,"Pagado",IF(J221&gt;0,"Moroso","Vigente"))))))</x:f>
      </x:c>
      <x:c r="J221" s="22" t="str">
        <x:f>IF(OR(C221="",NOT(ISNUMBER(H221)),NOT(ISNUMBER(N221))),"",IF(H221&gt;'AJUSTES'!$B$10,MAX(0,'AJUSTES'!$B$4-N221),0))</x:f>
      </x:c>
      <x:c r="K221" s="27" t="str"/>
      <x:c r="L221" s="26" t="str"/>
      <x:c r="M221" s="26" t="str">
        <x:f>IF(C221="","",'AJUSTES'!$B$5)</x:f>
      </x:c>
      <x:c r="N221" s="29" t="str">
        <x:f>IF(OR(NOT(ISNUMBER(B221)),NOT(ISNUMBER(M221))),"",B221+M221)</x:f>
      </x:c>
      <x:c r="O221" s="25" t="str"/>
      <x:c r="P221" s="26" t="str">
        <x:v>Incluir</x:v>
      </x:c>
      <x:c r="Q221" s="22" t="str"/>
      <x:c r="R221" s="22" t="str"/>
      <x:c r="S221" s="22" t="str">
        <x:f>IF(C221="","",COUNTIFS('PAGOS'!$C$5:$C$504,A221,'PAGOS'!$B$5:$B$504,"&gt;0",'PAGOS'!$B$5:$B$504,"&lt;="&amp;'AJUSTES'!$B$4,'PAGOS'!$N$5:$N$504,"Incluir",'PAGOS'!$Q$5:$Q$504,"&lt;&gt;Aplicar"))</x:f>
      </x:c>
      <x:c r="T221" s="28" t="str">
        <x:f>IF(AND(C221&lt;&gt;"",ISNUMBER(O221),O221&lt;='AJUSTES'!$B$4,ISNUMBER(E221)),ROUND(E221-G221,2),"")</x:f>
      </x:c>
    </x:row>
    <x:row r="222" ht="25" customHeight="1">
      <x:c r="A222" s="22" t="str">
        <x:v>V-218</x:v>
      </x:c>
      <x:c r="B222" s="25" t="str"/>
      <x:c r="C222" s="26" t="str"/>
      <x:c r="D222" s="26" t="str"/>
      <x:c r="E222" s="27" t="str"/>
      <x:c r="F222" s="26" t="str"/>
      <x:c r="G222" s="28" t="str">
        <x:f>IF(C222="","",SUMIFS('PAGOS'!$K$5:$K$504,'PAGOS'!$C$5:$C$504,A222,'PAGOS'!$Q$5:$Q$504,"Aplicar",'PAGOS'!$B$5:$B$504,"&lt;="&amp;'AJUSTES'!$B$4))</x:f>
      </x:c>
      <x:c r="H222" s="28" t="str">
        <x:f>IF(C222="","",IF(AND(ISNUMBER(O222),O222&lt;='AJUSTES'!$B$4),0,IF(OR(P222&lt;&gt;"Incluir",NOT(ISNUMBER(E222)),B222="",B222&gt;'AJUSTES'!$B$4,S222&gt;0),"",MAX(0,ROUND(E222-G222,2)))))</x:f>
      </x:c>
      <x:c r="I222" s="22" t="str">
        <x:f>IF(C222="","",IF(P222="Anulada","Anulada",IF(B222&gt;'AJUSTES'!$B$4,"Posterior al corte",IF(NOT(ISNUMBER(H222)),"Por conciliar",IF(H222&lt;='AJUSTES'!$B$10,"Pagado",IF(J222&gt;0,"Moroso","Vigente"))))))</x:f>
      </x:c>
      <x:c r="J222" s="22" t="str">
        <x:f>IF(OR(C222="",NOT(ISNUMBER(H222)),NOT(ISNUMBER(N222))),"",IF(H222&gt;'AJUSTES'!$B$10,MAX(0,'AJUSTES'!$B$4-N222),0))</x:f>
      </x:c>
      <x:c r="K222" s="27" t="str"/>
      <x:c r="L222" s="26" t="str"/>
      <x:c r="M222" s="26" t="str">
        <x:f>IF(C222="","",'AJUSTES'!$B$5)</x:f>
      </x:c>
      <x:c r="N222" s="29" t="str">
        <x:f>IF(OR(NOT(ISNUMBER(B222)),NOT(ISNUMBER(M222))),"",B222+M222)</x:f>
      </x:c>
      <x:c r="O222" s="25" t="str"/>
      <x:c r="P222" s="26" t="str">
        <x:v>Incluir</x:v>
      </x:c>
      <x:c r="Q222" s="22" t="str"/>
      <x:c r="R222" s="22" t="str"/>
      <x:c r="S222" s="22" t="str">
        <x:f>IF(C222="","",COUNTIFS('PAGOS'!$C$5:$C$504,A222,'PAGOS'!$B$5:$B$504,"&gt;0",'PAGOS'!$B$5:$B$504,"&lt;="&amp;'AJUSTES'!$B$4,'PAGOS'!$N$5:$N$504,"Incluir",'PAGOS'!$Q$5:$Q$504,"&lt;&gt;Aplicar"))</x:f>
      </x:c>
      <x:c r="T222" s="28" t="str">
        <x:f>IF(AND(C222&lt;&gt;"",ISNUMBER(O222),O222&lt;='AJUSTES'!$B$4,ISNUMBER(E222)),ROUND(E222-G222,2),"")</x:f>
      </x:c>
    </x:row>
    <x:row r="223" ht="25" customHeight="1">
      <x:c r="A223" s="22" t="str">
        <x:v>V-219</x:v>
      </x:c>
      <x:c r="B223" s="25" t="str"/>
      <x:c r="C223" s="26" t="str"/>
      <x:c r="D223" s="26" t="str"/>
      <x:c r="E223" s="27" t="str"/>
      <x:c r="F223" s="26" t="str"/>
      <x:c r="G223" s="28" t="str">
        <x:f>IF(C223="","",SUMIFS('PAGOS'!$K$5:$K$504,'PAGOS'!$C$5:$C$504,A223,'PAGOS'!$Q$5:$Q$504,"Aplicar",'PAGOS'!$B$5:$B$504,"&lt;="&amp;'AJUSTES'!$B$4))</x:f>
      </x:c>
      <x:c r="H223" s="28" t="str">
        <x:f>IF(C223="","",IF(AND(ISNUMBER(O223),O223&lt;='AJUSTES'!$B$4),0,IF(OR(P223&lt;&gt;"Incluir",NOT(ISNUMBER(E223)),B223="",B223&gt;'AJUSTES'!$B$4,S223&gt;0),"",MAX(0,ROUND(E223-G223,2)))))</x:f>
      </x:c>
      <x:c r="I223" s="22" t="str">
        <x:f>IF(C223="","",IF(P223="Anulada","Anulada",IF(B223&gt;'AJUSTES'!$B$4,"Posterior al corte",IF(NOT(ISNUMBER(H223)),"Por conciliar",IF(H223&lt;='AJUSTES'!$B$10,"Pagado",IF(J223&gt;0,"Moroso","Vigente"))))))</x:f>
      </x:c>
      <x:c r="J223" s="22" t="str">
        <x:f>IF(OR(C223="",NOT(ISNUMBER(H223)),NOT(ISNUMBER(N223))),"",IF(H223&gt;'AJUSTES'!$B$10,MAX(0,'AJUSTES'!$B$4-N223),0))</x:f>
      </x:c>
      <x:c r="K223" s="27" t="str"/>
      <x:c r="L223" s="26" t="str"/>
      <x:c r="M223" s="26" t="str">
        <x:f>IF(C223="","",'AJUSTES'!$B$5)</x:f>
      </x:c>
      <x:c r="N223" s="29" t="str">
        <x:f>IF(OR(NOT(ISNUMBER(B223)),NOT(ISNUMBER(M223))),"",B223+M223)</x:f>
      </x:c>
      <x:c r="O223" s="25" t="str"/>
      <x:c r="P223" s="26" t="str">
        <x:v>Incluir</x:v>
      </x:c>
      <x:c r="Q223" s="22" t="str"/>
      <x:c r="R223" s="22" t="str"/>
      <x:c r="S223" s="22" t="str">
        <x:f>IF(C223="","",COUNTIFS('PAGOS'!$C$5:$C$504,A223,'PAGOS'!$B$5:$B$504,"&gt;0",'PAGOS'!$B$5:$B$504,"&lt;="&amp;'AJUSTES'!$B$4,'PAGOS'!$N$5:$N$504,"Incluir",'PAGOS'!$Q$5:$Q$504,"&lt;&gt;Aplicar"))</x:f>
      </x:c>
      <x:c r="T223" s="28" t="str">
        <x:f>IF(AND(C223&lt;&gt;"",ISNUMBER(O223),O223&lt;='AJUSTES'!$B$4,ISNUMBER(E223)),ROUND(E223-G223,2),"")</x:f>
      </x:c>
    </x:row>
    <x:row r="224" ht="25" customHeight="1">
      <x:c r="A224" s="22" t="str">
        <x:v>V-220</x:v>
      </x:c>
      <x:c r="B224" s="25" t="str"/>
      <x:c r="C224" s="26" t="str"/>
      <x:c r="D224" s="26" t="str"/>
      <x:c r="E224" s="27" t="str"/>
      <x:c r="F224" s="26" t="str"/>
      <x:c r="G224" s="28" t="str">
        <x:f>IF(C224="","",SUMIFS('PAGOS'!$K$5:$K$504,'PAGOS'!$C$5:$C$504,A224,'PAGOS'!$Q$5:$Q$504,"Aplicar",'PAGOS'!$B$5:$B$504,"&lt;="&amp;'AJUSTES'!$B$4))</x:f>
      </x:c>
      <x:c r="H224" s="28" t="str">
        <x:f>IF(C224="","",IF(AND(ISNUMBER(O224),O224&lt;='AJUSTES'!$B$4),0,IF(OR(P224&lt;&gt;"Incluir",NOT(ISNUMBER(E224)),B224="",B224&gt;'AJUSTES'!$B$4,S224&gt;0),"",MAX(0,ROUND(E224-G224,2)))))</x:f>
      </x:c>
      <x:c r="I224" s="22" t="str">
        <x:f>IF(C224="","",IF(P224="Anulada","Anulada",IF(B224&gt;'AJUSTES'!$B$4,"Posterior al corte",IF(NOT(ISNUMBER(H224)),"Por conciliar",IF(H224&lt;='AJUSTES'!$B$10,"Pagado",IF(J224&gt;0,"Moroso","Vigente"))))))</x:f>
      </x:c>
      <x:c r="J224" s="22" t="str">
        <x:f>IF(OR(C224="",NOT(ISNUMBER(H224)),NOT(ISNUMBER(N224))),"",IF(H224&gt;'AJUSTES'!$B$10,MAX(0,'AJUSTES'!$B$4-N224),0))</x:f>
      </x:c>
      <x:c r="K224" s="27" t="str"/>
      <x:c r="L224" s="26" t="str"/>
      <x:c r="M224" s="26" t="str">
        <x:f>IF(C224="","",'AJUSTES'!$B$5)</x:f>
      </x:c>
      <x:c r="N224" s="29" t="str">
        <x:f>IF(OR(NOT(ISNUMBER(B224)),NOT(ISNUMBER(M224))),"",B224+M224)</x:f>
      </x:c>
      <x:c r="O224" s="25" t="str"/>
      <x:c r="P224" s="26" t="str">
        <x:v>Incluir</x:v>
      </x:c>
      <x:c r="Q224" s="22" t="str"/>
      <x:c r="R224" s="22" t="str"/>
      <x:c r="S224" s="22" t="str">
        <x:f>IF(C224="","",COUNTIFS('PAGOS'!$C$5:$C$504,A224,'PAGOS'!$B$5:$B$504,"&gt;0",'PAGOS'!$B$5:$B$504,"&lt;="&amp;'AJUSTES'!$B$4,'PAGOS'!$N$5:$N$504,"Incluir",'PAGOS'!$Q$5:$Q$504,"&lt;&gt;Aplicar"))</x:f>
      </x:c>
      <x:c r="T224" s="28" t="str">
        <x:f>IF(AND(C224&lt;&gt;"",ISNUMBER(O224),O224&lt;='AJUSTES'!$B$4,ISNUMBER(E224)),ROUND(E224-G224,2),"")</x:f>
      </x:c>
    </x:row>
    <x:row r="225" ht="25" customHeight="1">
      <x:c r="A225" s="22" t="str">
        <x:v>V-221</x:v>
      </x:c>
      <x:c r="B225" s="25" t="str"/>
      <x:c r="C225" s="26" t="str"/>
      <x:c r="D225" s="26" t="str"/>
      <x:c r="E225" s="27" t="str"/>
      <x:c r="F225" s="26" t="str"/>
      <x:c r="G225" s="28" t="str">
        <x:f>IF(C225="","",SUMIFS('PAGOS'!$K$5:$K$504,'PAGOS'!$C$5:$C$504,A225,'PAGOS'!$Q$5:$Q$504,"Aplicar",'PAGOS'!$B$5:$B$504,"&lt;="&amp;'AJUSTES'!$B$4))</x:f>
      </x:c>
      <x:c r="H225" s="28" t="str">
        <x:f>IF(C225="","",IF(AND(ISNUMBER(O225),O225&lt;='AJUSTES'!$B$4),0,IF(OR(P225&lt;&gt;"Incluir",NOT(ISNUMBER(E225)),B225="",B225&gt;'AJUSTES'!$B$4,S225&gt;0),"",MAX(0,ROUND(E225-G225,2)))))</x:f>
      </x:c>
      <x:c r="I225" s="22" t="str">
        <x:f>IF(C225="","",IF(P225="Anulada","Anulada",IF(B225&gt;'AJUSTES'!$B$4,"Posterior al corte",IF(NOT(ISNUMBER(H225)),"Por conciliar",IF(H225&lt;='AJUSTES'!$B$10,"Pagado",IF(J225&gt;0,"Moroso","Vigente"))))))</x:f>
      </x:c>
      <x:c r="J225" s="22" t="str">
        <x:f>IF(OR(C225="",NOT(ISNUMBER(H225)),NOT(ISNUMBER(N225))),"",IF(H225&gt;'AJUSTES'!$B$10,MAX(0,'AJUSTES'!$B$4-N225),0))</x:f>
      </x:c>
      <x:c r="K225" s="27" t="str"/>
      <x:c r="L225" s="26" t="str"/>
      <x:c r="M225" s="26" t="str">
        <x:f>IF(C225="","",'AJUSTES'!$B$5)</x:f>
      </x:c>
      <x:c r="N225" s="29" t="str">
        <x:f>IF(OR(NOT(ISNUMBER(B225)),NOT(ISNUMBER(M225))),"",B225+M225)</x:f>
      </x:c>
      <x:c r="O225" s="25" t="str"/>
      <x:c r="P225" s="26" t="str">
        <x:v>Incluir</x:v>
      </x:c>
      <x:c r="Q225" s="22" t="str"/>
      <x:c r="R225" s="22" t="str"/>
      <x:c r="S225" s="22" t="str">
        <x:f>IF(C225="","",COUNTIFS('PAGOS'!$C$5:$C$504,A225,'PAGOS'!$B$5:$B$504,"&gt;0",'PAGOS'!$B$5:$B$504,"&lt;="&amp;'AJUSTES'!$B$4,'PAGOS'!$N$5:$N$504,"Incluir",'PAGOS'!$Q$5:$Q$504,"&lt;&gt;Aplicar"))</x:f>
      </x:c>
      <x:c r="T225" s="28" t="str">
        <x:f>IF(AND(C225&lt;&gt;"",ISNUMBER(O225),O225&lt;='AJUSTES'!$B$4,ISNUMBER(E225)),ROUND(E225-G225,2),"")</x:f>
      </x:c>
    </x:row>
    <x:row r="226" ht="25" customHeight="1">
      <x:c r="A226" s="22" t="str">
        <x:v>V-222</x:v>
      </x:c>
      <x:c r="B226" s="25" t="str"/>
      <x:c r="C226" s="26" t="str"/>
      <x:c r="D226" s="26" t="str"/>
      <x:c r="E226" s="27" t="str"/>
      <x:c r="F226" s="26" t="str"/>
      <x:c r="G226" s="28" t="str">
        <x:f>IF(C226="","",SUMIFS('PAGOS'!$K$5:$K$504,'PAGOS'!$C$5:$C$504,A226,'PAGOS'!$Q$5:$Q$504,"Aplicar",'PAGOS'!$B$5:$B$504,"&lt;="&amp;'AJUSTES'!$B$4))</x:f>
      </x:c>
      <x:c r="H226" s="28" t="str">
        <x:f>IF(C226="","",IF(AND(ISNUMBER(O226),O226&lt;='AJUSTES'!$B$4),0,IF(OR(P226&lt;&gt;"Incluir",NOT(ISNUMBER(E226)),B226="",B226&gt;'AJUSTES'!$B$4,S226&gt;0),"",MAX(0,ROUND(E226-G226,2)))))</x:f>
      </x:c>
      <x:c r="I226" s="22" t="str">
        <x:f>IF(C226="","",IF(P226="Anulada","Anulada",IF(B226&gt;'AJUSTES'!$B$4,"Posterior al corte",IF(NOT(ISNUMBER(H226)),"Por conciliar",IF(H226&lt;='AJUSTES'!$B$10,"Pagado",IF(J226&gt;0,"Moroso","Vigente"))))))</x:f>
      </x:c>
      <x:c r="J226" s="22" t="str">
        <x:f>IF(OR(C226="",NOT(ISNUMBER(H226)),NOT(ISNUMBER(N226))),"",IF(H226&gt;'AJUSTES'!$B$10,MAX(0,'AJUSTES'!$B$4-N226),0))</x:f>
      </x:c>
      <x:c r="K226" s="27" t="str"/>
      <x:c r="L226" s="26" t="str"/>
      <x:c r="M226" s="26" t="str">
        <x:f>IF(C226="","",'AJUSTES'!$B$5)</x:f>
      </x:c>
      <x:c r="N226" s="29" t="str">
        <x:f>IF(OR(NOT(ISNUMBER(B226)),NOT(ISNUMBER(M226))),"",B226+M226)</x:f>
      </x:c>
      <x:c r="O226" s="25" t="str"/>
      <x:c r="P226" s="26" t="str">
        <x:v>Incluir</x:v>
      </x:c>
      <x:c r="Q226" s="22" t="str"/>
      <x:c r="R226" s="22" t="str"/>
      <x:c r="S226" s="22" t="str">
        <x:f>IF(C226="","",COUNTIFS('PAGOS'!$C$5:$C$504,A226,'PAGOS'!$B$5:$B$504,"&gt;0",'PAGOS'!$B$5:$B$504,"&lt;="&amp;'AJUSTES'!$B$4,'PAGOS'!$N$5:$N$504,"Incluir",'PAGOS'!$Q$5:$Q$504,"&lt;&gt;Aplicar"))</x:f>
      </x:c>
      <x:c r="T226" s="28" t="str">
        <x:f>IF(AND(C226&lt;&gt;"",ISNUMBER(O226),O226&lt;='AJUSTES'!$B$4,ISNUMBER(E226)),ROUND(E226-G226,2),"")</x:f>
      </x:c>
    </x:row>
    <x:row r="227" ht="25" customHeight="1">
      <x:c r="A227" s="22" t="str">
        <x:v>V-223</x:v>
      </x:c>
      <x:c r="B227" s="25" t="str"/>
      <x:c r="C227" s="26" t="str"/>
      <x:c r="D227" s="26" t="str"/>
      <x:c r="E227" s="27" t="str"/>
      <x:c r="F227" s="26" t="str"/>
      <x:c r="G227" s="28" t="str">
        <x:f>IF(C227="","",SUMIFS('PAGOS'!$K$5:$K$504,'PAGOS'!$C$5:$C$504,A227,'PAGOS'!$Q$5:$Q$504,"Aplicar",'PAGOS'!$B$5:$B$504,"&lt;="&amp;'AJUSTES'!$B$4))</x:f>
      </x:c>
      <x:c r="H227" s="28" t="str">
        <x:f>IF(C227="","",IF(AND(ISNUMBER(O227),O227&lt;='AJUSTES'!$B$4),0,IF(OR(P227&lt;&gt;"Incluir",NOT(ISNUMBER(E227)),B227="",B227&gt;'AJUSTES'!$B$4,S227&gt;0),"",MAX(0,ROUND(E227-G227,2)))))</x:f>
      </x:c>
      <x:c r="I227" s="22" t="str">
        <x:f>IF(C227="","",IF(P227="Anulada","Anulada",IF(B227&gt;'AJUSTES'!$B$4,"Posterior al corte",IF(NOT(ISNUMBER(H227)),"Por conciliar",IF(H227&lt;='AJUSTES'!$B$10,"Pagado",IF(J227&gt;0,"Moroso","Vigente"))))))</x:f>
      </x:c>
      <x:c r="J227" s="22" t="str">
        <x:f>IF(OR(C227="",NOT(ISNUMBER(H227)),NOT(ISNUMBER(N227))),"",IF(H227&gt;'AJUSTES'!$B$10,MAX(0,'AJUSTES'!$B$4-N227),0))</x:f>
      </x:c>
      <x:c r="K227" s="27" t="str"/>
      <x:c r="L227" s="26" t="str"/>
      <x:c r="M227" s="26" t="str">
        <x:f>IF(C227="","",'AJUSTES'!$B$5)</x:f>
      </x:c>
      <x:c r="N227" s="29" t="str">
        <x:f>IF(OR(NOT(ISNUMBER(B227)),NOT(ISNUMBER(M227))),"",B227+M227)</x:f>
      </x:c>
      <x:c r="O227" s="25" t="str"/>
      <x:c r="P227" s="26" t="str">
        <x:v>Incluir</x:v>
      </x:c>
      <x:c r="Q227" s="22" t="str"/>
      <x:c r="R227" s="22" t="str"/>
      <x:c r="S227" s="22" t="str">
        <x:f>IF(C227="","",COUNTIFS('PAGOS'!$C$5:$C$504,A227,'PAGOS'!$B$5:$B$504,"&gt;0",'PAGOS'!$B$5:$B$504,"&lt;="&amp;'AJUSTES'!$B$4,'PAGOS'!$N$5:$N$504,"Incluir",'PAGOS'!$Q$5:$Q$504,"&lt;&gt;Aplicar"))</x:f>
      </x:c>
      <x:c r="T227" s="28" t="str">
        <x:f>IF(AND(C227&lt;&gt;"",ISNUMBER(O227),O227&lt;='AJUSTES'!$B$4,ISNUMBER(E227)),ROUND(E227-G227,2),"")</x:f>
      </x:c>
    </x:row>
    <x:row r="228" ht="25" customHeight="1">
      <x:c r="A228" s="22" t="str">
        <x:v>V-224</x:v>
      </x:c>
      <x:c r="B228" s="25" t="str"/>
      <x:c r="C228" s="26" t="str"/>
      <x:c r="D228" s="26" t="str"/>
      <x:c r="E228" s="27" t="str"/>
      <x:c r="F228" s="26" t="str"/>
      <x:c r="G228" s="28" t="str">
        <x:f>IF(C228="","",SUMIFS('PAGOS'!$K$5:$K$504,'PAGOS'!$C$5:$C$504,A228,'PAGOS'!$Q$5:$Q$504,"Aplicar",'PAGOS'!$B$5:$B$504,"&lt;="&amp;'AJUSTES'!$B$4))</x:f>
      </x:c>
      <x:c r="H228" s="28" t="str">
        <x:f>IF(C228="","",IF(AND(ISNUMBER(O228),O228&lt;='AJUSTES'!$B$4),0,IF(OR(P228&lt;&gt;"Incluir",NOT(ISNUMBER(E228)),B228="",B228&gt;'AJUSTES'!$B$4,S228&gt;0),"",MAX(0,ROUND(E228-G228,2)))))</x:f>
      </x:c>
      <x:c r="I228" s="22" t="str">
        <x:f>IF(C228="","",IF(P228="Anulada","Anulada",IF(B228&gt;'AJUSTES'!$B$4,"Posterior al corte",IF(NOT(ISNUMBER(H228)),"Por conciliar",IF(H228&lt;='AJUSTES'!$B$10,"Pagado",IF(J228&gt;0,"Moroso","Vigente"))))))</x:f>
      </x:c>
      <x:c r="J228" s="22" t="str">
        <x:f>IF(OR(C228="",NOT(ISNUMBER(H228)),NOT(ISNUMBER(N228))),"",IF(H228&gt;'AJUSTES'!$B$10,MAX(0,'AJUSTES'!$B$4-N228),0))</x:f>
      </x:c>
      <x:c r="K228" s="27" t="str"/>
      <x:c r="L228" s="26" t="str"/>
      <x:c r="M228" s="26" t="str">
        <x:f>IF(C228="","",'AJUSTES'!$B$5)</x:f>
      </x:c>
      <x:c r="N228" s="29" t="str">
        <x:f>IF(OR(NOT(ISNUMBER(B228)),NOT(ISNUMBER(M228))),"",B228+M228)</x:f>
      </x:c>
      <x:c r="O228" s="25" t="str"/>
      <x:c r="P228" s="26" t="str">
        <x:v>Incluir</x:v>
      </x:c>
      <x:c r="Q228" s="22" t="str"/>
      <x:c r="R228" s="22" t="str"/>
      <x:c r="S228" s="22" t="str">
        <x:f>IF(C228="","",COUNTIFS('PAGOS'!$C$5:$C$504,A228,'PAGOS'!$B$5:$B$504,"&gt;0",'PAGOS'!$B$5:$B$504,"&lt;="&amp;'AJUSTES'!$B$4,'PAGOS'!$N$5:$N$504,"Incluir",'PAGOS'!$Q$5:$Q$504,"&lt;&gt;Aplicar"))</x:f>
      </x:c>
      <x:c r="T228" s="28" t="str">
        <x:f>IF(AND(C228&lt;&gt;"",ISNUMBER(O228),O228&lt;='AJUSTES'!$B$4,ISNUMBER(E228)),ROUND(E228-G228,2),"")</x:f>
      </x:c>
    </x:row>
    <x:row r="229" ht="25" customHeight="1">
      <x:c r="A229" s="22" t="str">
        <x:v>V-225</x:v>
      </x:c>
      <x:c r="B229" s="25" t="str"/>
      <x:c r="C229" s="26" t="str"/>
      <x:c r="D229" s="26" t="str"/>
      <x:c r="E229" s="27" t="str"/>
      <x:c r="F229" s="26" t="str"/>
      <x:c r="G229" s="28" t="str">
        <x:f>IF(C229="","",SUMIFS('PAGOS'!$K$5:$K$504,'PAGOS'!$C$5:$C$504,A229,'PAGOS'!$Q$5:$Q$504,"Aplicar",'PAGOS'!$B$5:$B$504,"&lt;="&amp;'AJUSTES'!$B$4))</x:f>
      </x:c>
      <x:c r="H229" s="28" t="str">
        <x:f>IF(C229="","",IF(AND(ISNUMBER(O229),O229&lt;='AJUSTES'!$B$4),0,IF(OR(P229&lt;&gt;"Incluir",NOT(ISNUMBER(E229)),B229="",B229&gt;'AJUSTES'!$B$4,S229&gt;0),"",MAX(0,ROUND(E229-G229,2)))))</x:f>
      </x:c>
      <x:c r="I229" s="22" t="str">
        <x:f>IF(C229="","",IF(P229="Anulada","Anulada",IF(B229&gt;'AJUSTES'!$B$4,"Posterior al corte",IF(NOT(ISNUMBER(H229)),"Por conciliar",IF(H229&lt;='AJUSTES'!$B$10,"Pagado",IF(J229&gt;0,"Moroso","Vigente"))))))</x:f>
      </x:c>
      <x:c r="J229" s="22" t="str">
        <x:f>IF(OR(C229="",NOT(ISNUMBER(H229)),NOT(ISNUMBER(N229))),"",IF(H229&gt;'AJUSTES'!$B$10,MAX(0,'AJUSTES'!$B$4-N229),0))</x:f>
      </x:c>
      <x:c r="K229" s="27" t="str"/>
      <x:c r="L229" s="26" t="str"/>
      <x:c r="M229" s="26" t="str">
        <x:f>IF(C229="","",'AJUSTES'!$B$5)</x:f>
      </x:c>
      <x:c r="N229" s="29" t="str">
        <x:f>IF(OR(NOT(ISNUMBER(B229)),NOT(ISNUMBER(M229))),"",B229+M229)</x:f>
      </x:c>
      <x:c r="O229" s="25" t="str"/>
      <x:c r="P229" s="26" t="str">
        <x:v>Incluir</x:v>
      </x:c>
      <x:c r="Q229" s="22" t="str"/>
      <x:c r="R229" s="22" t="str"/>
      <x:c r="S229" s="22" t="str">
        <x:f>IF(C229="","",COUNTIFS('PAGOS'!$C$5:$C$504,A229,'PAGOS'!$B$5:$B$504,"&gt;0",'PAGOS'!$B$5:$B$504,"&lt;="&amp;'AJUSTES'!$B$4,'PAGOS'!$N$5:$N$504,"Incluir",'PAGOS'!$Q$5:$Q$504,"&lt;&gt;Aplicar"))</x:f>
      </x:c>
      <x:c r="T229" s="28" t="str">
        <x:f>IF(AND(C229&lt;&gt;"",ISNUMBER(O229),O229&lt;='AJUSTES'!$B$4,ISNUMBER(E229)),ROUND(E229-G229,2),"")</x:f>
      </x:c>
    </x:row>
    <x:row r="230" ht="25" customHeight="1">
      <x:c r="A230" s="22" t="str">
        <x:v>V-226</x:v>
      </x:c>
      <x:c r="B230" s="25" t="str"/>
      <x:c r="C230" s="26" t="str"/>
      <x:c r="D230" s="26" t="str"/>
      <x:c r="E230" s="27" t="str"/>
      <x:c r="F230" s="26" t="str"/>
      <x:c r="G230" s="28" t="str">
        <x:f>IF(C230="","",SUMIFS('PAGOS'!$K$5:$K$504,'PAGOS'!$C$5:$C$504,A230,'PAGOS'!$Q$5:$Q$504,"Aplicar",'PAGOS'!$B$5:$B$504,"&lt;="&amp;'AJUSTES'!$B$4))</x:f>
      </x:c>
      <x:c r="H230" s="28" t="str">
        <x:f>IF(C230="","",IF(AND(ISNUMBER(O230),O230&lt;='AJUSTES'!$B$4),0,IF(OR(P230&lt;&gt;"Incluir",NOT(ISNUMBER(E230)),B230="",B230&gt;'AJUSTES'!$B$4,S230&gt;0),"",MAX(0,ROUND(E230-G230,2)))))</x:f>
      </x:c>
      <x:c r="I230" s="22" t="str">
        <x:f>IF(C230="","",IF(P230="Anulada","Anulada",IF(B230&gt;'AJUSTES'!$B$4,"Posterior al corte",IF(NOT(ISNUMBER(H230)),"Por conciliar",IF(H230&lt;='AJUSTES'!$B$10,"Pagado",IF(J230&gt;0,"Moroso","Vigente"))))))</x:f>
      </x:c>
      <x:c r="J230" s="22" t="str">
        <x:f>IF(OR(C230="",NOT(ISNUMBER(H230)),NOT(ISNUMBER(N230))),"",IF(H230&gt;'AJUSTES'!$B$10,MAX(0,'AJUSTES'!$B$4-N230),0))</x:f>
      </x:c>
      <x:c r="K230" s="27" t="str"/>
      <x:c r="L230" s="26" t="str"/>
      <x:c r="M230" s="26" t="str">
        <x:f>IF(C230="","",'AJUSTES'!$B$5)</x:f>
      </x:c>
      <x:c r="N230" s="29" t="str">
        <x:f>IF(OR(NOT(ISNUMBER(B230)),NOT(ISNUMBER(M230))),"",B230+M230)</x:f>
      </x:c>
      <x:c r="O230" s="25" t="str"/>
      <x:c r="P230" s="26" t="str">
        <x:v>Incluir</x:v>
      </x:c>
      <x:c r="Q230" s="22" t="str"/>
      <x:c r="R230" s="22" t="str"/>
      <x:c r="S230" s="22" t="str">
        <x:f>IF(C230="","",COUNTIFS('PAGOS'!$C$5:$C$504,A230,'PAGOS'!$B$5:$B$504,"&gt;0",'PAGOS'!$B$5:$B$504,"&lt;="&amp;'AJUSTES'!$B$4,'PAGOS'!$N$5:$N$504,"Incluir",'PAGOS'!$Q$5:$Q$504,"&lt;&gt;Aplicar"))</x:f>
      </x:c>
      <x:c r="T230" s="28" t="str">
        <x:f>IF(AND(C230&lt;&gt;"",ISNUMBER(O230),O230&lt;='AJUSTES'!$B$4,ISNUMBER(E230)),ROUND(E230-G230,2),"")</x:f>
      </x:c>
    </x:row>
    <x:row r="231" ht="25" customHeight="1">
      <x:c r="A231" s="22" t="str">
        <x:v>V-227</x:v>
      </x:c>
      <x:c r="B231" s="25" t="str"/>
      <x:c r="C231" s="26" t="str"/>
      <x:c r="D231" s="26" t="str"/>
      <x:c r="E231" s="27" t="str"/>
      <x:c r="F231" s="26" t="str"/>
      <x:c r="G231" s="28" t="str">
        <x:f>IF(C231="","",SUMIFS('PAGOS'!$K$5:$K$504,'PAGOS'!$C$5:$C$504,A231,'PAGOS'!$Q$5:$Q$504,"Aplicar",'PAGOS'!$B$5:$B$504,"&lt;="&amp;'AJUSTES'!$B$4))</x:f>
      </x:c>
      <x:c r="H231" s="28" t="str">
        <x:f>IF(C231="","",IF(AND(ISNUMBER(O231),O231&lt;='AJUSTES'!$B$4),0,IF(OR(P231&lt;&gt;"Incluir",NOT(ISNUMBER(E231)),B231="",B231&gt;'AJUSTES'!$B$4,S231&gt;0),"",MAX(0,ROUND(E231-G231,2)))))</x:f>
      </x:c>
      <x:c r="I231" s="22" t="str">
        <x:f>IF(C231="","",IF(P231="Anulada","Anulada",IF(B231&gt;'AJUSTES'!$B$4,"Posterior al corte",IF(NOT(ISNUMBER(H231)),"Por conciliar",IF(H231&lt;='AJUSTES'!$B$10,"Pagado",IF(J231&gt;0,"Moroso","Vigente"))))))</x:f>
      </x:c>
      <x:c r="J231" s="22" t="str">
        <x:f>IF(OR(C231="",NOT(ISNUMBER(H231)),NOT(ISNUMBER(N231))),"",IF(H231&gt;'AJUSTES'!$B$10,MAX(0,'AJUSTES'!$B$4-N231),0))</x:f>
      </x:c>
      <x:c r="K231" s="27" t="str"/>
      <x:c r="L231" s="26" t="str"/>
      <x:c r="M231" s="26" t="str">
        <x:f>IF(C231="","",'AJUSTES'!$B$5)</x:f>
      </x:c>
      <x:c r="N231" s="29" t="str">
        <x:f>IF(OR(NOT(ISNUMBER(B231)),NOT(ISNUMBER(M231))),"",B231+M231)</x:f>
      </x:c>
      <x:c r="O231" s="25" t="str"/>
      <x:c r="P231" s="26" t="str">
        <x:v>Incluir</x:v>
      </x:c>
      <x:c r="Q231" s="22" t="str"/>
      <x:c r="R231" s="22" t="str"/>
      <x:c r="S231" s="22" t="str">
        <x:f>IF(C231="","",COUNTIFS('PAGOS'!$C$5:$C$504,A231,'PAGOS'!$B$5:$B$504,"&gt;0",'PAGOS'!$B$5:$B$504,"&lt;="&amp;'AJUSTES'!$B$4,'PAGOS'!$N$5:$N$504,"Incluir",'PAGOS'!$Q$5:$Q$504,"&lt;&gt;Aplicar"))</x:f>
      </x:c>
      <x:c r="T231" s="28" t="str">
        <x:f>IF(AND(C231&lt;&gt;"",ISNUMBER(O231),O231&lt;='AJUSTES'!$B$4,ISNUMBER(E231)),ROUND(E231-G231,2),"")</x:f>
      </x:c>
    </x:row>
    <x:row r="232" ht="25" customHeight="1">
      <x:c r="A232" s="22" t="str">
        <x:v>V-228</x:v>
      </x:c>
      <x:c r="B232" s="25" t="str"/>
      <x:c r="C232" s="26" t="str"/>
      <x:c r="D232" s="26" t="str"/>
      <x:c r="E232" s="27" t="str"/>
      <x:c r="F232" s="26" t="str"/>
      <x:c r="G232" s="28" t="str">
        <x:f>IF(C232="","",SUMIFS('PAGOS'!$K$5:$K$504,'PAGOS'!$C$5:$C$504,A232,'PAGOS'!$Q$5:$Q$504,"Aplicar",'PAGOS'!$B$5:$B$504,"&lt;="&amp;'AJUSTES'!$B$4))</x:f>
      </x:c>
      <x:c r="H232" s="28" t="str">
        <x:f>IF(C232="","",IF(AND(ISNUMBER(O232),O232&lt;='AJUSTES'!$B$4),0,IF(OR(P232&lt;&gt;"Incluir",NOT(ISNUMBER(E232)),B232="",B232&gt;'AJUSTES'!$B$4,S232&gt;0),"",MAX(0,ROUND(E232-G232,2)))))</x:f>
      </x:c>
      <x:c r="I232" s="22" t="str">
        <x:f>IF(C232="","",IF(P232="Anulada","Anulada",IF(B232&gt;'AJUSTES'!$B$4,"Posterior al corte",IF(NOT(ISNUMBER(H232)),"Por conciliar",IF(H232&lt;='AJUSTES'!$B$10,"Pagado",IF(J232&gt;0,"Moroso","Vigente"))))))</x:f>
      </x:c>
      <x:c r="J232" s="22" t="str">
        <x:f>IF(OR(C232="",NOT(ISNUMBER(H232)),NOT(ISNUMBER(N232))),"",IF(H232&gt;'AJUSTES'!$B$10,MAX(0,'AJUSTES'!$B$4-N232),0))</x:f>
      </x:c>
      <x:c r="K232" s="27" t="str"/>
      <x:c r="L232" s="26" t="str"/>
      <x:c r="M232" s="26" t="str">
        <x:f>IF(C232="","",'AJUSTES'!$B$5)</x:f>
      </x:c>
      <x:c r="N232" s="29" t="str">
        <x:f>IF(OR(NOT(ISNUMBER(B232)),NOT(ISNUMBER(M232))),"",B232+M232)</x:f>
      </x:c>
      <x:c r="O232" s="25" t="str"/>
      <x:c r="P232" s="26" t="str">
        <x:v>Incluir</x:v>
      </x:c>
      <x:c r="Q232" s="22" t="str"/>
      <x:c r="R232" s="22" t="str"/>
      <x:c r="S232" s="22" t="str">
        <x:f>IF(C232="","",COUNTIFS('PAGOS'!$C$5:$C$504,A232,'PAGOS'!$B$5:$B$504,"&gt;0",'PAGOS'!$B$5:$B$504,"&lt;="&amp;'AJUSTES'!$B$4,'PAGOS'!$N$5:$N$504,"Incluir",'PAGOS'!$Q$5:$Q$504,"&lt;&gt;Aplicar"))</x:f>
      </x:c>
      <x:c r="T232" s="28" t="str">
        <x:f>IF(AND(C232&lt;&gt;"",ISNUMBER(O232),O232&lt;='AJUSTES'!$B$4,ISNUMBER(E232)),ROUND(E232-G232,2),"")</x:f>
      </x:c>
    </x:row>
    <x:row r="233" ht="25" customHeight="1">
      <x:c r="A233" s="22" t="str">
        <x:v>V-229</x:v>
      </x:c>
      <x:c r="B233" s="25" t="str"/>
      <x:c r="C233" s="26" t="str"/>
      <x:c r="D233" s="26" t="str"/>
      <x:c r="E233" s="27" t="str"/>
      <x:c r="F233" s="26" t="str"/>
      <x:c r="G233" s="28" t="str">
        <x:f>IF(C233="","",SUMIFS('PAGOS'!$K$5:$K$504,'PAGOS'!$C$5:$C$504,A233,'PAGOS'!$Q$5:$Q$504,"Aplicar",'PAGOS'!$B$5:$B$504,"&lt;="&amp;'AJUSTES'!$B$4))</x:f>
      </x:c>
      <x:c r="H233" s="28" t="str">
        <x:f>IF(C233="","",IF(AND(ISNUMBER(O233),O233&lt;='AJUSTES'!$B$4),0,IF(OR(P233&lt;&gt;"Incluir",NOT(ISNUMBER(E233)),B233="",B233&gt;'AJUSTES'!$B$4,S233&gt;0),"",MAX(0,ROUND(E233-G233,2)))))</x:f>
      </x:c>
      <x:c r="I233" s="22" t="str">
        <x:f>IF(C233="","",IF(P233="Anulada","Anulada",IF(B233&gt;'AJUSTES'!$B$4,"Posterior al corte",IF(NOT(ISNUMBER(H233)),"Por conciliar",IF(H233&lt;='AJUSTES'!$B$10,"Pagado",IF(J233&gt;0,"Moroso","Vigente"))))))</x:f>
      </x:c>
      <x:c r="J233" s="22" t="str">
        <x:f>IF(OR(C233="",NOT(ISNUMBER(H233)),NOT(ISNUMBER(N233))),"",IF(H233&gt;'AJUSTES'!$B$10,MAX(0,'AJUSTES'!$B$4-N233),0))</x:f>
      </x:c>
      <x:c r="K233" s="27" t="str"/>
      <x:c r="L233" s="26" t="str"/>
      <x:c r="M233" s="26" t="str">
        <x:f>IF(C233="","",'AJUSTES'!$B$5)</x:f>
      </x:c>
      <x:c r="N233" s="29" t="str">
        <x:f>IF(OR(NOT(ISNUMBER(B233)),NOT(ISNUMBER(M233))),"",B233+M233)</x:f>
      </x:c>
      <x:c r="O233" s="25" t="str"/>
      <x:c r="P233" s="26" t="str">
        <x:v>Incluir</x:v>
      </x:c>
      <x:c r="Q233" s="22" t="str"/>
      <x:c r="R233" s="22" t="str"/>
      <x:c r="S233" s="22" t="str">
        <x:f>IF(C233="","",COUNTIFS('PAGOS'!$C$5:$C$504,A233,'PAGOS'!$B$5:$B$504,"&gt;0",'PAGOS'!$B$5:$B$504,"&lt;="&amp;'AJUSTES'!$B$4,'PAGOS'!$N$5:$N$504,"Incluir",'PAGOS'!$Q$5:$Q$504,"&lt;&gt;Aplicar"))</x:f>
      </x:c>
      <x:c r="T233" s="28" t="str">
        <x:f>IF(AND(C233&lt;&gt;"",ISNUMBER(O233),O233&lt;='AJUSTES'!$B$4,ISNUMBER(E233)),ROUND(E233-G233,2),"")</x:f>
      </x:c>
    </x:row>
    <x:row r="234" ht="25" customHeight="1">
      <x:c r="A234" s="22" t="str">
        <x:v>V-230</x:v>
      </x:c>
      <x:c r="B234" s="25" t="str"/>
      <x:c r="C234" s="26" t="str"/>
      <x:c r="D234" s="26" t="str"/>
      <x:c r="E234" s="27" t="str"/>
      <x:c r="F234" s="26" t="str"/>
      <x:c r="G234" s="28" t="str">
        <x:f>IF(C234="","",SUMIFS('PAGOS'!$K$5:$K$504,'PAGOS'!$C$5:$C$504,A234,'PAGOS'!$Q$5:$Q$504,"Aplicar",'PAGOS'!$B$5:$B$504,"&lt;="&amp;'AJUSTES'!$B$4))</x:f>
      </x:c>
      <x:c r="H234" s="28" t="str">
        <x:f>IF(C234="","",IF(AND(ISNUMBER(O234),O234&lt;='AJUSTES'!$B$4),0,IF(OR(P234&lt;&gt;"Incluir",NOT(ISNUMBER(E234)),B234="",B234&gt;'AJUSTES'!$B$4,S234&gt;0),"",MAX(0,ROUND(E234-G234,2)))))</x:f>
      </x:c>
      <x:c r="I234" s="22" t="str">
        <x:f>IF(C234="","",IF(P234="Anulada","Anulada",IF(B234&gt;'AJUSTES'!$B$4,"Posterior al corte",IF(NOT(ISNUMBER(H234)),"Por conciliar",IF(H234&lt;='AJUSTES'!$B$10,"Pagado",IF(J234&gt;0,"Moroso","Vigente"))))))</x:f>
      </x:c>
      <x:c r="J234" s="22" t="str">
        <x:f>IF(OR(C234="",NOT(ISNUMBER(H234)),NOT(ISNUMBER(N234))),"",IF(H234&gt;'AJUSTES'!$B$10,MAX(0,'AJUSTES'!$B$4-N234),0))</x:f>
      </x:c>
      <x:c r="K234" s="27" t="str"/>
      <x:c r="L234" s="26" t="str"/>
      <x:c r="M234" s="26" t="str">
        <x:f>IF(C234="","",'AJUSTES'!$B$5)</x:f>
      </x:c>
      <x:c r="N234" s="29" t="str">
        <x:f>IF(OR(NOT(ISNUMBER(B234)),NOT(ISNUMBER(M234))),"",B234+M234)</x:f>
      </x:c>
      <x:c r="O234" s="25" t="str"/>
      <x:c r="P234" s="26" t="str">
        <x:v>Incluir</x:v>
      </x:c>
      <x:c r="Q234" s="22" t="str"/>
      <x:c r="R234" s="22" t="str"/>
      <x:c r="S234" s="22" t="str">
        <x:f>IF(C234="","",COUNTIFS('PAGOS'!$C$5:$C$504,A234,'PAGOS'!$B$5:$B$504,"&gt;0",'PAGOS'!$B$5:$B$504,"&lt;="&amp;'AJUSTES'!$B$4,'PAGOS'!$N$5:$N$504,"Incluir",'PAGOS'!$Q$5:$Q$504,"&lt;&gt;Aplicar"))</x:f>
      </x:c>
      <x:c r="T234" s="28" t="str">
        <x:f>IF(AND(C234&lt;&gt;"",ISNUMBER(O234),O234&lt;='AJUSTES'!$B$4,ISNUMBER(E234)),ROUND(E234-G234,2),"")</x:f>
      </x:c>
    </x:row>
    <x:row r="235" ht="25" customHeight="1">
      <x:c r="A235" s="22" t="str">
        <x:v>V-231</x:v>
      </x:c>
      <x:c r="B235" s="25" t="str"/>
      <x:c r="C235" s="26" t="str"/>
      <x:c r="D235" s="26" t="str"/>
      <x:c r="E235" s="27" t="str"/>
      <x:c r="F235" s="26" t="str"/>
      <x:c r="G235" s="28" t="str">
        <x:f>IF(C235="","",SUMIFS('PAGOS'!$K$5:$K$504,'PAGOS'!$C$5:$C$504,A235,'PAGOS'!$Q$5:$Q$504,"Aplicar",'PAGOS'!$B$5:$B$504,"&lt;="&amp;'AJUSTES'!$B$4))</x:f>
      </x:c>
      <x:c r="H235" s="28" t="str">
        <x:f>IF(C235="","",IF(AND(ISNUMBER(O235),O235&lt;='AJUSTES'!$B$4),0,IF(OR(P235&lt;&gt;"Incluir",NOT(ISNUMBER(E235)),B235="",B235&gt;'AJUSTES'!$B$4,S235&gt;0),"",MAX(0,ROUND(E235-G235,2)))))</x:f>
      </x:c>
      <x:c r="I235" s="22" t="str">
        <x:f>IF(C235="","",IF(P235="Anulada","Anulada",IF(B235&gt;'AJUSTES'!$B$4,"Posterior al corte",IF(NOT(ISNUMBER(H235)),"Por conciliar",IF(H235&lt;='AJUSTES'!$B$10,"Pagado",IF(J235&gt;0,"Moroso","Vigente"))))))</x:f>
      </x:c>
      <x:c r="J235" s="22" t="str">
        <x:f>IF(OR(C235="",NOT(ISNUMBER(H235)),NOT(ISNUMBER(N235))),"",IF(H235&gt;'AJUSTES'!$B$10,MAX(0,'AJUSTES'!$B$4-N235),0))</x:f>
      </x:c>
      <x:c r="K235" s="27" t="str"/>
      <x:c r="L235" s="26" t="str"/>
      <x:c r="M235" s="26" t="str">
        <x:f>IF(C235="","",'AJUSTES'!$B$5)</x:f>
      </x:c>
      <x:c r="N235" s="29" t="str">
        <x:f>IF(OR(NOT(ISNUMBER(B235)),NOT(ISNUMBER(M235))),"",B235+M235)</x:f>
      </x:c>
      <x:c r="O235" s="25" t="str"/>
      <x:c r="P235" s="26" t="str">
        <x:v>Incluir</x:v>
      </x:c>
      <x:c r="Q235" s="22" t="str"/>
      <x:c r="R235" s="22" t="str"/>
      <x:c r="S235" s="22" t="str">
        <x:f>IF(C235="","",COUNTIFS('PAGOS'!$C$5:$C$504,A235,'PAGOS'!$B$5:$B$504,"&gt;0",'PAGOS'!$B$5:$B$504,"&lt;="&amp;'AJUSTES'!$B$4,'PAGOS'!$N$5:$N$504,"Incluir",'PAGOS'!$Q$5:$Q$504,"&lt;&gt;Aplicar"))</x:f>
      </x:c>
      <x:c r="T235" s="28" t="str">
        <x:f>IF(AND(C235&lt;&gt;"",ISNUMBER(O235),O235&lt;='AJUSTES'!$B$4,ISNUMBER(E235)),ROUND(E235-G235,2),"")</x:f>
      </x:c>
    </x:row>
    <x:row r="236" ht="25" customHeight="1">
      <x:c r="A236" s="22" t="str">
        <x:v>V-232</x:v>
      </x:c>
      <x:c r="B236" s="25" t="str"/>
      <x:c r="C236" s="26" t="str"/>
      <x:c r="D236" s="26" t="str"/>
      <x:c r="E236" s="27" t="str"/>
      <x:c r="F236" s="26" t="str"/>
      <x:c r="G236" s="28" t="str">
        <x:f>IF(C236="","",SUMIFS('PAGOS'!$K$5:$K$504,'PAGOS'!$C$5:$C$504,A236,'PAGOS'!$Q$5:$Q$504,"Aplicar",'PAGOS'!$B$5:$B$504,"&lt;="&amp;'AJUSTES'!$B$4))</x:f>
      </x:c>
      <x:c r="H236" s="28" t="str">
        <x:f>IF(C236="","",IF(AND(ISNUMBER(O236),O236&lt;='AJUSTES'!$B$4),0,IF(OR(P236&lt;&gt;"Incluir",NOT(ISNUMBER(E236)),B236="",B236&gt;'AJUSTES'!$B$4,S236&gt;0),"",MAX(0,ROUND(E236-G236,2)))))</x:f>
      </x:c>
      <x:c r="I236" s="22" t="str">
        <x:f>IF(C236="","",IF(P236="Anulada","Anulada",IF(B236&gt;'AJUSTES'!$B$4,"Posterior al corte",IF(NOT(ISNUMBER(H236)),"Por conciliar",IF(H236&lt;='AJUSTES'!$B$10,"Pagado",IF(J236&gt;0,"Moroso","Vigente"))))))</x:f>
      </x:c>
      <x:c r="J236" s="22" t="str">
        <x:f>IF(OR(C236="",NOT(ISNUMBER(H236)),NOT(ISNUMBER(N236))),"",IF(H236&gt;'AJUSTES'!$B$10,MAX(0,'AJUSTES'!$B$4-N236),0))</x:f>
      </x:c>
      <x:c r="K236" s="27" t="str"/>
      <x:c r="L236" s="26" t="str"/>
      <x:c r="M236" s="26" t="str">
        <x:f>IF(C236="","",'AJUSTES'!$B$5)</x:f>
      </x:c>
      <x:c r="N236" s="29" t="str">
        <x:f>IF(OR(NOT(ISNUMBER(B236)),NOT(ISNUMBER(M236))),"",B236+M236)</x:f>
      </x:c>
      <x:c r="O236" s="25" t="str"/>
      <x:c r="P236" s="26" t="str">
        <x:v>Incluir</x:v>
      </x:c>
      <x:c r="Q236" s="22" t="str"/>
      <x:c r="R236" s="22" t="str"/>
      <x:c r="S236" s="22" t="str">
        <x:f>IF(C236="","",COUNTIFS('PAGOS'!$C$5:$C$504,A236,'PAGOS'!$B$5:$B$504,"&gt;0",'PAGOS'!$B$5:$B$504,"&lt;="&amp;'AJUSTES'!$B$4,'PAGOS'!$N$5:$N$504,"Incluir",'PAGOS'!$Q$5:$Q$504,"&lt;&gt;Aplicar"))</x:f>
      </x:c>
      <x:c r="T236" s="28" t="str">
        <x:f>IF(AND(C236&lt;&gt;"",ISNUMBER(O236),O236&lt;='AJUSTES'!$B$4,ISNUMBER(E236)),ROUND(E236-G236,2),"")</x:f>
      </x:c>
    </x:row>
    <x:row r="237" ht="25" customHeight="1">
      <x:c r="A237" s="22" t="str">
        <x:v>V-233</x:v>
      </x:c>
      <x:c r="B237" s="25" t="str"/>
      <x:c r="C237" s="26" t="str"/>
      <x:c r="D237" s="26" t="str"/>
      <x:c r="E237" s="27" t="str"/>
      <x:c r="F237" s="26" t="str"/>
      <x:c r="G237" s="28" t="str">
        <x:f>IF(C237="","",SUMIFS('PAGOS'!$K$5:$K$504,'PAGOS'!$C$5:$C$504,A237,'PAGOS'!$Q$5:$Q$504,"Aplicar",'PAGOS'!$B$5:$B$504,"&lt;="&amp;'AJUSTES'!$B$4))</x:f>
      </x:c>
      <x:c r="H237" s="28" t="str">
        <x:f>IF(C237="","",IF(AND(ISNUMBER(O237),O237&lt;='AJUSTES'!$B$4),0,IF(OR(P237&lt;&gt;"Incluir",NOT(ISNUMBER(E237)),B237="",B237&gt;'AJUSTES'!$B$4,S237&gt;0),"",MAX(0,ROUND(E237-G237,2)))))</x:f>
      </x:c>
      <x:c r="I237" s="22" t="str">
        <x:f>IF(C237="","",IF(P237="Anulada","Anulada",IF(B237&gt;'AJUSTES'!$B$4,"Posterior al corte",IF(NOT(ISNUMBER(H237)),"Por conciliar",IF(H237&lt;='AJUSTES'!$B$10,"Pagado",IF(J237&gt;0,"Moroso","Vigente"))))))</x:f>
      </x:c>
      <x:c r="J237" s="22" t="str">
        <x:f>IF(OR(C237="",NOT(ISNUMBER(H237)),NOT(ISNUMBER(N237))),"",IF(H237&gt;'AJUSTES'!$B$10,MAX(0,'AJUSTES'!$B$4-N237),0))</x:f>
      </x:c>
      <x:c r="K237" s="27" t="str"/>
      <x:c r="L237" s="26" t="str"/>
      <x:c r="M237" s="26" t="str">
        <x:f>IF(C237="","",'AJUSTES'!$B$5)</x:f>
      </x:c>
      <x:c r="N237" s="29" t="str">
        <x:f>IF(OR(NOT(ISNUMBER(B237)),NOT(ISNUMBER(M237))),"",B237+M237)</x:f>
      </x:c>
      <x:c r="O237" s="25" t="str"/>
      <x:c r="P237" s="26" t="str">
        <x:v>Incluir</x:v>
      </x:c>
      <x:c r="Q237" s="22" t="str"/>
      <x:c r="R237" s="22" t="str"/>
      <x:c r="S237" s="22" t="str">
        <x:f>IF(C237="","",COUNTIFS('PAGOS'!$C$5:$C$504,A237,'PAGOS'!$B$5:$B$504,"&gt;0",'PAGOS'!$B$5:$B$504,"&lt;="&amp;'AJUSTES'!$B$4,'PAGOS'!$N$5:$N$504,"Incluir",'PAGOS'!$Q$5:$Q$504,"&lt;&gt;Aplicar"))</x:f>
      </x:c>
      <x:c r="T237" s="28" t="str">
        <x:f>IF(AND(C237&lt;&gt;"",ISNUMBER(O237),O237&lt;='AJUSTES'!$B$4,ISNUMBER(E237)),ROUND(E237-G237,2),"")</x:f>
      </x:c>
    </x:row>
    <x:row r="238" ht="25" customHeight="1">
      <x:c r="A238" s="22" t="str">
        <x:v>V-234</x:v>
      </x:c>
      <x:c r="B238" s="25" t="str"/>
      <x:c r="C238" s="26" t="str"/>
      <x:c r="D238" s="26" t="str"/>
      <x:c r="E238" s="27" t="str"/>
      <x:c r="F238" s="26" t="str"/>
      <x:c r="G238" s="28" t="str">
        <x:f>IF(C238="","",SUMIFS('PAGOS'!$K$5:$K$504,'PAGOS'!$C$5:$C$504,A238,'PAGOS'!$Q$5:$Q$504,"Aplicar",'PAGOS'!$B$5:$B$504,"&lt;="&amp;'AJUSTES'!$B$4))</x:f>
      </x:c>
      <x:c r="H238" s="28" t="str">
        <x:f>IF(C238="","",IF(AND(ISNUMBER(O238),O238&lt;='AJUSTES'!$B$4),0,IF(OR(P238&lt;&gt;"Incluir",NOT(ISNUMBER(E238)),B238="",B238&gt;'AJUSTES'!$B$4,S238&gt;0),"",MAX(0,ROUND(E238-G238,2)))))</x:f>
      </x:c>
      <x:c r="I238" s="22" t="str">
        <x:f>IF(C238="","",IF(P238="Anulada","Anulada",IF(B238&gt;'AJUSTES'!$B$4,"Posterior al corte",IF(NOT(ISNUMBER(H238)),"Por conciliar",IF(H238&lt;='AJUSTES'!$B$10,"Pagado",IF(J238&gt;0,"Moroso","Vigente"))))))</x:f>
      </x:c>
      <x:c r="J238" s="22" t="str">
        <x:f>IF(OR(C238="",NOT(ISNUMBER(H238)),NOT(ISNUMBER(N238))),"",IF(H238&gt;'AJUSTES'!$B$10,MAX(0,'AJUSTES'!$B$4-N238),0))</x:f>
      </x:c>
      <x:c r="K238" s="27" t="str"/>
      <x:c r="L238" s="26" t="str"/>
      <x:c r="M238" s="26" t="str">
        <x:f>IF(C238="","",'AJUSTES'!$B$5)</x:f>
      </x:c>
      <x:c r="N238" s="29" t="str">
        <x:f>IF(OR(NOT(ISNUMBER(B238)),NOT(ISNUMBER(M238))),"",B238+M238)</x:f>
      </x:c>
      <x:c r="O238" s="25" t="str"/>
      <x:c r="P238" s="26" t="str">
        <x:v>Incluir</x:v>
      </x:c>
      <x:c r="Q238" s="22" t="str"/>
      <x:c r="R238" s="22" t="str"/>
      <x:c r="S238" s="22" t="str">
        <x:f>IF(C238="","",COUNTIFS('PAGOS'!$C$5:$C$504,A238,'PAGOS'!$B$5:$B$504,"&gt;0",'PAGOS'!$B$5:$B$504,"&lt;="&amp;'AJUSTES'!$B$4,'PAGOS'!$N$5:$N$504,"Incluir",'PAGOS'!$Q$5:$Q$504,"&lt;&gt;Aplicar"))</x:f>
      </x:c>
      <x:c r="T238" s="28" t="str">
        <x:f>IF(AND(C238&lt;&gt;"",ISNUMBER(O238),O238&lt;='AJUSTES'!$B$4,ISNUMBER(E238)),ROUND(E238-G238,2),"")</x:f>
      </x:c>
    </x:row>
    <x:row r="239" ht="25" customHeight="1">
      <x:c r="A239" s="22" t="str">
        <x:v>V-235</x:v>
      </x:c>
      <x:c r="B239" s="25" t="str"/>
      <x:c r="C239" s="26" t="str"/>
      <x:c r="D239" s="26" t="str"/>
      <x:c r="E239" s="27" t="str"/>
      <x:c r="F239" s="26" t="str"/>
      <x:c r="G239" s="28" t="str">
        <x:f>IF(C239="","",SUMIFS('PAGOS'!$K$5:$K$504,'PAGOS'!$C$5:$C$504,A239,'PAGOS'!$Q$5:$Q$504,"Aplicar",'PAGOS'!$B$5:$B$504,"&lt;="&amp;'AJUSTES'!$B$4))</x:f>
      </x:c>
      <x:c r="H239" s="28" t="str">
        <x:f>IF(C239="","",IF(AND(ISNUMBER(O239),O239&lt;='AJUSTES'!$B$4),0,IF(OR(P239&lt;&gt;"Incluir",NOT(ISNUMBER(E239)),B239="",B239&gt;'AJUSTES'!$B$4,S239&gt;0),"",MAX(0,ROUND(E239-G239,2)))))</x:f>
      </x:c>
      <x:c r="I239" s="22" t="str">
        <x:f>IF(C239="","",IF(P239="Anulada","Anulada",IF(B239&gt;'AJUSTES'!$B$4,"Posterior al corte",IF(NOT(ISNUMBER(H239)),"Por conciliar",IF(H239&lt;='AJUSTES'!$B$10,"Pagado",IF(J239&gt;0,"Moroso","Vigente"))))))</x:f>
      </x:c>
      <x:c r="J239" s="22" t="str">
        <x:f>IF(OR(C239="",NOT(ISNUMBER(H239)),NOT(ISNUMBER(N239))),"",IF(H239&gt;'AJUSTES'!$B$10,MAX(0,'AJUSTES'!$B$4-N239),0))</x:f>
      </x:c>
      <x:c r="K239" s="27" t="str"/>
      <x:c r="L239" s="26" t="str"/>
      <x:c r="M239" s="26" t="str">
        <x:f>IF(C239="","",'AJUSTES'!$B$5)</x:f>
      </x:c>
      <x:c r="N239" s="29" t="str">
        <x:f>IF(OR(NOT(ISNUMBER(B239)),NOT(ISNUMBER(M239))),"",B239+M239)</x:f>
      </x:c>
      <x:c r="O239" s="25" t="str"/>
      <x:c r="P239" s="26" t="str">
        <x:v>Incluir</x:v>
      </x:c>
      <x:c r="Q239" s="22" t="str"/>
      <x:c r="R239" s="22" t="str"/>
      <x:c r="S239" s="22" t="str">
        <x:f>IF(C239="","",COUNTIFS('PAGOS'!$C$5:$C$504,A239,'PAGOS'!$B$5:$B$504,"&gt;0",'PAGOS'!$B$5:$B$504,"&lt;="&amp;'AJUSTES'!$B$4,'PAGOS'!$N$5:$N$504,"Incluir",'PAGOS'!$Q$5:$Q$504,"&lt;&gt;Aplicar"))</x:f>
      </x:c>
      <x:c r="T239" s="28" t="str">
        <x:f>IF(AND(C239&lt;&gt;"",ISNUMBER(O239),O239&lt;='AJUSTES'!$B$4,ISNUMBER(E239)),ROUND(E239-G239,2),"")</x:f>
      </x:c>
    </x:row>
    <x:row r="240" ht="25" customHeight="1">
      <x:c r="A240" s="22" t="str">
        <x:v>V-236</x:v>
      </x:c>
      <x:c r="B240" s="25" t="str"/>
      <x:c r="C240" s="26" t="str"/>
      <x:c r="D240" s="26" t="str"/>
      <x:c r="E240" s="27" t="str"/>
      <x:c r="F240" s="26" t="str"/>
      <x:c r="G240" s="28" t="str">
        <x:f>IF(C240="","",SUMIFS('PAGOS'!$K$5:$K$504,'PAGOS'!$C$5:$C$504,A240,'PAGOS'!$Q$5:$Q$504,"Aplicar",'PAGOS'!$B$5:$B$504,"&lt;="&amp;'AJUSTES'!$B$4))</x:f>
      </x:c>
      <x:c r="H240" s="28" t="str">
        <x:f>IF(C240="","",IF(AND(ISNUMBER(O240),O240&lt;='AJUSTES'!$B$4),0,IF(OR(P240&lt;&gt;"Incluir",NOT(ISNUMBER(E240)),B240="",B240&gt;'AJUSTES'!$B$4,S240&gt;0),"",MAX(0,ROUND(E240-G240,2)))))</x:f>
      </x:c>
      <x:c r="I240" s="22" t="str">
        <x:f>IF(C240="","",IF(P240="Anulada","Anulada",IF(B240&gt;'AJUSTES'!$B$4,"Posterior al corte",IF(NOT(ISNUMBER(H240)),"Por conciliar",IF(H240&lt;='AJUSTES'!$B$10,"Pagado",IF(J240&gt;0,"Moroso","Vigente"))))))</x:f>
      </x:c>
      <x:c r="J240" s="22" t="str">
        <x:f>IF(OR(C240="",NOT(ISNUMBER(H240)),NOT(ISNUMBER(N240))),"",IF(H240&gt;'AJUSTES'!$B$10,MAX(0,'AJUSTES'!$B$4-N240),0))</x:f>
      </x:c>
      <x:c r="K240" s="27" t="str"/>
      <x:c r="L240" s="26" t="str"/>
      <x:c r="M240" s="26" t="str">
        <x:f>IF(C240="","",'AJUSTES'!$B$5)</x:f>
      </x:c>
      <x:c r="N240" s="29" t="str">
        <x:f>IF(OR(NOT(ISNUMBER(B240)),NOT(ISNUMBER(M240))),"",B240+M240)</x:f>
      </x:c>
      <x:c r="O240" s="25" t="str"/>
      <x:c r="P240" s="26" t="str">
        <x:v>Incluir</x:v>
      </x:c>
      <x:c r="Q240" s="22" t="str"/>
      <x:c r="R240" s="22" t="str"/>
      <x:c r="S240" s="22" t="str">
        <x:f>IF(C240="","",COUNTIFS('PAGOS'!$C$5:$C$504,A240,'PAGOS'!$B$5:$B$504,"&gt;0",'PAGOS'!$B$5:$B$504,"&lt;="&amp;'AJUSTES'!$B$4,'PAGOS'!$N$5:$N$504,"Incluir",'PAGOS'!$Q$5:$Q$504,"&lt;&gt;Aplicar"))</x:f>
      </x:c>
      <x:c r="T240" s="28" t="str">
        <x:f>IF(AND(C240&lt;&gt;"",ISNUMBER(O240),O240&lt;='AJUSTES'!$B$4,ISNUMBER(E240)),ROUND(E240-G240,2),"")</x:f>
      </x:c>
    </x:row>
    <x:row r="241" ht="25" customHeight="1">
      <x:c r="A241" s="22" t="str">
        <x:v>V-237</x:v>
      </x:c>
      <x:c r="B241" s="25" t="str"/>
      <x:c r="C241" s="26" t="str"/>
      <x:c r="D241" s="26" t="str"/>
      <x:c r="E241" s="27" t="str"/>
      <x:c r="F241" s="26" t="str"/>
      <x:c r="G241" s="28" t="str">
        <x:f>IF(C241="","",SUMIFS('PAGOS'!$K$5:$K$504,'PAGOS'!$C$5:$C$504,A241,'PAGOS'!$Q$5:$Q$504,"Aplicar",'PAGOS'!$B$5:$B$504,"&lt;="&amp;'AJUSTES'!$B$4))</x:f>
      </x:c>
      <x:c r="H241" s="28" t="str">
        <x:f>IF(C241="","",IF(AND(ISNUMBER(O241),O241&lt;='AJUSTES'!$B$4),0,IF(OR(P241&lt;&gt;"Incluir",NOT(ISNUMBER(E241)),B241="",B241&gt;'AJUSTES'!$B$4,S241&gt;0),"",MAX(0,ROUND(E241-G241,2)))))</x:f>
      </x:c>
      <x:c r="I241" s="22" t="str">
        <x:f>IF(C241="","",IF(P241="Anulada","Anulada",IF(B241&gt;'AJUSTES'!$B$4,"Posterior al corte",IF(NOT(ISNUMBER(H241)),"Por conciliar",IF(H241&lt;='AJUSTES'!$B$10,"Pagado",IF(J241&gt;0,"Moroso","Vigente"))))))</x:f>
      </x:c>
      <x:c r="J241" s="22" t="str">
        <x:f>IF(OR(C241="",NOT(ISNUMBER(H241)),NOT(ISNUMBER(N241))),"",IF(H241&gt;'AJUSTES'!$B$10,MAX(0,'AJUSTES'!$B$4-N241),0))</x:f>
      </x:c>
      <x:c r="K241" s="27" t="str"/>
      <x:c r="L241" s="26" t="str"/>
      <x:c r="M241" s="26" t="str">
        <x:f>IF(C241="","",'AJUSTES'!$B$5)</x:f>
      </x:c>
      <x:c r="N241" s="29" t="str">
        <x:f>IF(OR(NOT(ISNUMBER(B241)),NOT(ISNUMBER(M241))),"",B241+M241)</x:f>
      </x:c>
      <x:c r="O241" s="25" t="str"/>
      <x:c r="P241" s="26" t="str">
        <x:v>Incluir</x:v>
      </x:c>
      <x:c r="Q241" s="22" t="str"/>
      <x:c r="R241" s="22" t="str"/>
      <x:c r="S241" s="22" t="str">
        <x:f>IF(C241="","",COUNTIFS('PAGOS'!$C$5:$C$504,A241,'PAGOS'!$B$5:$B$504,"&gt;0",'PAGOS'!$B$5:$B$504,"&lt;="&amp;'AJUSTES'!$B$4,'PAGOS'!$N$5:$N$504,"Incluir",'PAGOS'!$Q$5:$Q$504,"&lt;&gt;Aplicar"))</x:f>
      </x:c>
      <x:c r="T241" s="28" t="str">
        <x:f>IF(AND(C241&lt;&gt;"",ISNUMBER(O241),O241&lt;='AJUSTES'!$B$4,ISNUMBER(E241)),ROUND(E241-G241,2),"")</x:f>
      </x:c>
    </x:row>
    <x:row r="242" ht="25" customHeight="1">
      <x:c r="A242" s="22" t="str">
        <x:v>V-238</x:v>
      </x:c>
      <x:c r="B242" s="25" t="str"/>
      <x:c r="C242" s="26" t="str"/>
      <x:c r="D242" s="26" t="str"/>
      <x:c r="E242" s="27" t="str"/>
      <x:c r="F242" s="26" t="str"/>
      <x:c r="G242" s="28" t="str">
        <x:f>IF(C242="","",SUMIFS('PAGOS'!$K$5:$K$504,'PAGOS'!$C$5:$C$504,A242,'PAGOS'!$Q$5:$Q$504,"Aplicar",'PAGOS'!$B$5:$B$504,"&lt;="&amp;'AJUSTES'!$B$4))</x:f>
      </x:c>
      <x:c r="H242" s="28" t="str">
        <x:f>IF(C242="","",IF(AND(ISNUMBER(O242),O242&lt;='AJUSTES'!$B$4),0,IF(OR(P242&lt;&gt;"Incluir",NOT(ISNUMBER(E242)),B242="",B242&gt;'AJUSTES'!$B$4,S242&gt;0),"",MAX(0,ROUND(E242-G242,2)))))</x:f>
      </x:c>
      <x:c r="I242" s="22" t="str">
        <x:f>IF(C242="","",IF(P242="Anulada","Anulada",IF(B242&gt;'AJUSTES'!$B$4,"Posterior al corte",IF(NOT(ISNUMBER(H242)),"Por conciliar",IF(H242&lt;='AJUSTES'!$B$10,"Pagado",IF(J242&gt;0,"Moroso","Vigente"))))))</x:f>
      </x:c>
      <x:c r="J242" s="22" t="str">
        <x:f>IF(OR(C242="",NOT(ISNUMBER(H242)),NOT(ISNUMBER(N242))),"",IF(H242&gt;'AJUSTES'!$B$10,MAX(0,'AJUSTES'!$B$4-N242),0))</x:f>
      </x:c>
      <x:c r="K242" s="27" t="str"/>
      <x:c r="L242" s="26" t="str"/>
      <x:c r="M242" s="26" t="str">
        <x:f>IF(C242="","",'AJUSTES'!$B$5)</x:f>
      </x:c>
      <x:c r="N242" s="29" t="str">
        <x:f>IF(OR(NOT(ISNUMBER(B242)),NOT(ISNUMBER(M242))),"",B242+M242)</x:f>
      </x:c>
      <x:c r="O242" s="25" t="str"/>
      <x:c r="P242" s="26" t="str">
        <x:v>Incluir</x:v>
      </x:c>
      <x:c r="Q242" s="22" t="str"/>
      <x:c r="R242" s="22" t="str"/>
      <x:c r="S242" s="22" t="str">
        <x:f>IF(C242="","",COUNTIFS('PAGOS'!$C$5:$C$504,A242,'PAGOS'!$B$5:$B$504,"&gt;0",'PAGOS'!$B$5:$B$504,"&lt;="&amp;'AJUSTES'!$B$4,'PAGOS'!$N$5:$N$504,"Incluir",'PAGOS'!$Q$5:$Q$504,"&lt;&gt;Aplicar"))</x:f>
      </x:c>
      <x:c r="T242" s="28" t="str">
        <x:f>IF(AND(C242&lt;&gt;"",ISNUMBER(O242),O242&lt;='AJUSTES'!$B$4,ISNUMBER(E242)),ROUND(E242-G242,2),"")</x:f>
      </x:c>
    </x:row>
    <x:row r="243" ht="25" customHeight="1">
      <x:c r="A243" s="22" t="str">
        <x:v>V-239</x:v>
      </x:c>
      <x:c r="B243" s="25" t="str"/>
      <x:c r="C243" s="26" t="str"/>
      <x:c r="D243" s="26" t="str"/>
      <x:c r="E243" s="27" t="str"/>
      <x:c r="F243" s="26" t="str"/>
      <x:c r="G243" s="28" t="str">
        <x:f>IF(C243="","",SUMIFS('PAGOS'!$K$5:$K$504,'PAGOS'!$C$5:$C$504,A243,'PAGOS'!$Q$5:$Q$504,"Aplicar",'PAGOS'!$B$5:$B$504,"&lt;="&amp;'AJUSTES'!$B$4))</x:f>
      </x:c>
      <x:c r="H243" s="28" t="str">
        <x:f>IF(C243="","",IF(AND(ISNUMBER(O243),O243&lt;='AJUSTES'!$B$4),0,IF(OR(P243&lt;&gt;"Incluir",NOT(ISNUMBER(E243)),B243="",B243&gt;'AJUSTES'!$B$4,S243&gt;0),"",MAX(0,ROUND(E243-G243,2)))))</x:f>
      </x:c>
      <x:c r="I243" s="22" t="str">
        <x:f>IF(C243="","",IF(P243="Anulada","Anulada",IF(B243&gt;'AJUSTES'!$B$4,"Posterior al corte",IF(NOT(ISNUMBER(H243)),"Por conciliar",IF(H243&lt;='AJUSTES'!$B$10,"Pagado",IF(J243&gt;0,"Moroso","Vigente"))))))</x:f>
      </x:c>
      <x:c r="J243" s="22" t="str">
        <x:f>IF(OR(C243="",NOT(ISNUMBER(H243)),NOT(ISNUMBER(N243))),"",IF(H243&gt;'AJUSTES'!$B$10,MAX(0,'AJUSTES'!$B$4-N243),0))</x:f>
      </x:c>
      <x:c r="K243" s="27" t="str"/>
      <x:c r="L243" s="26" t="str"/>
      <x:c r="M243" s="26" t="str">
        <x:f>IF(C243="","",'AJUSTES'!$B$5)</x:f>
      </x:c>
      <x:c r="N243" s="29" t="str">
        <x:f>IF(OR(NOT(ISNUMBER(B243)),NOT(ISNUMBER(M243))),"",B243+M243)</x:f>
      </x:c>
      <x:c r="O243" s="25" t="str"/>
      <x:c r="P243" s="26" t="str">
        <x:v>Incluir</x:v>
      </x:c>
      <x:c r="Q243" s="22" t="str"/>
      <x:c r="R243" s="22" t="str"/>
      <x:c r="S243" s="22" t="str">
        <x:f>IF(C243="","",COUNTIFS('PAGOS'!$C$5:$C$504,A243,'PAGOS'!$B$5:$B$504,"&gt;0",'PAGOS'!$B$5:$B$504,"&lt;="&amp;'AJUSTES'!$B$4,'PAGOS'!$N$5:$N$504,"Incluir",'PAGOS'!$Q$5:$Q$504,"&lt;&gt;Aplicar"))</x:f>
      </x:c>
      <x:c r="T243" s="28" t="str">
        <x:f>IF(AND(C243&lt;&gt;"",ISNUMBER(O243),O243&lt;='AJUSTES'!$B$4,ISNUMBER(E243)),ROUND(E243-G243,2),"")</x:f>
      </x:c>
    </x:row>
    <x:row r="244" ht="25" customHeight="1">
      <x:c r="A244" s="22" t="str">
        <x:v>V-240</x:v>
      </x:c>
      <x:c r="B244" s="25" t="str"/>
      <x:c r="C244" s="26" t="str"/>
      <x:c r="D244" s="26" t="str"/>
      <x:c r="E244" s="27" t="str"/>
      <x:c r="F244" s="26" t="str"/>
      <x:c r="G244" s="28" t="str">
        <x:f>IF(C244="","",SUMIFS('PAGOS'!$K$5:$K$504,'PAGOS'!$C$5:$C$504,A244,'PAGOS'!$Q$5:$Q$504,"Aplicar",'PAGOS'!$B$5:$B$504,"&lt;="&amp;'AJUSTES'!$B$4))</x:f>
      </x:c>
      <x:c r="H244" s="28" t="str">
        <x:f>IF(C244="","",IF(AND(ISNUMBER(O244),O244&lt;='AJUSTES'!$B$4),0,IF(OR(P244&lt;&gt;"Incluir",NOT(ISNUMBER(E244)),B244="",B244&gt;'AJUSTES'!$B$4,S244&gt;0),"",MAX(0,ROUND(E244-G244,2)))))</x:f>
      </x:c>
      <x:c r="I244" s="22" t="str">
        <x:f>IF(C244="","",IF(P244="Anulada","Anulada",IF(B244&gt;'AJUSTES'!$B$4,"Posterior al corte",IF(NOT(ISNUMBER(H244)),"Por conciliar",IF(H244&lt;='AJUSTES'!$B$10,"Pagado",IF(J244&gt;0,"Moroso","Vigente"))))))</x:f>
      </x:c>
      <x:c r="J244" s="22" t="str">
        <x:f>IF(OR(C244="",NOT(ISNUMBER(H244)),NOT(ISNUMBER(N244))),"",IF(H244&gt;'AJUSTES'!$B$10,MAX(0,'AJUSTES'!$B$4-N244),0))</x:f>
      </x:c>
      <x:c r="K244" s="27" t="str"/>
      <x:c r="L244" s="26" t="str"/>
      <x:c r="M244" s="26" t="str">
        <x:f>IF(C244="","",'AJUSTES'!$B$5)</x:f>
      </x:c>
      <x:c r="N244" s="29" t="str">
        <x:f>IF(OR(NOT(ISNUMBER(B244)),NOT(ISNUMBER(M244))),"",B244+M244)</x:f>
      </x:c>
      <x:c r="O244" s="25" t="str"/>
      <x:c r="P244" s="26" t="str">
        <x:v>Incluir</x:v>
      </x:c>
      <x:c r="Q244" s="22" t="str"/>
      <x:c r="R244" s="22" t="str"/>
      <x:c r="S244" s="22" t="str">
        <x:f>IF(C244="","",COUNTIFS('PAGOS'!$C$5:$C$504,A244,'PAGOS'!$B$5:$B$504,"&gt;0",'PAGOS'!$B$5:$B$504,"&lt;="&amp;'AJUSTES'!$B$4,'PAGOS'!$N$5:$N$504,"Incluir",'PAGOS'!$Q$5:$Q$504,"&lt;&gt;Aplicar"))</x:f>
      </x:c>
      <x:c r="T244" s="28" t="str">
        <x:f>IF(AND(C244&lt;&gt;"",ISNUMBER(O244),O244&lt;='AJUSTES'!$B$4,ISNUMBER(E244)),ROUND(E244-G244,2),"")</x:f>
      </x:c>
    </x:row>
    <x:row r="245" ht="25" customHeight="1">
      <x:c r="A245" s="22" t="str">
        <x:v>V-241</x:v>
      </x:c>
      <x:c r="B245" s="25" t="str"/>
      <x:c r="C245" s="26" t="str"/>
      <x:c r="D245" s="26" t="str"/>
      <x:c r="E245" s="27" t="str"/>
      <x:c r="F245" s="26" t="str"/>
      <x:c r="G245" s="28" t="str">
        <x:f>IF(C245="","",SUMIFS('PAGOS'!$K$5:$K$504,'PAGOS'!$C$5:$C$504,A245,'PAGOS'!$Q$5:$Q$504,"Aplicar",'PAGOS'!$B$5:$B$504,"&lt;="&amp;'AJUSTES'!$B$4))</x:f>
      </x:c>
      <x:c r="H245" s="28" t="str">
        <x:f>IF(C245="","",IF(AND(ISNUMBER(O245),O245&lt;='AJUSTES'!$B$4),0,IF(OR(P245&lt;&gt;"Incluir",NOT(ISNUMBER(E245)),B245="",B245&gt;'AJUSTES'!$B$4,S245&gt;0),"",MAX(0,ROUND(E245-G245,2)))))</x:f>
      </x:c>
      <x:c r="I245" s="22" t="str">
        <x:f>IF(C245="","",IF(P245="Anulada","Anulada",IF(B245&gt;'AJUSTES'!$B$4,"Posterior al corte",IF(NOT(ISNUMBER(H245)),"Por conciliar",IF(H245&lt;='AJUSTES'!$B$10,"Pagado",IF(J245&gt;0,"Moroso","Vigente"))))))</x:f>
      </x:c>
      <x:c r="J245" s="22" t="str">
        <x:f>IF(OR(C245="",NOT(ISNUMBER(H245)),NOT(ISNUMBER(N245))),"",IF(H245&gt;'AJUSTES'!$B$10,MAX(0,'AJUSTES'!$B$4-N245),0))</x:f>
      </x:c>
      <x:c r="K245" s="27" t="str"/>
      <x:c r="L245" s="26" t="str"/>
      <x:c r="M245" s="26" t="str">
        <x:f>IF(C245="","",'AJUSTES'!$B$5)</x:f>
      </x:c>
      <x:c r="N245" s="29" t="str">
        <x:f>IF(OR(NOT(ISNUMBER(B245)),NOT(ISNUMBER(M245))),"",B245+M245)</x:f>
      </x:c>
      <x:c r="O245" s="25" t="str"/>
      <x:c r="P245" s="26" t="str">
        <x:v>Incluir</x:v>
      </x:c>
      <x:c r="Q245" s="22" t="str"/>
      <x:c r="R245" s="22" t="str"/>
      <x:c r="S245" s="22" t="str">
        <x:f>IF(C245="","",COUNTIFS('PAGOS'!$C$5:$C$504,A245,'PAGOS'!$B$5:$B$504,"&gt;0",'PAGOS'!$B$5:$B$504,"&lt;="&amp;'AJUSTES'!$B$4,'PAGOS'!$N$5:$N$504,"Incluir",'PAGOS'!$Q$5:$Q$504,"&lt;&gt;Aplicar"))</x:f>
      </x:c>
      <x:c r="T245" s="28" t="str">
        <x:f>IF(AND(C245&lt;&gt;"",ISNUMBER(O245),O245&lt;='AJUSTES'!$B$4,ISNUMBER(E245)),ROUND(E245-G245,2),"")</x:f>
      </x:c>
    </x:row>
    <x:row r="246" ht="25" customHeight="1">
      <x:c r="A246" s="22" t="str">
        <x:v>V-242</x:v>
      </x:c>
      <x:c r="B246" s="25" t="str"/>
      <x:c r="C246" s="26" t="str"/>
      <x:c r="D246" s="26" t="str"/>
      <x:c r="E246" s="27" t="str"/>
      <x:c r="F246" s="26" t="str"/>
      <x:c r="G246" s="28" t="str">
        <x:f>IF(C246="","",SUMIFS('PAGOS'!$K$5:$K$504,'PAGOS'!$C$5:$C$504,A246,'PAGOS'!$Q$5:$Q$504,"Aplicar",'PAGOS'!$B$5:$B$504,"&lt;="&amp;'AJUSTES'!$B$4))</x:f>
      </x:c>
      <x:c r="H246" s="28" t="str">
        <x:f>IF(C246="","",IF(AND(ISNUMBER(O246),O246&lt;='AJUSTES'!$B$4),0,IF(OR(P246&lt;&gt;"Incluir",NOT(ISNUMBER(E246)),B246="",B246&gt;'AJUSTES'!$B$4,S246&gt;0),"",MAX(0,ROUND(E246-G246,2)))))</x:f>
      </x:c>
      <x:c r="I246" s="22" t="str">
        <x:f>IF(C246="","",IF(P246="Anulada","Anulada",IF(B246&gt;'AJUSTES'!$B$4,"Posterior al corte",IF(NOT(ISNUMBER(H246)),"Por conciliar",IF(H246&lt;='AJUSTES'!$B$10,"Pagado",IF(J246&gt;0,"Moroso","Vigente"))))))</x:f>
      </x:c>
      <x:c r="J246" s="22" t="str">
        <x:f>IF(OR(C246="",NOT(ISNUMBER(H246)),NOT(ISNUMBER(N246))),"",IF(H246&gt;'AJUSTES'!$B$10,MAX(0,'AJUSTES'!$B$4-N246),0))</x:f>
      </x:c>
      <x:c r="K246" s="27" t="str"/>
      <x:c r="L246" s="26" t="str"/>
      <x:c r="M246" s="26" t="str">
        <x:f>IF(C246="","",'AJUSTES'!$B$5)</x:f>
      </x:c>
      <x:c r="N246" s="29" t="str">
        <x:f>IF(OR(NOT(ISNUMBER(B246)),NOT(ISNUMBER(M246))),"",B246+M246)</x:f>
      </x:c>
      <x:c r="O246" s="25" t="str"/>
      <x:c r="P246" s="26" t="str">
        <x:v>Incluir</x:v>
      </x:c>
      <x:c r="Q246" s="22" t="str"/>
      <x:c r="R246" s="22" t="str"/>
      <x:c r="S246" s="22" t="str">
        <x:f>IF(C246="","",COUNTIFS('PAGOS'!$C$5:$C$504,A246,'PAGOS'!$B$5:$B$504,"&gt;0",'PAGOS'!$B$5:$B$504,"&lt;="&amp;'AJUSTES'!$B$4,'PAGOS'!$N$5:$N$504,"Incluir",'PAGOS'!$Q$5:$Q$504,"&lt;&gt;Aplicar"))</x:f>
      </x:c>
      <x:c r="T246" s="28" t="str">
        <x:f>IF(AND(C246&lt;&gt;"",ISNUMBER(O246),O246&lt;='AJUSTES'!$B$4,ISNUMBER(E246)),ROUND(E246-G246,2),"")</x:f>
      </x:c>
    </x:row>
    <x:row r="247" ht="25" customHeight="1">
      <x:c r="A247" s="22" t="str">
        <x:v>V-243</x:v>
      </x:c>
      <x:c r="B247" s="25" t="str"/>
      <x:c r="C247" s="26" t="str"/>
      <x:c r="D247" s="26" t="str"/>
      <x:c r="E247" s="27" t="str"/>
      <x:c r="F247" s="26" t="str"/>
      <x:c r="G247" s="28" t="str">
        <x:f>IF(C247="","",SUMIFS('PAGOS'!$K$5:$K$504,'PAGOS'!$C$5:$C$504,A247,'PAGOS'!$Q$5:$Q$504,"Aplicar",'PAGOS'!$B$5:$B$504,"&lt;="&amp;'AJUSTES'!$B$4))</x:f>
      </x:c>
      <x:c r="H247" s="28" t="str">
        <x:f>IF(C247="","",IF(AND(ISNUMBER(O247),O247&lt;='AJUSTES'!$B$4),0,IF(OR(P247&lt;&gt;"Incluir",NOT(ISNUMBER(E247)),B247="",B247&gt;'AJUSTES'!$B$4,S247&gt;0),"",MAX(0,ROUND(E247-G247,2)))))</x:f>
      </x:c>
      <x:c r="I247" s="22" t="str">
        <x:f>IF(C247="","",IF(P247="Anulada","Anulada",IF(B247&gt;'AJUSTES'!$B$4,"Posterior al corte",IF(NOT(ISNUMBER(H247)),"Por conciliar",IF(H247&lt;='AJUSTES'!$B$10,"Pagado",IF(J247&gt;0,"Moroso","Vigente"))))))</x:f>
      </x:c>
      <x:c r="J247" s="22" t="str">
        <x:f>IF(OR(C247="",NOT(ISNUMBER(H247)),NOT(ISNUMBER(N247))),"",IF(H247&gt;'AJUSTES'!$B$10,MAX(0,'AJUSTES'!$B$4-N247),0))</x:f>
      </x:c>
      <x:c r="K247" s="27" t="str"/>
      <x:c r="L247" s="26" t="str"/>
      <x:c r="M247" s="26" t="str">
        <x:f>IF(C247="","",'AJUSTES'!$B$5)</x:f>
      </x:c>
      <x:c r="N247" s="29" t="str">
        <x:f>IF(OR(NOT(ISNUMBER(B247)),NOT(ISNUMBER(M247))),"",B247+M247)</x:f>
      </x:c>
      <x:c r="O247" s="25" t="str"/>
      <x:c r="P247" s="26" t="str">
        <x:v>Incluir</x:v>
      </x:c>
      <x:c r="Q247" s="22" t="str"/>
      <x:c r="R247" s="22" t="str"/>
      <x:c r="S247" s="22" t="str">
        <x:f>IF(C247="","",COUNTIFS('PAGOS'!$C$5:$C$504,A247,'PAGOS'!$B$5:$B$504,"&gt;0",'PAGOS'!$B$5:$B$504,"&lt;="&amp;'AJUSTES'!$B$4,'PAGOS'!$N$5:$N$504,"Incluir",'PAGOS'!$Q$5:$Q$504,"&lt;&gt;Aplicar"))</x:f>
      </x:c>
      <x:c r="T247" s="28" t="str">
        <x:f>IF(AND(C247&lt;&gt;"",ISNUMBER(O247),O247&lt;='AJUSTES'!$B$4,ISNUMBER(E247)),ROUND(E247-G247,2),"")</x:f>
      </x:c>
    </x:row>
    <x:row r="248" ht="25" customHeight="1">
      <x:c r="A248" s="22" t="str">
        <x:v>V-244</x:v>
      </x:c>
      <x:c r="B248" s="25" t="str"/>
      <x:c r="C248" s="26" t="str"/>
      <x:c r="D248" s="26" t="str"/>
      <x:c r="E248" s="27" t="str"/>
      <x:c r="F248" s="26" t="str"/>
      <x:c r="G248" s="28" t="str">
        <x:f>IF(C248="","",SUMIFS('PAGOS'!$K$5:$K$504,'PAGOS'!$C$5:$C$504,A248,'PAGOS'!$Q$5:$Q$504,"Aplicar",'PAGOS'!$B$5:$B$504,"&lt;="&amp;'AJUSTES'!$B$4))</x:f>
      </x:c>
      <x:c r="H248" s="28" t="str">
        <x:f>IF(C248="","",IF(AND(ISNUMBER(O248),O248&lt;='AJUSTES'!$B$4),0,IF(OR(P248&lt;&gt;"Incluir",NOT(ISNUMBER(E248)),B248="",B248&gt;'AJUSTES'!$B$4,S248&gt;0),"",MAX(0,ROUND(E248-G248,2)))))</x:f>
      </x:c>
      <x:c r="I248" s="22" t="str">
        <x:f>IF(C248="","",IF(P248="Anulada","Anulada",IF(B248&gt;'AJUSTES'!$B$4,"Posterior al corte",IF(NOT(ISNUMBER(H248)),"Por conciliar",IF(H248&lt;='AJUSTES'!$B$10,"Pagado",IF(J248&gt;0,"Moroso","Vigente"))))))</x:f>
      </x:c>
      <x:c r="J248" s="22" t="str">
        <x:f>IF(OR(C248="",NOT(ISNUMBER(H248)),NOT(ISNUMBER(N248))),"",IF(H248&gt;'AJUSTES'!$B$10,MAX(0,'AJUSTES'!$B$4-N248),0))</x:f>
      </x:c>
      <x:c r="K248" s="27" t="str"/>
      <x:c r="L248" s="26" t="str"/>
      <x:c r="M248" s="26" t="str">
        <x:f>IF(C248="","",'AJUSTES'!$B$5)</x:f>
      </x:c>
      <x:c r="N248" s="29" t="str">
        <x:f>IF(OR(NOT(ISNUMBER(B248)),NOT(ISNUMBER(M248))),"",B248+M248)</x:f>
      </x:c>
      <x:c r="O248" s="25" t="str"/>
      <x:c r="P248" s="26" t="str">
        <x:v>Incluir</x:v>
      </x:c>
      <x:c r="Q248" s="22" t="str"/>
      <x:c r="R248" s="22" t="str"/>
      <x:c r="S248" s="22" t="str">
        <x:f>IF(C248="","",COUNTIFS('PAGOS'!$C$5:$C$504,A248,'PAGOS'!$B$5:$B$504,"&gt;0",'PAGOS'!$B$5:$B$504,"&lt;="&amp;'AJUSTES'!$B$4,'PAGOS'!$N$5:$N$504,"Incluir",'PAGOS'!$Q$5:$Q$504,"&lt;&gt;Aplicar"))</x:f>
      </x:c>
      <x:c r="T248" s="28" t="str">
        <x:f>IF(AND(C248&lt;&gt;"",ISNUMBER(O248),O248&lt;='AJUSTES'!$B$4,ISNUMBER(E248)),ROUND(E248-G248,2),"")</x:f>
      </x:c>
    </x:row>
    <x:row r="249" ht="25" customHeight="1">
      <x:c r="A249" s="22" t="str">
        <x:v>V-245</x:v>
      </x:c>
      <x:c r="B249" s="25" t="str"/>
      <x:c r="C249" s="26" t="str"/>
      <x:c r="D249" s="26" t="str"/>
      <x:c r="E249" s="27" t="str"/>
      <x:c r="F249" s="26" t="str"/>
      <x:c r="G249" s="28" t="str">
        <x:f>IF(C249="","",SUMIFS('PAGOS'!$K$5:$K$504,'PAGOS'!$C$5:$C$504,A249,'PAGOS'!$Q$5:$Q$504,"Aplicar",'PAGOS'!$B$5:$B$504,"&lt;="&amp;'AJUSTES'!$B$4))</x:f>
      </x:c>
      <x:c r="H249" s="28" t="str">
        <x:f>IF(C249="","",IF(AND(ISNUMBER(O249),O249&lt;='AJUSTES'!$B$4),0,IF(OR(P249&lt;&gt;"Incluir",NOT(ISNUMBER(E249)),B249="",B249&gt;'AJUSTES'!$B$4,S249&gt;0),"",MAX(0,ROUND(E249-G249,2)))))</x:f>
      </x:c>
      <x:c r="I249" s="22" t="str">
        <x:f>IF(C249="","",IF(P249="Anulada","Anulada",IF(B249&gt;'AJUSTES'!$B$4,"Posterior al corte",IF(NOT(ISNUMBER(H249)),"Por conciliar",IF(H249&lt;='AJUSTES'!$B$10,"Pagado",IF(J249&gt;0,"Moroso","Vigente"))))))</x:f>
      </x:c>
      <x:c r="J249" s="22" t="str">
        <x:f>IF(OR(C249="",NOT(ISNUMBER(H249)),NOT(ISNUMBER(N249))),"",IF(H249&gt;'AJUSTES'!$B$10,MAX(0,'AJUSTES'!$B$4-N249),0))</x:f>
      </x:c>
      <x:c r="K249" s="27" t="str"/>
      <x:c r="L249" s="26" t="str"/>
      <x:c r="M249" s="26" t="str">
        <x:f>IF(C249="","",'AJUSTES'!$B$5)</x:f>
      </x:c>
      <x:c r="N249" s="29" t="str">
        <x:f>IF(OR(NOT(ISNUMBER(B249)),NOT(ISNUMBER(M249))),"",B249+M249)</x:f>
      </x:c>
      <x:c r="O249" s="25" t="str"/>
      <x:c r="P249" s="26" t="str">
        <x:v>Incluir</x:v>
      </x:c>
      <x:c r="Q249" s="22" t="str"/>
      <x:c r="R249" s="22" t="str"/>
      <x:c r="S249" s="22" t="str">
        <x:f>IF(C249="","",COUNTIFS('PAGOS'!$C$5:$C$504,A249,'PAGOS'!$B$5:$B$504,"&gt;0",'PAGOS'!$B$5:$B$504,"&lt;="&amp;'AJUSTES'!$B$4,'PAGOS'!$N$5:$N$504,"Incluir",'PAGOS'!$Q$5:$Q$504,"&lt;&gt;Aplicar"))</x:f>
      </x:c>
      <x:c r="T249" s="28" t="str">
        <x:f>IF(AND(C249&lt;&gt;"",ISNUMBER(O249),O249&lt;='AJUSTES'!$B$4,ISNUMBER(E249)),ROUND(E249-G249,2),"")</x:f>
      </x:c>
    </x:row>
    <x:row r="250" ht="25" customHeight="1">
      <x:c r="A250" s="22" t="str">
        <x:v>V-246</x:v>
      </x:c>
      <x:c r="B250" s="25" t="str"/>
      <x:c r="C250" s="26" t="str"/>
      <x:c r="D250" s="26" t="str"/>
      <x:c r="E250" s="27" t="str"/>
      <x:c r="F250" s="26" t="str"/>
      <x:c r="G250" s="28" t="str">
        <x:f>IF(C250="","",SUMIFS('PAGOS'!$K$5:$K$504,'PAGOS'!$C$5:$C$504,A250,'PAGOS'!$Q$5:$Q$504,"Aplicar",'PAGOS'!$B$5:$B$504,"&lt;="&amp;'AJUSTES'!$B$4))</x:f>
      </x:c>
      <x:c r="H250" s="28" t="str">
        <x:f>IF(C250="","",IF(AND(ISNUMBER(O250),O250&lt;='AJUSTES'!$B$4),0,IF(OR(P250&lt;&gt;"Incluir",NOT(ISNUMBER(E250)),B250="",B250&gt;'AJUSTES'!$B$4,S250&gt;0),"",MAX(0,ROUND(E250-G250,2)))))</x:f>
      </x:c>
      <x:c r="I250" s="22" t="str">
        <x:f>IF(C250="","",IF(P250="Anulada","Anulada",IF(B250&gt;'AJUSTES'!$B$4,"Posterior al corte",IF(NOT(ISNUMBER(H250)),"Por conciliar",IF(H250&lt;='AJUSTES'!$B$10,"Pagado",IF(J250&gt;0,"Moroso","Vigente"))))))</x:f>
      </x:c>
      <x:c r="J250" s="22" t="str">
        <x:f>IF(OR(C250="",NOT(ISNUMBER(H250)),NOT(ISNUMBER(N250))),"",IF(H250&gt;'AJUSTES'!$B$10,MAX(0,'AJUSTES'!$B$4-N250),0))</x:f>
      </x:c>
      <x:c r="K250" s="27" t="str"/>
      <x:c r="L250" s="26" t="str"/>
      <x:c r="M250" s="26" t="str">
        <x:f>IF(C250="","",'AJUSTES'!$B$5)</x:f>
      </x:c>
      <x:c r="N250" s="29" t="str">
        <x:f>IF(OR(NOT(ISNUMBER(B250)),NOT(ISNUMBER(M250))),"",B250+M250)</x:f>
      </x:c>
      <x:c r="O250" s="25" t="str"/>
      <x:c r="P250" s="26" t="str">
        <x:v>Incluir</x:v>
      </x:c>
      <x:c r="Q250" s="22" t="str"/>
      <x:c r="R250" s="22" t="str"/>
      <x:c r="S250" s="22" t="str">
        <x:f>IF(C250="","",COUNTIFS('PAGOS'!$C$5:$C$504,A250,'PAGOS'!$B$5:$B$504,"&gt;0",'PAGOS'!$B$5:$B$504,"&lt;="&amp;'AJUSTES'!$B$4,'PAGOS'!$N$5:$N$504,"Incluir",'PAGOS'!$Q$5:$Q$504,"&lt;&gt;Aplicar"))</x:f>
      </x:c>
      <x:c r="T250" s="28" t="str">
        <x:f>IF(AND(C250&lt;&gt;"",ISNUMBER(O250),O250&lt;='AJUSTES'!$B$4,ISNUMBER(E250)),ROUND(E250-G250,2),"")</x:f>
      </x:c>
    </x:row>
    <x:row r="251" ht="25" customHeight="1">
      <x:c r="A251" s="22" t="str">
        <x:v>V-247</x:v>
      </x:c>
      <x:c r="B251" s="25" t="str"/>
      <x:c r="C251" s="26" t="str"/>
      <x:c r="D251" s="26" t="str"/>
      <x:c r="E251" s="27" t="str"/>
      <x:c r="F251" s="26" t="str"/>
      <x:c r="G251" s="28" t="str">
        <x:f>IF(C251="","",SUMIFS('PAGOS'!$K$5:$K$504,'PAGOS'!$C$5:$C$504,A251,'PAGOS'!$Q$5:$Q$504,"Aplicar",'PAGOS'!$B$5:$B$504,"&lt;="&amp;'AJUSTES'!$B$4))</x:f>
      </x:c>
      <x:c r="H251" s="28" t="str">
        <x:f>IF(C251="","",IF(AND(ISNUMBER(O251),O251&lt;='AJUSTES'!$B$4),0,IF(OR(P251&lt;&gt;"Incluir",NOT(ISNUMBER(E251)),B251="",B251&gt;'AJUSTES'!$B$4,S251&gt;0),"",MAX(0,ROUND(E251-G251,2)))))</x:f>
      </x:c>
      <x:c r="I251" s="22" t="str">
        <x:f>IF(C251="","",IF(P251="Anulada","Anulada",IF(B251&gt;'AJUSTES'!$B$4,"Posterior al corte",IF(NOT(ISNUMBER(H251)),"Por conciliar",IF(H251&lt;='AJUSTES'!$B$10,"Pagado",IF(J251&gt;0,"Moroso","Vigente"))))))</x:f>
      </x:c>
      <x:c r="J251" s="22" t="str">
        <x:f>IF(OR(C251="",NOT(ISNUMBER(H251)),NOT(ISNUMBER(N251))),"",IF(H251&gt;'AJUSTES'!$B$10,MAX(0,'AJUSTES'!$B$4-N251),0))</x:f>
      </x:c>
      <x:c r="K251" s="27" t="str"/>
      <x:c r="L251" s="26" t="str"/>
      <x:c r="M251" s="26" t="str">
        <x:f>IF(C251="","",'AJUSTES'!$B$5)</x:f>
      </x:c>
      <x:c r="N251" s="29" t="str">
        <x:f>IF(OR(NOT(ISNUMBER(B251)),NOT(ISNUMBER(M251))),"",B251+M251)</x:f>
      </x:c>
      <x:c r="O251" s="25" t="str"/>
      <x:c r="P251" s="26" t="str">
        <x:v>Incluir</x:v>
      </x:c>
      <x:c r="Q251" s="22" t="str"/>
      <x:c r="R251" s="22" t="str"/>
      <x:c r="S251" s="22" t="str">
        <x:f>IF(C251="","",COUNTIFS('PAGOS'!$C$5:$C$504,A251,'PAGOS'!$B$5:$B$504,"&gt;0",'PAGOS'!$B$5:$B$504,"&lt;="&amp;'AJUSTES'!$B$4,'PAGOS'!$N$5:$N$504,"Incluir",'PAGOS'!$Q$5:$Q$504,"&lt;&gt;Aplicar"))</x:f>
      </x:c>
      <x:c r="T251" s="28" t="str">
        <x:f>IF(AND(C251&lt;&gt;"",ISNUMBER(O251),O251&lt;='AJUSTES'!$B$4,ISNUMBER(E251)),ROUND(E251-G251,2),"")</x:f>
      </x:c>
    </x:row>
    <x:row r="252" ht="25" customHeight="1">
      <x:c r="A252" s="22" t="str">
        <x:v>V-248</x:v>
      </x:c>
      <x:c r="B252" s="25" t="str"/>
      <x:c r="C252" s="26" t="str"/>
      <x:c r="D252" s="26" t="str"/>
      <x:c r="E252" s="27" t="str"/>
      <x:c r="F252" s="26" t="str"/>
      <x:c r="G252" s="28" t="str">
        <x:f>IF(C252="","",SUMIFS('PAGOS'!$K$5:$K$504,'PAGOS'!$C$5:$C$504,A252,'PAGOS'!$Q$5:$Q$504,"Aplicar",'PAGOS'!$B$5:$B$504,"&lt;="&amp;'AJUSTES'!$B$4))</x:f>
      </x:c>
      <x:c r="H252" s="28" t="str">
        <x:f>IF(C252="","",IF(AND(ISNUMBER(O252),O252&lt;='AJUSTES'!$B$4),0,IF(OR(P252&lt;&gt;"Incluir",NOT(ISNUMBER(E252)),B252="",B252&gt;'AJUSTES'!$B$4,S252&gt;0),"",MAX(0,ROUND(E252-G252,2)))))</x:f>
      </x:c>
      <x:c r="I252" s="22" t="str">
        <x:f>IF(C252="","",IF(P252="Anulada","Anulada",IF(B252&gt;'AJUSTES'!$B$4,"Posterior al corte",IF(NOT(ISNUMBER(H252)),"Por conciliar",IF(H252&lt;='AJUSTES'!$B$10,"Pagado",IF(J252&gt;0,"Moroso","Vigente"))))))</x:f>
      </x:c>
      <x:c r="J252" s="22" t="str">
        <x:f>IF(OR(C252="",NOT(ISNUMBER(H252)),NOT(ISNUMBER(N252))),"",IF(H252&gt;'AJUSTES'!$B$10,MAX(0,'AJUSTES'!$B$4-N252),0))</x:f>
      </x:c>
      <x:c r="K252" s="27" t="str"/>
      <x:c r="L252" s="26" t="str"/>
      <x:c r="M252" s="26" t="str">
        <x:f>IF(C252="","",'AJUSTES'!$B$5)</x:f>
      </x:c>
      <x:c r="N252" s="29" t="str">
        <x:f>IF(OR(NOT(ISNUMBER(B252)),NOT(ISNUMBER(M252))),"",B252+M252)</x:f>
      </x:c>
      <x:c r="O252" s="25" t="str"/>
      <x:c r="P252" s="26" t="str">
        <x:v>Incluir</x:v>
      </x:c>
      <x:c r="Q252" s="22" t="str"/>
      <x:c r="R252" s="22" t="str"/>
      <x:c r="S252" s="22" t="str">
        <x:f>IF(C252="","",COUNTIFS('PAGOS'!$C$5:$C$504,A252,'PAGOS'!$B$5:$B$504,"&gt;0",'PAGOS'!$B$5:$B$504,"&lt;="&amp;'AJUSTES'!$B$4,'PAGOS'!$N$5:$N$504,"Incluir",'PAGOS'!$Q$5:$Q$504,"&lt;&gt;Aplicar"))</x:f>
      </x:c>
      <x:c r="T252" s="28" t="str">
        <x:f>IF(AND(C252&lt;&gt;"",ISNUMBER(O252),O252&lt;='AJUSTES'!$B$4,ISNUMBER(E252)),ROUND(E252-G252,2),"")</x:f>
      </x:c>
    </x:row>
    <x:row r="253" ht="25" customHeight="1">
      <x:c r="A253" s="22" t="str">
        <x:v>V-249</x:v>
      </x:c>
      <x:c r="B253" s="25" t="str"/>
      <x:c r="C253" s="26" t="str"/>
      <x:c r="D253" s="26" t="str"/>
      <x:c r="E253" s="27" t="str"/>
      <x:c r="F253" s="26" t="str"/>
      <x:c r="G253" s="28" t="str">
        <x:f>IF(C253="","",SUMIFS('PAGOS'!$K$5:$K$504,'PAGOS'!$C$5:$C$504,A253,'PAGOS'!$Q$5:$Q$504,"Aplicar",'PAGOS'!$B$5:$B$504,"&lt;="&amp;'AJUSTES'!$B$4))</x:f>
      </x:c>
      <x:c r="H253" s="28" t="str">
        <x:f>IF(C253="","",IF(AND(ISNUMBER(O253),O253&lt;='AJUSTES'!$B$4),0,IF(OR(P253&lt;&gt;"Incluir",NOT(ISNUMBER(E253)),B253="",B253&gt;'AJUSTES'!$B$4,S253&gt;0),"",MAX(0,ROUND(E253-G253,2)))))</x:f>
      </x:c>
      <x:c r="I253" s="22" t="str">
        <x:f>IF(C253="","",IF(P253="Anulada","Anulada",IF(B253&gt;'AJUSTES'!$B$4,"Posterior al corte",IF(NOT(ISNUMBER(H253)),"Por conciliar",IF(H253&lt;='AJUSTES'!$B$10,"Pagado",IF(J253&gt;0,"Moroso","Vigente"))))))</x:f>
      </x:c>
      <x:c r="J253" s="22" t="str">
        <x:f>IF(OR(C253="",NOT(ISNUMBER(H253)),NOT(ISNUMBER(N253))),"",IF(H253&gt;'AJUSTES'!$B$10,MAX(0,'AJUSTES'!$B$4-N253),0))</x:f>
      </x:c>
      <x:c r="K253" s="27" t="str"/>
      <x:c r="L253" s="26" t="str"/>
      <x:c r="M253" s="26" t="str">
        <x:f>IF(C253="","",'AJUSTES'!$B$5)</x:f>
      </x:c>
      <x:c r="N253" s="29" t="str">
        <x:f>IF(OR(NOT(ISNUMBER(B253)),NOT(ISNUMBER(M253))),"",B253+M253)</x:f>
      </x:c>
      <x:c r="O253" s="25" t="str"/>
      <x:c r="P253" s="26" t="str">
        <x:v>Incluir</x:v>
      </x:c>
      <x:c r="Q253" s="22" t="str"/>
      <x:c r="R253" s="22" t="str"/>
      <x:c r="S253" s="22" t="str">
        <x:f>IF(C253="","",COUNTIFS('PAGOS'!$C$5:$C$504,A253,'PAGOS'!$B$5:$B$504,"&gt;0",'PAGOS'!$B$5:$B$504,"&lt;="&amp;'AJUSTES'!$B$4,'PAGOS'!$N$5:$N$504,"Incluir",'PAGOS'!$Q$5:$Q$504,"&lt;&gt;Aplicar"))</x:f>
      </x:c>
      <x:c r="T253" s="28" t="str">
        <x:f>IF(AND(C253&lt;&gt;"",ISNUMBER(O253),O253&lt;='AJUSTES'!$B$4,ISNUMBER(E253)),ROUND(E253-G253,2),"")</x:f>
      </x:c>
    </x:row>
    <x:row r="254" ht="25" customHeight="1">
      <x:c r="A254" s="22" t="str">
        <x:v>V-250</x:v>
      </x:c>
      <x:c r="B254" s="25" t="str"/>
      <x:c r="C254" s="26" t="str"/>
      <x:c r="D254" s="26" t="str"/>
      <x:c r="E254" s="27" t="str"/>
      <x:c r="F254" s="26" t="str"/>
      <x:c r="G254" s="28" t="str">
        <x:f>IF(C254="","",SUMIFS('PAGOS'!$K$5:$K$504,'PAGOS'!$C$5:$C$504,A254,'PAGOS'!$Q$5:$Q$504,"Aplicar",'PAGOS'!$B$5:$B$504,"&lt;="&amp;'AJUSTES'!$B$4))</x:f>
      </x:c>
      <x:c r="H254" s="28" t="str">
        <x:f>IF(C254="","",IF(AND(ISNUMBER(O254),O254&lt;='AJUSTES'!$B$4),0,IF(OR(P254&lt;&gt;"Incluir",NOT(ISNUMBER(E254)),B254="",B254&gt;'AJUSTES'!$B$4,S254&gt;0),"",MAX(0,ROUND(E254-G254,2)))))</x:f>
      </x:c>
      <x:c r="I254" s="22" t="str">
        <x:f>IF(C254="","",IF(P254="Anulada","Anulada",IF(B254&gt;'AJUSTES'!$B$4,"Posterior al corte",IF(NOT(ISNUMBER(H254)),"Por conciliar",IF(H254&lt;='AJUSTES'!$B$10,"Pagado",IF(J254&gt;0,"Moroso","Vigente"))))))</x:f>
      </x:c>
      <x:c r="J254" s="22" t="str">
        <x:f>IF(OR(C254="",NOT(ISNUMBER(H254)),NOT(ISNUMBER(N254))),"",IF(H254&gt;'AJUSTES'!$B$10,MAX(0,'AJUSTES'!$B$4-N254),0))</x:f>
      </x:c>
      <x:c r="K254" s="27" t="str"/>
      <x:c r="L254" s="26" t="str"/>
      <x:c r="M254" s="26" t="str">
        <x:f>IF(C254="","",'AJUSTES'!$B$5)</x:f>
      </x:c>
      <x:c r="N254" s="29" t="str">
        <x:f>IF(OR(NOT(ISNUMBER(B254)),NOT(ISNUMBER(M254))),"",B254+M254)</x:f>
      </x:c>
      <x:c r="O254" s="25" t="str"/>
      <x:c r="P254" s="26" t="str">
        <x:v>Incluir</x:v>
      </x:c>
      <x:c r="Q254" s="22" t="str"/>
      <x:c r="R254" s="22" t="str"/>
      <x:c r="S254" s="22" t="str">
        <x:f>IF(C254="","",COUNTIFS('PAGOS'!$C$5:$C$504,A254,'PAGOS'!$B$5:$B$504,"&gt;0",'PAGOS'!$B$5:$B$504,"&lt;="&amp;'AJUSTES'!$B$4,'PAGOS'!$N$5:$N$504,"Incluir",'PAGOS'!$Q$5:$Q$504,"&lt;&gt;Aplicar"))</x:f>
      </x:c>
      <x:c r="T254" s="28" t="str">
        <x:f>IF(AND(C254&lt;&gt;"",ISNUMBER(O254),O254&lt;='AJUSTES'!$B$4,ISNUMBER(E254)),ROUND(E254-G254,2),"")</x:f>
      </x:c>
    </x:row>
  </x:sheetData>
  <x:conditionalFormatting sqref="I5:I254">
    <x:cfRule type="containsText" dxfId="1" priority="1" operator="containsText" text="Moroso"/>
    <x:cfRule type="containsText" dxfId="2" priority="2" operator="containsText" text="Por conciliar"/>
    <x:cfRule type="containsText" dxfId="3" priority="3" operator="containsText" text="Pagado"/>
    <x:cfRule type="containsText" dxfId="4" priority="4" operator="containsText" text="Revisar"/>
    <x:cfRule type="containsText" dxfId="5" priority="5" operator="containsText" text="Falta"/>
    <x:cfRule type="containsText" dxfId="6" priority="6" operator="containsText" text="duplicad"/>
  </x:conditionalFormatting>
  <x:dataValidations count="4">
    <x:dataValidation type="list" sqref="F5:F254">
      <x:formula1>"BCV,USDT,Divisa,Sin confirmar"</x:formula1>
    </x:dataValidation>
    <x:dataValidation type="list" sqref="P5:P254">
      <x:formula1>"Incluir,Revisar,Anulada"</x:formula1>
    </x:dataValidation>
    <x:dataValidation type="list" sqref="L5:L254">
      <x:formula1>"Gregory,Gregor,Hidelberg"</x:formula1>
    </x:dataValidation>
    <x:dataValidation type="list" sqref="C5:C254">
      <x:formula1>INDIRECT("'CLIENTES'!$A$5:$A$154")</x:formula1>
    </x:dataValidation>
  </x:dataValidations>
  <x:pageMargins left="0.7" right="0.7" top="0.75" bottom="0.75" header="0.3" footer="0.3"/>
  <x:tableParts count="1">
    <x:tablePart xmlns:r="http://schemas.openxmlformats.org/officeDocument/2006/relationships" r:id="R8571e637cfe14ddd"/>
  </x:tableParts>
</x:worksheet>
</file>

<file path=xl/worksheets/sheet3.xml><?xml version="1.0" encoding="utf-8"?>
<x:worksheet xmlns:x="http://schemas.openxmlformats.org/spreadsheetml/2006/main">
  <x:sheetPr>
    <x:tabColor rgb="FF527F96"/>
  </x:sheetPr>
  <x:sheetViews>
    <x:sheetView showGridLines="0" workbookViewId="0">
      <x:pane xSplit="3" ySplit="4" topLeftCell="D5" activePane="bottomRight" state="frozen"/>
    </x:sheetView>
  </x:sheetViews>
  <x:sheetFormatPr defaultRowHeight="15"/>
  <x:cols>
    <x:col min="1" max="1" width="13" hidden="0" customWidth="1"/>
    <x:col min="2" max="2" width="15" hidden="0" customWidth="1"/>
    <x:col min="3" max="3" width="13" hidden="0" customWidth="1"/>
    <x:col min="4" max="4" width="24" hidden="0" customWidth="1"/>
    <x:col min="5" max="5" width="31" hidden="0" customWidth="1"/>
    <x:col min="6" max="6" width="18" hidden="0" customWidth="1"/>
    <x:col min="7" max="7" width="18" hidden="0" customWidth="1"/>
    <x:col min="8" max="8" width="23" hidden="0" customWidth="1"/>
    <x:col min="9" max="9" width="17" hidden="0" customWidth="1"/>
    <x:col min="10" max="10" width="18" hidden="0" customWidth="1"/>
    <x:col min="11" max="11" width="20" hidden="0" customWidth="1"/>
    <x:col min="12" max="12" width="16" hidden="0" customWidth="1"/>
    <x:col min="13" max="13" width="16" hidden="0" customWidth="1"/>
    <x:col min="14" max="14" width="18" hidden="0" customWidth="1"/>
    <x:col min="15" max="15" width="68" hidden="0" customWidth="1"/>
    <x:col min="16" max="16" width="52" hidden="0" customWidth="1"/>
    <x:col min="17" max="17" width="25" hidden="0" customWidth="1"/>
  </x:cols>
  <x:sheetData>
    <x:row r="1">
      <x:c r="A1" s="22"/>
      <x:c r="B1" s="22"/>
      <x:c r="C1" s="22"/>
      <x:c r="D1" s="22"/>
      <x:c r="E1" s="22"/>
      <x:c r="F1" s="22"/>
      <x:c r="G1" s="22"/>
      <x:c r="H1" s="22"/>
      <x:c r="I1" s="22"/>
      <x:c r="J1" s="22"/>
      <x:c r="K1" s="22"/>
      <x:c r="L1" s="22"/>
      <x:c r="M1" s="22"/>
      <x:c r="N1" s="22"/>
      <x:c r="O1" s="22"/>
      <x:c r="P1" s="22"/>
      <x:c r="Q1" s="22"/>
    </x:row>
    <x:row r="2">
      <x:c r="A2" s="23" t="str">
        <x:v>Pagos e iniciales</x:v>
      </x:c>
      <x:c r="B2" s="22"/>
      <x:c r="C2" s="22"/>
      <x:c r="D2" s="22"/>
      <x:c r="E2" s="22"/>
      <x:c r="F2" s="22"/>
      <x:c r="G2" s="22"/>
      <x:c r="H2" s="22"/>
      <x:c r="I2" s="22"/>
      <x:c r="J2" s="22"/>
      <x:c r="K2" s="22"/>
      <x:c r="L2" s="22"/>
      <x:c r="M2" s="22"/>
      <x:c r="N2" s="22"/>
      <x:c r="O2" s="22"/>
      <x:c r="P2" s="22"/>
      <x:c r="Q2" s="22"/>
    </x:row>
    <x:row r="3">
      <x:c r="A3" s="24" t="str">
        <x:v>Ingrese fecha, ID venta y equivalente acordado. Si solo tiene Bs, cargue la tasa histórica. No repita la inicial.</x:v>
      </x:c>
      <x:c r="B3" s="22"/>
      <x:c r="C3" s="22"/>
      <x:c r="D3" s="22"/>
      <x:c r="E3" s="22"/>
      <x:c r="F3" s="22"/>
      <x:c r="G3" s="22"/>
      <x:c r="H3" s="22"/>
      <x:c r="I3" s="22"/>
      <x:c r="J3" s="22"/>
      <x:c r="K3" s="22"/>
      <x:c r="L3" s="22"/>
      <x:c r="M3" s="22"/>
      <x:c r="N3" s="22"/>
      <x:c r="O3" s="22"/>
      <x:c r="P3" s="22"/>
      <x:c r="Q3" s="22"/>
    </x:row>
    <x:row r="4" ht="34" customHeight="1">
      <x:c r="A4" s="11" t="str">
        <x:v>ID pago</x:v>
      </x:c>
      <x:c r="B4" s="11" t="str">
        <x:v>Fecha cobro</x:v>
      </x:c>
      <x:c r="C4" s="11" t="str">
        <x:v>ID venta</x:v>
      </x:c>
      <x:c r="D4" s="11" t="str">
        <x:v>Cliente</x:v>
      </x:c>
      <x:c r="E4" s="11" t="str">
        <x:v>Producto</x:v>
      </x:c>
      <x:c r="F4" s="11" t="str">
        <x:v>Método</x:v>
      </x:c>
      <x:c r="G4" s="11" t="str">
        <x:v>Recibido Bs</x:v>
      </x:c>
      <x:c r="H4" s="11" t="str">
        <x:v>Equivalente acordado $</x:v>
      </x:c>
      <x:c r="I4" s="11" t="str">
        <x:v>Base</x:v>
      </x:c>
      <x:c r="J4" s="11" t="str">
        <x:v>Tasa Bs / $</x:v>
      </x:c>
      <x:c r="K4" s="11" t="str">
        <x:v>Abono aplicable $</x:v>
      </x:c>
      <x:c r="L4" s="11" t="str">
        <x:v>Referencia</x:v>
      </x:c>
      <x:c r="M4" s="11" t="str">
        <x:v>Concepto</x:v>
      </x:c>
      <x:c r="N4" s="11" t="str">
        <x:v>Tratamiento</x:v>
      </x:c>
      <x:c r="O4" s="11" t="str">
        <x:v>Observaciones</x:v>
      </x:c>
      <x:c r="P4" s="11" t="str">
        <x:v>Origen</x:v>
      </x:c>
      <x:c r="Q4" s="11" t="str">
        <x:v>Control</x:v>
      </x:c>
    </x:row>
    <x:row r="5" ht="25" customHeight="1">
      <x:c r="A5" s="22" t="str">
        <x:v>P-001</x:v>
      </x:c>
      <x:c r="B5" s="25" t="n">
        <x:v>46200</x:v>
      </x:c>
      <x:c r="C5" s="26" t="str">
        <x:v>V-007</x:v>
      </x:c>
      <x:c r="D5" s="22" t="str">
        <x:f>IF(C5="","",IF(COUNTIFS('VENTAS'!$A$5:$A$254,C5,'VENTAS'!$C$5:$C$254,"&lt;&gt;")=1,INDEX('VENTAS'!$C$5:$C$254,MATCH(C5,'VENTAS'!$A$5:$A$254,0)),"ID no encontrado"))</x:f>
        <x:v>Cristhian</x:v>
      </x:c>
      <x:c r="E5" s="22" t="str">
        <x:f>IF(C5="","",IF(COUNTIFS('VENTAS'!$A$5:$A$254,C5,'VENTAS'!$C$5:$C$254,"&lt;&gt;")=1,INDEX('VENTAS'!$D$5:$D$254,MATCH(C5,'VENTAS'!$A$5:$A$254,0)),"ID no encontrado"))</x:f>
        <x:v>Very Good Girl</x:v>
      </x:c>
      <x:c r="F5" s="26" t="str">
        <x:v>Pago móvil</x:v>
      </x:c>
      <x:c r="G5" s="27" t="n">
        <x:v>7466.56</x:v>
      </x:c>
      <x:c r="H5" s="27" t="str"/>
      <x:c r="I5" s="26" t="str">
        <x:v>BCV</x:v>
      </x:c>
      <x:c r="J5" s="30" t="str"/>
      <x:c r="K5" s="28" t="str">
        <x:f>IF(B5="","",IF(ISNUMBER(H5),H5,IF(AND(ISNUMBER(G5),ISNUMBER(J5),J5&gt;0),ROUND(G5/J5,2),"")))</x:f>
      </x:c>
      <x:c r="L5" s="31" t="str">
        <x:v>5863</x:v>
      </x:c>
      <x:c r="M5" s="26" t="str">
        <x:v>Cuota</x:v>
      </x:c>
      <x:c r="N5" s="26" t="str">
        <x:v>Incluir</x:v>
      </x:c>
      <x:c r="O5" s="22" t="str">
        <x:v> Falta equivalente aplicado a la deuda; no se inventa tasa histórica.</x:v>
      </x:c>
      <x:c r="P5" s="22" t="str">
        <x:v>Excel CONTROL!F4</x:v>
      </x:c>
      <x:c r="Q5" s="22" t="str">
        <x:f>IF(B5="","",IF(C5="","Falta ID venta",IF(D5="ID no encontrado","ID venta inválido",IF(COUNTIFS('PAGOS'!$A$5:$A$504,A5,'PAGOS'!$B$5:$B$504,"&gt;0")&gt;1,"ID duplicado",IF(AND(L5&lt;&gt;"",COUNTIFS('PAGOS'!$L$5:$L$504,L5,'PAGOS'!$B$5:$B$504,B5,'PAGOS'!$F$5:$F$504,F5)&gt;1),"Referencia repetida",IF(N5&lt;&gt;"Incluir",N5,IF(NOT(ISNUMBER(K5)),"Falta equivalente","Aplicar")))))))</x:f>
        <x:v>Falta equivalente</x:v>
      </x:c>
    </x:row>
    <x:row r="6" ht="25" customHeight="1">
      <x:c r="A6" s="22" t="str">
        <x:v>P-002</x:v>
      </x:c>
      <x:c r="B6" s="25" t="n">
        <x:v>46207</x:v>
      </x:c>
      <x:c r="C6" s="26" t="str">
        <x:v>V-007</x:v>
      </x:c>
      <x:c r="D6" s="22" t="str">
        <x:f>IF(C6="","",IF(COUNTIFS('VENTAS'!$A$5:$A$254,C6,'VENTAS'!$C$5:$C$254,"&lt;&gt;")=1,INDEX('VENTAS'!$C$5:$C$254,MATCH(C6,'VENTAS'!$A$5:$A$254,0)),"ID no encontrado"))</x:f>
        <x:v>Cristhian</x:v>
      </x:c>
      <x:c r="E6" s="22" t="str">
        <x:f>IF(C6="","",IF(COUNTIFS('VENTAS'!$A$5:$A$254,C6,'VENTAS'!$C$5:$C$254,"&lt;&gt;")=1,INDEX('VENTAS'!$D$5:$D$254,MATCH(C6,'VENTAS'!$A$5:$A$254,0)),"ID no encontrado"))</x:f>
        <x:v>Very Good Girl</x:v>
      </x:c>
      <x:c r="F6" s="26" t="str">
        <x:v>Pago móvil</x:v>
      </x:c>
      <x:c r="G6" s="27" t="n">
        <x:v>7835.67</x:v>
      </x:c>
      <x:c r="H6" s="27" t="str"/>
      <x:c r="I6" s="26" t="str">
        <x:v>BCV</x:v>
      </x:c>
      <x:c r="J6" s="30" t="str"/>
      <x:c r="K6" s="28" t="str">
        <x:f>IF(B6="","",IF(ISNUMBER(H6),H6,IF(AND(ISNUMBER(G6),ISNUMBER(J6),J6&gt;0),ROUND(G6/J6,2),"")))</x:f>
      </x:c>
      <x:c r="L6" s="31" t="str">
        <x:v>9442</x:v>
      </x:c>
      <x:c r="M6" s="26" t="str">
        <x:v>Cuota</x:v>
      </x:c>
      <x:c r="N6" s="26" t="str">
        <x:v>Incluir</x:v>
      </x:c>
      <x:c r="O6" s="22" t="str">
        <x:v> Falta equivalente aplicado a la deuda; no se inventa tasa histórica.</x:v>
      </x:c>
      <x:c r="P6" s="22" t="str">
        <x:v>Excel CONTROL!I4; M-0033</x:v>
      </x:c>
      <x:c r="Q6" s="22" t="str">
        <x:f>IF(B6="","",IF(C6="","Falta ID venta",IF(D6="ID no encontrado","ID venta inválido",IF(COUNTIFS('PAGOS'!$A$5:$A$504,A6,'PAGOS'!$B$5:$B$504,"&gt;0")&gt;1,"ID duplicado",IF(AND(L6&lt;&gt;"",COUNTIFS('PAGOS'!$L$5:$L$504,L6,'PAGOS'!$B$5:$B$504,B6,'PAGOS'!$F$5:$F$504,F6)&gt;1),"Referencia repetida",IF(N6&lt;&gt;"Incluir",N6,IF(NOT(ISNUMBER(K6)),"Falta equivalente","Aplicar")))))))</x:f>
        <x:v>Falta equivalente</x:v>
      </x:c>
    </x:row>
    <x:row r="7" ht="25" customHeight="1">
      <x:c r="A7" s="22" t="str">
        <x:v>P-003</x:v>
      </x:c>
      <x:c r="B7" s="25" t="n">
        <x:v>46200</x:v>
      </x:c>
      <x:c r="C7" s="26" t="str">
        <x:v>V-003</x:v>
      </x:c>
      <x:c r="D7" s="22" t="str">
        <x:f>IF(C7="","",IF(COUNTIFS('VENTAS'!$A$5:$A$254,C7,'VENTAS'!$C$5:$C$254,"&lt;&gt;")=1,INDEX('VENTAS'!$C$5:$C$254,MATCH(C7,'VENTAS'!$A$5:$A$254,0)),"ID no encontrado"))</x:f>
        <x:v>Amarista</x:v>
      </x:c>
      <x:c r="E7" s="22" t="str">
        <x:f>IF(C7="","",IF(COUNTIFS('VENTAS'!$A$5:$A$254,C7,'VENTAS'!$C$5:$C$254,"&lt;&gt;")=1,INDEX('VENTAS'!$D$5:$D$254,MATCH(C7,'VENTAS'!$A$5:$A$254,0)),"ID no encontrado"))</x:f>
        <x:v>Khamrah Qahwa</x:v>
      </x:c>
      <x:c r="F7" s="26" t="str">
        <x:v>Pago móvil</x:v>
      </x:c>
      <x:c r="G7" s="27" t="n">
        <x:v>13066.48</x:v>
      </x:c>
      <x:c r="H7" s="27" t="str"/>
      <x:c r="I7" s="26" t="str">
        <x:v>BCV</x:v>
      </x:c>
      <x:c r="J7" s="30" t="str"/>
      <x:c r="K7" s="28" t="str">
        <x:f>IF(B7="","",IF(ISNUMBER(H7),H7,IF(AND(ISNUMBER(G7),ISNUMBER(J7),J7&gt;0),ROUND(G7/J7,2),"")))</x:f>
      </x:c>
      <x:c r="L7" s="31" t="str">
        <x:v>6585</x:v>
      </x:c>
      <x:c r="M7" s="26" t="str">
        <x:v>Cuota</x:v>
      </x:c>
      <x:c r="N7" s="26" t="str">
        <x:v>Incluir</x:v>
      </x:c>
      <x:c r="O7" s="22" t="str">
        <x:v> Falta equivalente aplicado a la deuda; no se inventa tasa histórica.</x:v>
      </x:c>
      <x:c r="P7" s="22" t="str">
        <x:v>Excel CONTROL!F5</x:v>
      </x:c>
      <x:c r="Q7" s="22" t="str">
        <x:f>IF(B7="","",IF(C7="","Falta ID venta",IF(D7="ID no encontrado","ID venta inválido",IF(COUNTIFS('PAGOS'!$A$5:$A$504,A7,'PAGOS'!$B$5:$B$504,"&gt;0")&gt;1,"ID duplicado",IF(AND(L7&lt;&gt;"",COUNTIFS('PAGOS'!$L$5:$L$504,L7,'PAGOS'!$B$5:$B$504,B7,'PAGOS'!$F$5:$F$504,F7)&gt;1),"Referencia repetida",IF(N7&lt;&gt;"Incluir",N7,IF(NOT(ISNUMBER(K7)),"Falta equivalente","Aplicar")))))))</x:f>
        <x:v>Falta equivalente</x:v>
      </x:c>
    </x:row>
    <x:row r="8" ht="25" customHeight="1">
      <x:c r="A8" s="22" t="str">
        <x:v>P-004</x:v>
      </x:c>
      <x:c r="B8" s="25" t="n">
        <x:v>46214</x:v>
      </x:c>
      <x:c r="C8" s="26" t="str">
        <x:v>V-003</x:v>
      </x:c>
      <x:c r="D8" s="22" t="str">
        <x:f>IF(C8="","",IF(COUNTIFS('VENTAS'!$A$5:$A$254,C8,'VENTAS'!$C$5:$C$254,"&lt;&gt;")=1,INDEX('VENTAS'!$C$5:$C$254,MATCH(C8,'VENTAS'!$A$5:$A$254,0)),"ID no encontrado"))</x:f>
        <x:v>Amarista</x:v>
      </x:c>
      <x:c r="E8" s="22" t="str">
        <x:f>IF(C8="","",IF(COUNTIFS('VENTAS'!$A$5:$A$254,C8,'VENTAS'!$C$5:$C$254,"&lt;&gt;")=1,INDEX('VENTAS'!$D$5:$D$254,MATCH(C8,'VENTAS'!$A$5:$A$254,0)),"ID no encontrado"))</x:f>
        <x:v>Khamrah Qahwa</x:v>
      </x:c>
      <x:c r="F8" s="26" t="str">
        <x:v>Pago móvil</x:v>
      </x:c>
      <x:c r="G8" s="27" t="n">
        <x:v>14903.56</x:v>
      </x:c>
      <x:c r="H8" s="27" t="n">
        <x:v>21</x:v>
      </x:c>
      <x:c r="I8" s="26" t="str">
        <x:v>BCV</x:v>
      </x:c>
      <x:c r="J8" s="30" t="n">
        <x:v>709.693333</x:v>
      </x:c>
      <x:c r="K8" s="28" t="n">
        <x:f>IF(B8="","",IF(ISNUMBER(H8),H8,IF(AND(ISNUMBER(G8),ISNUMBER(J8),J8&gt;0),ROUND(G8/J8,2),"")))</x:f>
        <x:v>21</x:v>
      </x:c>
      <x:c r="L8" s="31" t="str">
        <x:v>5675</x:v>
      </x:c>
      <x:c r="M8" s="26" t="str">
        <x:v>Cuota</x:v>
      </x:c>
      <x:c r="N8" s="26" t="str">
        <x:v>Incluir</x:v>
      </x:c>
      <x:c r="O8" s="22" t="str"/>
      <x:c r="P8" s="22" t="str">
        <x:v>Excel CONTROL!I5; M-0054; M-0052</x:v>
      </x:c>
      <x:c r="Q8" s="22" t="str">
        <x:f>IF(B8="","",IF(C8="","Falta ID venta",IF(D8="ID no encontrado","ID venta inválido",IF(COUNTIFS('PAGOS'!$A$5:$A$504,A8,'PAGOS'!$B$5:$B$504,"&gt;0")&gt;1,"ID duplicado",IF(AND(L8&lt;&gt;"",COUNTIFS('PAGOS'!$L$5:$L$504,L8,'PAGOS'!$B$5:$B$504,B8,'PAGOS'!$F$5:$F$504,F8)&gt;1),"Referencia repetida",IF(N8&lt;&gt;"Incluir",N8,IF(NOT(ISNUMBER(K8)),"Falta equivalente","Aplicar")))))))</x:f>
        <x:v>Aplicar</x:v>
      </x:c>
    </x:row>
    <x:row r="9" ht="25" customHeight="1">
      <x:c r="A9" s="22" t="str">
        <x:v>P-005</x:v>
      </x:c>
      <x:c r="B9" s="25" t="n">
        <x:v>46201</x:v>
      </x:c>
      <x:c r="C9" s="26" t="str">
        <x:v>V-002</x:v>
      </x:c>
      <x:c r="D9" s="22" t="str">
        <x:f>IF(C9="","",IF(COUNTIFS('VENTAS'!$A$5:$A$254,C9,'VENTAS'!$C$5:$C$254,"&lt;&gt;")=1,INDEX('VENTAS'!$C$5:$C$254,MATCH(C9,'VENTAS'!$A$5:$A$254,0)),"ID no encontrado"))</x:f>
        <x:v>Ángel</x:v>
      </x:c>
      <x:c r="E9" s="22" t="str">
        <x:f>IF(C9="","",IF(COUNTIFS('VENTAS'!$A$5:$A$254,C9,'VENTAS'!$C$5:$C$254,"&lt;&gt;")=1,INDEX('VENTAS'!$D$5:$D$254,MATCH(C9,'VENTAS'!$A$5:$A$254,0)),"ID no encontrado"))</x:f>
        <x:v>Bharara King</x:v>
      </x:c>
      <x:c r="F9" s="26" t="str">
        <x:v>Pago móvil</x:v>
      </x:c>
      <x:c r="G9" s="27" t="n">
        <x:v>13066.48</x:v>
      </x:c>
      <x:c r="H9" s="27" t="str"/>
      <x:c r="I9" s="26" t="str">
        <x:v>BCV</x:v>
      </x:c>
      <x:c r="J9" s="30" t="str"/>
      <x:c r="K9" s="28" t="str">
        <x:f>IF(B9="","",IF(ISNUMBER(H9),H9,IF(AND(ISNUMBER(G9),ISNUMBER(J9),J9&gt;0),ROUND(G9/J9,2),"")))</x:f>
      </x:c>
      <x:c r="L9" s="31" t="str">
        <x:v>5135</x:v>
      </x:c>
      <x:c r="M9" s="26" t="str">
        <x:v>Cuota</x:v>
      </x:c>
      <x:c r="N9" s="26" t="str">
        <x:v>Incluir</x:v>
      </x:c>
      <x:c r="O9" s="22" t="str">
        <x:v> Falta equivalente aplicado a la deuda; no se inventa tasa histórica.</x:v>
      </x:c>
      <x:c r="P9" s="22" t="str">
        <x:v>Excel CONTROL!F6</x:v>
      </x:c>
      <x:c r="Q9" s="22" t="str">
        <x:f>IF(B9="","",IF(C9="","Falta ID venta",IF(D9="ID no encontrado","ID venta inválido",IF(COUNTIFS('PAGOS'!$A$5:$A$504,A9,'PAGOS'!$B$5:$B$504,"&gt;0")&gt;1,"ID duplicado",IF(AND(L9&lt;&gt;"",COUNTIFS('PAGOS'!$L$5:$L$504,L9,'PAGOS'!$B$5:$B$504,B9,'PAGOS'!$F$5:$F$504,F9)&gt;1),"Referencia repetida",IF(N9&lt;&gt;"Incluir",N9,IF(NOT(ISNUMBER(K9)),"Falta equivalente","Aplicar")))))))</x:f>
        <x:v>Falta equivalente</x:v>
      </x:c>
    </x:row>
    <x:row r="10" ht="25" customHeight="1">
      <x:c r="A10" s="22" t="str">
        <x:v>P-006</x:v>
      </x:c>
      <x:c r="B10" s="25" t="n">
        <x:v>46235</x:v>
      </x:c>
      <x:c r="C10" s="26" t="str">
        <x:v>V-002</x:v>
      </x:c>
      <x:c r="D10" s="22" t="str">
        <x:f>IF(C10="","",IF(COUNTIFS('VENTAS'!$A$5:$A$254,C10,'VENTAS'!$C$5:$C$254,"&lt;&gt;")=1,INDEX('VENTAS'!$C$5:$C$254,MATCH(C10,'VENTAS'!$A$5:$A$254,0)),"ID no encontrado"))</x:f>
        <x:v>Ángel</x:v>
      </x:c>
      <x:c r="E10" s="22" t="str">
        <x:f>IF(C10="","",IF(COUNTIFS('VENTAS'!$A$5:$A$254,C10,'VENTAS'!$C$5:$C$254,"&lt;&gt;")=1,INDEX('VENTAS'!$D$5:$D$254,MATCH(C10,'VENTAS'!$A$5:$A$254,0)),"ID no encontrado"))</x:f>
        <x:v>Bharara King</x:v>
      </x:c>
      <x:c r="F10" s="26" t="str">
        <x:v>Pago móvil</x:v>
      </x:c>
      <x:c r="G10" s="27" t="n">
        <x:v>15679.22</x:v>
      </x:c>
      <x:c r="H10" s="27" t="n">
        <x:v>21</x:v>
      </x:c>
      <x:c r="I10" s="26" t="str">
        <x:v>BCV</x:v>
      </x:c>
      <x:c r="J10" s="30" t="n">
        <x:v>746.629524</x:v>
      </x:c>
      <x:c r="K10" s="28" t="n">
        <x:f>IF(B10="","",IF(ISNUMBER(H10),H10,IF(AND(ISNUMBER(G10),ISNUMBER(J10),J10&gt;0),ROUND(G10/J10,2),"")))</x:f>
        <x:v>21</x:v>
      </x:c>
      <x:c r="L10" s="31" t="str">
        <x:v>7366</x:v>
      </x:c>
      <x:c r="M10" s="26" t="str">
        <x:v>Cuota</x:v>
      </x:c>
      <x:c r="N10" s="26" t="str">
        <x:v>Incluir</x:v>
      </x:c>
      <x:c r="O10" s="22" t="str"/>
      <x:c r="P10" s="22" t="str">
        <x:v>Excel CONTROL!I6; M-0130; M-0127</x:v>
      </x:c>
      <x:c r="Q10" s="22" t="str">
        <x:f>IF(B10="","",IF(C10="","Falta ID venta",IF(D10="ID no encontrado","ID venta inválido",IF(COUNTIFS('PAGOS'!$A$5:$A$504,A10,'PAGOS'!$B$5:$B$504,"&gt;0")&gt;1,"ID duplicado",IF(AND(L10&lt;&gt;"",COUNTIFS('PAGOS'!$L$5:$L$504,L10,'PAGOS'!$B$5:$B$504,B10,'PAGOS'!$F$5:$F$504,F10)&gt;1),"Referencia repetida",IF(N10&lt;&gt;"Incluir",N10,IF(NOT(ISNUMBER(K10)),"Falta equivalente","Aplicar")))))))</x:f>
        <x:v>Aplicar</x:v>
      </x:c>
    </x:row>
    <x:row r="11" ht="25" customHeight="1">
      <x:c r="A11" s="22" t="str">
        <x:v>P-007</x:v>
      </x:c>
      <x:c r="B11" s="25" t="n">
        <x:v>46202</x:v>
      </x:c>
      <x:c r="C11" s="26" t="str">
        <x:v>V-004</x:v>
      </x:c>
      <x:c r="D11" s="22" t="str">
        <x:f>IF(C11="","",IF(COUNTIFS('VENTAS'!$A$5:$A$254,C11,'VENTAS'!$C$5:$C$254,"&lt;&gt;")=1,INDEX('VENTAS'!$C$5:$C$254,MATCH(C11,'VENTAS'!$A$5:$A$254,0)),"ID no encontrado"))</x:f>
        <x:v>Ricardo</x:v>
      </x:c>
      <x:c r="E11" s="22" t="str">
        <x:f>IF(C11="","",IF(COUNTIFS('VENTAS'!$A$5:$A$254,C11,'VENTAS'!$C$5:$C$254,"&lt;&gt;")=1,INDEX('VENTAS'!$D$5:$D$254,MATCH(C11,'VENTAS'!$A$5:$A$254,0)),"ID no encontrado"))</x:f>
        <x:v>Universe</x:v>
      </x:c>
      <x:c r="F11" s="26" t="str">
        <x:v>Pago móvil</x:v>
      </x:c>
      <x:c r="G11" s="27" t="n">
        <x:v>11823</x:v>
      </x:c>
      <x:c r="H11" s="27" t="n">
        <x:v>19</x:v>
      </x:c>
      <x:c r="I11" s="26" t="str">
        <x:v>BCV</x:v>
      </x:c>
      <x:c r="J11" s="30" t="n">
        <x:v>622.263158</x:v>
      </x:c>
      <x:c r="K11" s="28" t="n">
        <x:f>IF(B11="","",IF(ISNUMBER(H11),H11,IF(AND(ISNUMBER(G11),ISNUMBER(J11),J11&gt;0),ROUND(G11/J11,2),"")))</x:f>
        <x:v>19</x:v>
      </x:c>
      <x:c r="L11" s="31" t="str">
        <x:v>9373</x:v>
      </x:c>
      <x:c r="M11" s="26" t="str">
        <x:v>Cuota</x:v>
      </x:c>
      <x:c r="N11" s="26" t="str">
        <x:v>Incluir</x:v>
      </x:c>
      <x:c r="O11" s="22" t="str"/>
      <x:c r="P11" s="22" t="str">
        <x:v>Excel CONTROL!F7; M-0035</x:v>
      </x:c>
      <x:c r="Q11" s="22" t="str">
        <x:f>IF(B11="","",IF(C11="","Falta ID venta",IF(D11="ID no encontrado","ID venta inválido",IF(COUNTIFS('PAGOS'!$A$5:$A$504,A11,'PAGOS'!$B$5:$B$504,"&gt;0")&gt;1,"ID duplicado",IF(AND(L11&lt;&gt;"",COUNTIFS('PAGOS'!$L$5:$L$504,L11,'PAGOS'!$B$5:$B$504,B11,'PAGOS'!$F$5:$F$504,F11)&gt;1),"Referencia repetida",IF(N11&lt;&gt;"Incluir",N11,IF(NOT(ISNUMBER(K11)),"Falta equivalente","Aplicar")))))))</x:f>
        <x:v>Aplicar</x:v>
      </x:c>
    </x:row>
    <x:row r="12" ht="25" customHeight="1">
      <x:c r="A12" s="22" t="str">
        <x:v>P-008</x:v>
      </x:c>
      <x:c r="B12" s="25" t="n">
        <x:v>46219</x:v>
      </x:c>
      <x:c r="C12" s="26" t="str">
        <x:v>V-004</x:v>
      </x:c>
      <x:c r="D12" s="22" t="str">
        <x:f>IF(C12="","",IF(COUNTIFS('VENTAS'!$A$5:$A$254,C12,'VENTAS'!$C$5:$C$254,"&lt;&gt;")=1,INDEX('VENTAS'!$C$5:$C$254,MATCH(C12,'VENTAS'!$A$5:$A$254,0)),"ID no encontrado"))</x:f>
        <x:v>Ricardo</x:v>
      </x:c>
      <x:c r="E12" s="22" t="str">
        <x:f>IF(C12="","",IF(COUNTIFS('VENTAS'!$A$5:$A$254,C12,'VENTAS'!$C$5:$C$254,"&lt;&gt;")=1,INDEX('VENTAS'!$D$5:$D$254,MATCH(C12,'VENTAS'!$A$5:$A$254,0)),"ID no encontrado"))</x:f>
        <x:v>Universe</x:v>
      </x:c>
      <x:c r="F12" s="26" t="str">
        <x:v>Pago móvil</x:v>
      </x:c>
      <x:c r="G12" s="27" t="n">
        <x:v>8730</x:v>
      </x:c>
      <x:c r="H12" s="27" t="n">
        <x:v>12</x:v>
      </x:c>
      <x:c r="I12" s="26" t="str">
        <x:v>BCV</x:v>
      </x:c>
      <x:c r="J12" s="30" t="n">
        <x:v>727.5</x:v>
      </x:c>
      <x:c r="K12" s="28" t="n">
        <x:f>IF(B12="","",IF(ISNUMBER(H12),H12,IF(AND(ISNUMBER(G12),ISNUMBER(J12),J12&gt;0),ROUND(G12/J12,2),"")))</x:f>
        <x:v>12</x:v>
      </x:c>
      <x:c r="L12" s="31" t="str">
        <x:v>1008</x:v>
      </x:c>
      <x:c r="M12" s="26" t="str">
        <x:v>Cuota</x:v>
      </x:c>
      <x:c r="N12" s="26" t="str">
        <x:v>Incluir</x:v>
      </x:c>
      <x:c r="O12" s="22" t="str"/>
      <x:c r="P12" s="22" t="str">
        <x:v>Excel CONTROL!I7; M-0078; M-0073</x:v>
      </x:c>
      <x:c r="Q12" s="22" t="str">
        <x:f>IF(B12="","",IF(C12="","Falta ID venta",IF(D12="ID no encontrado","ID venta inválido",IF(COUNTIFS('PAGOS'!$A$5:$A$504,A12,'PAGOS'!$B$5:$B$504,"&gt;0")&gt;1,"ID duplicado",IF(AND(L12&lt;&gt;"",COUNTIFS('PAGOS'!$L$5:$L$504,L12,'PAGOS'!$B$5:$B$504,B12,'PAGOS'!$F$5:$F$504,F12)&gt;1),"Referencia repetida",IF(N12&lt;&gt;"Incluir",N12,IF(NOT(ISNUMBER(K12)),"Falta equivalente","Aplicar")))))))</x:f>
        <x:v>Aplicar</x:v>
      </x:c>
    </x:row>
    <x:row r="13" ht="25" customHeight="1">
      <x:c r="A13" s="22" t="str">
        <x:v>P-009</x:v>
      </x:c>
      <x:c r="B13" s="25" t="n">
        <x:v>46239</x:v>
      </x:c>
      <x:c r="C13" s="26" t="str">
        <x:v>V-004</x:v>
      </x:c>
      <x:c r="D13" s="22" t="str">
        <x:f>IF(C13="","",IF(COUNTIFS('VENTAS'!$A$5:$A$254,C13,'VENTAS'!$C$5:$C$254,"&lt;&gt;")=1,INDEX('VENTAS'!$C$5:$C$254,MATCH(C13,'VENTAS'!$A$5:$A$254,0)),"ID no encontrado"))</x:f>
        <x:v>Ricardo</x:v>
      </x:c>
      <x:c r="E13" s="22" t="str">
        <x:f>IF(C13="","",IF(COUNTIFS('VENTAS'!$A$5:$A$254,C13,'VENTAS'!$C$5:$C$254,"&lt;&gt;")=1,INDEX('VENTAS'!$D$5:$D$254,MATCH(C13,'VENTAS'!$A$5:$A$254,0)),"ID no encontrado"))</x:f>
        <x:v>Universe</x:v>
      </x:c>
      <x:c r="F13" s="26" t="str">
        <x:v>Pago móvil</x:v>
      </x:c>
      <x:c r="G13" s="27" t="n">
        <x:v>8307</x:v>
      </x:c>
      <x:c r="H13" s="27" t="n">
        <x:v>11</x:v>
      </x:c>
      <x:c r="I13" s="26" t="str">
        <x:v>BCV</x:v>
      </x:c>
      <x:c r="J13" s="30" t="n">
        <x:v>755.181818</x:v>
      </x:c>
      <x:c r="K13" s="28" t="n">
        <x:f>IF(B13="","",IF(ISNUMBER(H13),H13,IF(AND(ISNUMBER(G13),ISNUMBER(J13),J13&gt;0),ROUND(G13/J13,2),"")))</x:f>
        <x:v>11</x:v>
      </x:c>
      <x:c r="L13" s="31" t="str">
        <x:v>0542</x:v>
      </x:c>
      <x:c r="M13" s="26" t="str">
        <x:v>Cuota</x:v>
      </x:c>
      <x:c r="N13" s="26" t="str">
        <x:v>Incluir</x:v>
      </x:c>
      <x:c r="O13" s="22" t="str">
        <x:v> Fecha chat 2026-07-16; CONTROL 2026-08-05. Se conserva CONTROL.</x:v>
      </x:c>
      <x:c r="P13" s="22" t="str">
        <x:v>Excel CONTROL!L7; M-0150; M-0157; M-0148</x:v>
      </x:c>
      <x:c r="Q13" s="22" t="str">
        <x:f>IF(B13="","",IF(C13="","Falta ID venta",IF(D13="ID no encontrado","ID venta inválido",IF(COUNTIFS('PAGOS'!$A$5:$A$504,A13,'PAGOS'!$B$5:$B$504,"&gt;0")&gt;1,"ID duplicado",IF(AND(L13&lt;&gt;"",COUNTIFS('PAGOS'!$L$5:$L$504,L13,'PAGOS'!$B$5:$B$504,B13,'PAGOS'!$F$5:$F$504,F13)&gt;1),"Referencia repetida",IF(N13&lt;&gt;"Incluir",N13,IF(NOT(ISNUMBER(K13)),"Falta equivalente","Aplicar")))))))</x:f>
        <x:v>Aplicar</x:v>
      </x:c>
    </x:row>
    <x:row r="14" ht="25" customHeight="1">
      <x:c r="A14" s="22" t="str">
        <x:v>P-010</x:v>
      </x:c>
      <x:c r="B14" s="25" t="n">
        <x:v>46206</x:v>
      </x:c>
      <x:c r="C14" s="26" t="str">
        <x:v>V-009</x:v>
      </x:c>
      <x:c r="D14" s="22" t="str">
        <x:f>IF(C14="","",IF(COUNTIFS('VENTAS'!$A$5:$A$254,C14,'VENTAS'!$C$5:$C$254,"&lt;&gt;")=1,INDEX('VENTAS'!$C$5:$C$254,MATCH(C14,'VENTAS'!$A$5:$A$254,0)),"ID no encontrado"))</x:f>
        <x:v>Norelvis</x:v>
      </x:c>
      <x:c r="E14" s="22" t="str">
        <x:f>IF(C14="","",IF(COUNTIFS('VENTAS'!$A$5:$A$254,C14,'VENTAS'!$C$5:$C$254,"&lt;&gt;")=1,INDEX('VENTAS'!$D$5:$D$254,MATCH(C14,'VENTAS'!$A$5:$A$254,0)),"ID no encontrado"))</x:f>
        <x:v>Cloud</x:v>
      </x:c>
      <x:c r="F14" s="26" t="str">
        <x:v>Pago móvil</x:v>
      </x:c>
      <x:c r="G14" s="27" t="n">
        <x:v>9794.59</x:v>
      </x:c>
      <x:c r="H14" s="27" t="n">
        <x:v>15</x:v>
      </x:c>
      <x:c r="I14" s="26" t="str">
        <x:v>BCV</x:v>
      </x:c>
      <x:c r="J14" s="30" t="n">
        <x:v>652.972667</x:v>
      </x:c>
      <x:c r="K14" s="28" t="n">
        <x:f>IF(B14="","",IF(ISNUMBER(H14),H14,IF(AND(ISNUMBER(G14),ISNUMBER(J14),J14&gt;0),ROUND(G14/J14,2),"")))</x:f>
        <x:v>15</x:v>
      </x:c>
      <x:c r="L14" s="31" t="str">
        <x:v>8447</x:v>
      </x:c>
      <x:c r="M14" s="26" t="str">
        <x:v>Cuota</x:v>
      </x:c>
      <x:c r="N14" s="26" t="str">
        <x:v>Incluir</x:v>
      </x:c>
      <x:c r="O14" s="22" t="str"/>
      <x:c r="P14" s="22" t="str">
        <x:v>Excel CONTROL!F8; M-0017</x:v>
      </x:c>
      <x:c r="Q14" s="22" t="str">
        <x:f>IF(B14="","",IF(C14="","Falta ID venta",IF(D14="ID no encontrado","ID venta inválido",IF(COUNTIFS('PAGOS'!$A$5:$A$504,A14,'PAGOS'!$B$5:$B$504,"&gt;0")&gt;1,"ID duplicado",IF(AND(L14&lt;&gt;"",COUNTIFS('PAGOS'!$L$5:$L$504,L14,'PAGOS'!$B$5:$B$504,B14,'PAGOS'!$F$5:$F$504,F14)&gt;1),"Referencia repetida",IF(N14&lt;&gt;"Incluir",N14,IF(NOT(ISNUMBER(K14)),"Falta equivalente","Aplicar")))))))</x:f>
        <x:v>Aplicar</x:v>
      </x:c>
    </x:row>
    <x:row r="15" ht="25" customHeight="1">
      <x:c r="A15" s="22" t="str">
        <x:v>P-011</x:v>
      </x:c>
      <x:c r="B15" s="25" t="n">
        <x:v>46215</x:v>
      </x:c>
      <x:c r="C15" s="26" t="str">
        <x:v>V-009</x:v>
      </x:c>
      <x:c r="D15" s="22" t="str">
        <x:f>IF(C15="","",IF(COUNTIFS('VENTAS'!$A$5:$A$254,C15,'VENTAS'!$C$5:$C$254,"&lt;&gt;")=1,INDEX('VENTAS'!$C$5:$C$254,MATCH(C15,'VENTAS'!$A$5:$A$254,0)),"ID no encontrado"))</x:f>
        <x:v>Norelvis</x:v>
      </x:c>
      <x:c r="E15" s="22" t="str">
        <x:f>IF(C15="","",IF(COUNTIFS('VENTAS'!$A$5:$A$254,C15,'VENTAS'!$C$5:$C$254,"&lt;&gt;")=1,INDEX('VENTAS'!$D$5:$D$254,MATCH(C15,'VENTAS'!$A$5:$A$254,0)),"ID no encontrado"))</x:f>
        <x:v>Cloud</x:v>
      </x:c>
      <x:c r="F15" s="26" t="str">
        <x:v>Pago móvil</x:v>
      </x:c>
      <x:c r="G15" s="27" t="n">
        <x:v>10645.4</x:v>
      </x:c>
      <x:c r="H15" s="27" t="n">
        <x:v>15</x:v>
      </x:c>
      <x:c r="I15" s="26" t="str">
        <x:v>BCV</x:v>
      </x:c>
      <x:c r="J15" s="30" t="n">
        <x:v>709.693333</x:v>
      </x:c>
      <x:c r="K15" s="28" t="n">
        <x:f>IF(B15="","",IF(ISNUMBER(H15),H15,IF(AND(ISNUMBER(G15),ISNUMBER(J15),J15&gt;0),ROUND(G15/J15,2),"")))</x:f>
        <x:v>15</x:v>
      </x:c>
      <x:c r="L15" s="31" t="str">
        <x:v>4494</x:v>
      </x:c>
      <x:c r="M15" s="26" t="str">
        <x:v>Cuota</x:v>
      </x:c>
      <x:c r="N15" s="26" t="str">
        <x:v>Incluir</x:v>
      </x:c>
      <x:c r="O15" s="22" t="str"/>
      <x:c r="P15" s="22" t="str">
        <x:v>Excel CONTROL!I8; M-0065; M-0063</x:v>
      </x:c>
      <x:c r="Q15" s="22" t="str">
        <x:f>IF(B15="","",IF(C15="","Falta ID venta",IF(D15="ID no encontrado","ID venta inválido",IF(COUNTIFS('PAGOS'!$A$5:$A$504,A15,'PAGOS'!$B$5:$B$504,"&gt;0")&gt;1,"ID duplicado",IF(AND(L15&lt;&gt;"",COUNTIFS('PAGOS'!$L$5:$L$504,L15,'PAGOS'!$B$5:$B$504,B15,'PAGOS'!$F$5:$F$504,F15)&gt;1),"Referencia repetida",IF(N15&lt;&gt;"Incluir",N15,IF(NOT(ISNUMBER(K15)),"Falta equivalente","Aplicar")))))))</x:f>
        <x:v>Aplicar</x:v>
      </x:c>
    </x:row>
    <x:row r="16" ht="25" customHeight="1">
      <x:c r="A16" s="22" t="str">
        <x:v>P-012</x:v>
      </x:c>
      <x:c r="B16" s="25" t="n">
        <x:v>46207</x:v>
      </x:c>
      <x:c r="C16" s="26" t="str">
        <x:v>V-012</x:v>
      </x:c>
      <x:c r="D16" s="22" t="str">
        <x:f>IF(C16="","",IF(COUNTIFS('VENTAS'!$A$5:$A$254,C16,'VENTAS'!$C$5:$C$254,"&lt;&gt;")=1,INDEX('VENTAS'!$C$5:$C$254,MATCH(C16,'VENTAS'!$A$5:$A$254,0)),"ID no encontrado"))</x:f>
        <x:v>Anderson</x:v>
      </x:c>
      <x:c r="E16" s="22" t="str">
        <x:f>IF(C16="","",IF(COUNTIFS('VENTAS'!$A$5:$A$254,C16,'VENTAS'!$C$5:$C$254,"&lt;&gt;")=1,INDEX('VENTAS'!$D$5:$D$254,MATCH(C16,'VENTAS'!$A$5:$A$254,0)),"ID no encontrado"))</x:f>
        <x:v>212Vip</x:v>
      </x:c>
      <x:c r="F16" s="26" t="str">
        <x:v>Pago móvil</x:v>
      </x:c>
      <x:c r="G16" s="27" t="n">
        <x:v>4580</x:v>
      </x:c>
      <x:c r="H16" s="27" t="n">
        <x:v>7</x:v>
      </x:c>
      <x:c r="I16" s="26" t="str">
        <x:v>BCV</x:v>
      </x:c>
      <x:c r="J16" s="30" t="n">
        <x:v>654.285714</x:v>
      </x:c>
      <x:c r="K16" s="28" t="n">
        <x:f>IF(B16="","",IF(ISNUMBER(H16),H16,IF(AND(ISNUMBER(G16),ISNUMBER(J16),J16&gt;0),ROUND(G16/J16,2),"")))</x:f>
        <x:v>7</x:v>
      </x:c>
      <x:c r="L16" s="31" t="str">
        <x:v>0172</x:v>
      </x:c>
      <x:c r="M16" s="26" t="str">
        <x:v>Cuota</x:v>
      </x:c>
      <x:c r="N16" s="26" t="str">
        <x:v>Incluir</x:v>
      </x:c>
      <x:c r="O16" s="22" t="str"/>
      <x:c r="P16" s="22" t="str">
        <x:v>Excel CONTROL!F9; M-0022</x:v>
      </x:c>
      <x:c r="Q16" s="22" t="str">
        <x:f>IF(B16="","",IF(C16="","Falta ID venta",IF(D16="ID no encontrado","ID venta inválido",IF(COUNTIFS('PAGOS'!$A$5:$A$504,A16,'PAGOS'!$B$5:$B$504,"&gt;0")&gt;1,"ID duplicado",IF(AND(L16&lt;&gt;"",COUNTIFS('PAGOS'!$L$5:$L$504,L16,'PAGOS'!$B$5:$B$504,B16,'PAGOS'!$F$5:$F$504,F16)&gt;1),"Referencia repetida",IF(N16&lt;&gt;"Incluir",N16,IF(NOT(ISNUMBER(K16)),"Falta equivalente","Aplicar")))))))</x:f>
        <x:v>Aplicar</x:v>
      </x:c>
    </x:row>
    <x:row r="17" ht="25" customHeight="1">
      <x:c r="A17" s="22" t="str">
        <x:v>P-013</x:v>
      </x:c>
      <x:c r="B17" s="25" t="n">
        <x:v>46218</x:v>
      </x:c>
      <x:c r="C17" s="26" t="str">
        <x:v>V-012</x:v>
      </x:c>
      <x:c r="D17" s="22" t="str">
        <x:f>IF(C17="","",IF(COUNTIFS('VENTAS'!$A$5:$A$254,C17,'VENTAS'!$C$5:$C$254,"&lt;&gt;")=1,INDEX('VENTAS'!$C$5:$C$254,MATCH(C17,'VENTAS'!$A$5:$A$254,0)),"ID no encontrado"))</x:f>
        <x:v>Anderson</x:v>
      </x:c>
      <x:c r="E17" s="22" t="str">
        <x:f>IF(C17="","",IF(COUNTIFS('VENTAS'!$A$5:$A$254,C17,'VENTAS'!$C$5:$C$254,"&lt;&gt;")=1,INDEX('VENTAS'!$D$5:$D$254,MATCH(C17,'VENTAS'!$A$5:$A$254,0)),"ID no encontrado"))</x:f>
        <x:v>212Vip</x:v>
      </x:c>
      <x:c r="F17" s="26" t="str">
        <x:v>Pago móvil</x:v>
      </x:c>
      <x:c r="G17" s="27" t="n">
        <x:v>5100</x:v>
      </x:c>
      <x:c r="H17" s="27" t="n">
        <x:v>7</x:v>
      </x:c>
      <x:c r="I17" s="26" t="str">
        <x:v>BCV</x:v>
      </x:c>
      <x:c r="J17" s="30" t="n">
        <x:v>728.571429</x:v>
      </x:c>
      <x:c r="K17" s="28" t="n">
        <x:f>IF(B17="","",IF(ISNUMBER(H17),H17,IF(AND(ISNUMBER(G17),ISNUMBER(J17),J17&gt;0),ROUND(G17/J17,2),"")))</x:f>
        <x:v>7</x:v>
      </x:c>
      <x:c r="L17" s="31" t="str">
        <x:v>2830</x:v>
      </x:c>
      <x:c r="M17" s="26" t="str">
        <x:v>Cuota</x:v>
      </x:c>
      <x:c r="N17" s="26" t="str">
        <x:v>Incluir</x:v>
      </x:c>
      <x:c r="O17" s="22" t="str"/>
      <x:c r="P17" s="22" t="str">
        <x:v>Excel CONTROL!I9; M-0071; M-0069</x:v>
      </x:c>
      <x:c r="Q17" s="22" t="str">
        <x:f>IF(B17="","",IF(C17="","Falta ID venta",IF(D17="ID no encontrado","ID venta inválido",IF(COUNTIFS('PAGOS'!$A$5:$A$504,A17,'PAGOS'!$B$5:$B$504,"&gt;0")&gt;1,"ID duplicado",IF(AND(L17&lt;&gt;"",COUNTIFS('PAGOS'!$L$5:$L$504,L17,'PAGOS'!$B$5:$B$504,B17,'PAGOS'!$F$5:$F$504,F17)&gt;1),"Referencia repetida",IF(N17&lt;&gt;"Incluir",N17,IF(NOT(ISNUMBER(K17)),"Falta equivalente","Aplicar")))))))</x:f>
        <x:v>Aplicar</x:v>
      </x:c>
    </x:row>
    <x:row r="18" ht="25" customHeight="1">
      <x:c r="A18" s="22" t="str">
        <x:v>P-014</x:v>
      </x:c>
      <x:c r="B18" s="25" t="n">
        <x:v>46231</x:v>
      </x:c>
      <x:c r="C18" s="26" t="str">
        <x:v>V-012</x:v>
      </x:c>
      <x:c r="D18" s="22" t="str">
        <x:f>IF(C18="","",IF(COUNTIFS('VENTAS'!$A$5:$A$254,C18,'VENTAS'!$C$5:$C$254,"&lt;&gt;")=1,INDEX('VENTAS'!$C$5:$C$254,MATCH(C18,'VENTAS'!$A$5:$A$254,0)),"ID no encontrado"))</x:f>
        <x:v>Anderson</x:v>
      </x:c>
      <x:c r="E18" s="22" t="str">
        <x:f>IF(C18="","",IF(COUNTIFS('VENTAS'!$A$5:$A$254,C18,'VENTAS'!$C$5:$C$254,"&lt;&gt;")=1,INDEX('VENTAS'!$D$5:$D$254,MATCH(C18,'VENTAS'!$A$5:$A$254,0)),"ID no encontrado"))</x:f>
        <x:v>212Vip</x:v>
      </x:c>
      <x:c r="F18" s="26" t="str">
        <x:v>Pago móvil</x:v>
      </x:c>
      <x:c r="G18" s="27" t="n">
        <x:v>5910</x:v>
      </x:c>
      <x:c r="H18" s="27" t="n">
        <x:v>8</x:v>
      </x:c>
      <x:c r="I18" s="26" t="str">
        <x:v>BCV</x:v>
      </x:c>
      <x:c r="J18" s="30" t="n">
        <x:v>738.75</x:v>
      </x:c>
      <x:c r="K18" s="28" t="n">
        <x:f>IF(B18="","",IF(ISNUMBER(H18),H18,IF(AND(ISNUMBER(G18),ISNUMBER(J18),J18&gt;0),ROUND(G18/J18,2),"")))</x:f>
        <x:v>8</x:v>
      </x:c>
      <x:c r="L18" s="31" t="str">
        <x:v>5001</x:v>
      </x:c>
      <x:c r="M18" s="26" t="str">
        <x:v>Cuota</x:v>
      </x:c>
      <x:c r="N18" s="26" t="str">
        <x:v>Incluir</x:v>
      </x:c>
      <x:c r="O18" s="22" t="str">
        <x:v> Fecha chat 2026-07-29; CONTROL 2026-07-28. Se conserva CONTROL.</x:v>
      </x:c>
      <x:c r="P18" s="22" t="str">
        <x:v>Excel CONTROL!L9; M-0121; M-0113</x:v>
      </x:c>
      <x:c r="Q18" s="22" t="str">
        <x:f>IF(B18="","",IF(C18="","Falta ID venta",IF(D18="ID no encontrado","ID venta inválido",IF(COUNTIFS('PAGOS'!$A$5:$A$504,A18,'PAGOS'!$B$5:$B$504,"&gt;0")&gt;1,"ID duplicado",IF(AND(L18&lt;&gt;"",COUNTIFS('PAGOS'!$L$5:$L$504,L18,'PAGOS'!$B$5:$B$504,B18,'PAGOS'!$F$5:$F$504,F18)&gt;1),"Referencia repetida",IF(N18&lt;&gt;"Incluir",N18,IF(NOT(ISNUMBER(K18)),"Falta equivalente","Aplicar")))))))</x:f>
        <x:v>Aplicar</x:v>
      </x:c>
    </x:row>
    <x:row r="19" ht="25" customHeight="1">
      <x:c r="A19" s="22" t="str">
        <x:v>P-015</x:v>
      </x:c>
      <x:c r="B19" s="25" t="n">
        <x:v>46207</x:v>
      </x:c>
      <x:c r="C19" s="26" t="str">
        <x:v>V-006</x:v>
      </x:c>
      <x:c r="D19" s="22" t="str">
        <x:f>IF(C19="","",IF(COUNTIFS('VENTAS'!$A$5:$A$254,C19,'VENTAS'!$C$5:$C$254,"&lt;&gt;")=1,INDEX('VENTAS'!$C$5:$C$254,MATCH(C19,'VENTAS'!$A$5:$A$254,0)),"ID no encontrado"))</x:f>
        <x:v>Marbella</x:v>
      </x:c>
      <x:c r="E19" s="22" t="str">
        <x:f>IF(C19="","",IF(COUNTIFS('VENTAS'!$A$5:$A$254,C19,'VENTAS'!$C$5:$C$254,"&lt;&gt;")=1,INDEX('VENTAS'!$D$5:$D$254,MATCH(C19,'VENTAS'!$A$5:$A$254,0)),"ID no encontrado"))</x:f>
        <x:v>Yara Moi</x:v>
      </x:c>
      <x:c r="F19" s="26" t="str">
        <x:v>Pago móvil</x:v>
      </x:c>
      <x:c r="G19" s="27" t="n">
        <x:v>13341</x:v>
      </x:c>
      <x:c r="H19" s="27" t="n">
        <x:v>20</x:v>
      </x:c>
      <x:c r="I19" s="26" t="str">
        <x:v>BCV</x:v>
      </x:c>
      <x:c r="J19" s="30" t="n">
        <x:v>667.05</x:v>
      </x:c>
      <x:c r="K19" s="28" t="n">
        <x:f>IF(B19="","",IF(ISNUMBER(H19),H19,IF(AND(ISNUMBER(G19),ISNUMBER(J19),J19&gt;0),ROUND(G19/J19,2),"")))</x:f>
        <x:v>20</x:v>
      </x:c>
      <x:c r="L19" s="31" t="str">
        <x:v>1469</x:v>
      </x:c>
      <x:c r="M19" s="26" t="str">
        <x:v>Cuota</x:v>
      </x:c>
      <x:c r="N19" s="26" t="str">
        <x:v>Incluir</x:v>
      </x:c>
      <x:c r="O19" s="22" t="str"/>
      <x:c r="P19" s="22" t="str">
        <x:v>Excel CONTROL!F10; M-0027</x:v>
      </x:c>
      <x:c r="Q19" s="22" t="str">
        <x:f>IF(B19="","",IF(C19="","Falta ID venta",IF(D19="ID no encontrado","ID venta inválido",IF(COUNTIFS('PAGOS'!$A$5:$A$504,A19,'PAGOS'!$B$5:$B$504,"&gt;0")&gt;1,"ID duplicado",IF(AND(L19&lt;&gt;"",COUNTIFS('PAGOS'!$L$5:$L$504,L19,'PAGOS'!$B$5:$B$504,B19,'PAGOS'!$F$5:$F$504,F19)&gt;1),"Referencia repetida",IF(N19&lt;&gt;"Incluir",N19,IF(NOT(ISNUMBER(K19)),"Falta equivalente","Aplicar")))))))</x:f>
        <x:v>Aplicar</x:v>
      </x:c>
    </x:row>
    <x:row r="20" ht="25" customHeight="1">
      <x:c r="A20" s="22" t="str">
        <x:v>P-016</x:v>
      </x:c>
      <x:c r="B20" s="25" t="n">
        <x:v>46228</x:v>
      </x:c>
      <x:c r="C20" s="26" t="str">
        <x:v>V-006</x:v>
      </x:c>
      <x:c r="D20" s="22" t="str">
        <x:f>IF(C20="","",IF(COUNTIFS('VENTAS'!$A$5:$A$254,C20,'VENTAS'!$C$5:$C$254,"&lt;&gt;")=1,INDEX('VENTAS'!$C$5:$C$254,MATCH(C20,'VENTAS'!$A$5:$A$254,0)),"ID no encontrado"))</x:f>
        <x:v>Marbella</x:v>
      </x:c>
      <x:c r="E20" s="22" t="str">
        <x:f>IF(C20="","",IF(COUNTIFS('VENTAS'!$A$5:$A$254,C20,'VENTAS'!$C$5:$C$254,"&lt;&gt;")=1,INDEX('VENTAS'!$D$5:$D$254,MATCH(C20,'VENTAS'!$A$5:$A$254,0)),"ID no encontrado"))</x:f>
        <x:v>Yara Moi</x:v>
      </x:c>
      <x:c r="F20" s="26" t="str">
        <x:v>Pago móvil</x:v>
      </x:c>
      <x:c r="G20" s="27" t="n">
        <x:v>7420</x:v>
      </x:c>
      <x:c r="H20" s="27" t="n">
        <x:v>10</x:v>
      </x:c>
      <x:c r="I20" s="26" t="str">
        <x:v>BCV</x:v>
      </x:c>
      <x:c r="J20" s="30" t="n">
        <x:v>742</x:v>
      </x:c>
      <x:c r="K20" s="28" t="n">
        <x:f>IF(B20="","",IF(ISNUMBER(H20),H20,IF(AND(ISNUMBER(G20),ISNUMBER(J20),J20&gt;0),ROUND(G20/J20,2),"")))</x:f>
        <x:v>10</x:v>
      </x:c>
      <x:c r="L20" s="31" t="str">
        <x:v>6675</x:v>
      </x:c>
      <x:c r="M20" s="26" t="str">
        <x:v>Cuota</x:v>
      </x:c>
      <x:c r="N20" s="26" t="str">
        <x:v>Incluir</x:v>
      </x:c>
      <x:c r="O20" s="22" t="str"/>
      <x:c r="P20" s="22" t="str">
        <x:v>Excel CONTROL!I10; M-0107; M-0088</x:v>
      </x:c>
      <x:c r="Q20" s="22" t="str">
        <x:f>IF(B20="","",IF(C20="","Falta ID venta",IF(D20="ID no encontrado","ID venta inválido",IF(COUNTIFS('PAGOS'!$A$5:$A$504,A20,'PAGOS'!$B$5:$B$504,"&gt;0")&gt;1,"ID duplicado",IF(AND(L20&lt;&gt;"",COUNTIFS('PAGOS'!$L$5:$L$504,L20,'PAGOS'!$B$5:$B$504,B20,'PAGOS'!$F$5:$F$504,F20)&gt;1),"Referencia repetida",IF(N20&lt;&gt;"Incluir",N20,IF(NOT(ISNUMBER(K20)),"Falta equivalente","Aplicar")))))))</x:f>
        <x:v>Aplicar</x:v>
      </x:c>
    </x:row>
    <x:row r="21" ht="25" customHeight="1">
      <x:c r="A21" s="22" t="str">
        <x:v>P-017</x:v>
      </x:c>
      <x:c r="B21" s="25" t="n">
        <x:v>46207</x:v>
      </x:c>
      <x:c r="C21" s="26" t="str">
        <x:v>V-013</x:v>
      </x:c>
      <x:c r="D21" s="22" t="str">
        <x:f>IF(C21="","",IF(COUNTIFS('VENTAS'!$A$5:$A$254,C21,'VENTAS'!$C$5:$C$254,"&lt;&gt;")=1,INDEX('VENTAS'!$C$5:$C$254,MATCH(C21,'VENTAS'!$A$5:$A$254,0)),"ID no encontrado"))</x:f>
        <x:v>Polanco</x:v>
      </x:c>
      <x:c r="E21" s="22" t="str">
        <x:f>IF(C21="","",IF(COUNTIFS('VENTAS'!$A$5:$A$254,C21,'VENTAS'!$C$5:$C$254,"&lt;&gt;")=1,INDEX('VENTAS'!$D$5:$D$254,MATCH(C21,'VENTAS'!$A$5:$A$254,0)),"ID no encontrado"))</x:f>
        <x:v>Club De Nuit</x:v>
      </x:c>
      <x:c r="F21" s="26" t="str">
        <x:v>Pago móvil</x:v>
      </x:c>
      <x:c r="G21" s="27" t="n">
        <x:v>9794.59</x:v>
      </x:c>
      <x:c r="H21" s="27" t="n">
        <x:v>15</x:v>
      </x:c>
      <x:c r="I21" s="26" t="str">
        <x:v>BCV</x:v>
      </x:c>
      <x:c r="J21" s="30" t="n">
        <x:v>652.972667</x:v>
      </x:c>
      <x:c r="K21" s="28" t="n">
        <x:f>IF(B21="","",IF(ISNUMBER(H21),H21,IF(AND(ISNUMBER(G21),ISNUMBER(J21),J21&gt;0),ROUND(G21/J21,2),"")))</x:f>
        <x:v>15</x:v>
      </x:c>
      <x:c r="L21" s="31" t="str">
        <x:v>9023</x:v>
      </x:c>
      <x:c r="M21" s="26" t="str">
        <x:v>Cuota</x:v>
      </x:c>
      <x:c r="N21" s="26" t="str">
        <x:v>Incluir</x:v>
      </x:c>
      <x:c r="O21" s="22" t="str">
        <x:v> Inicial 15 de la venta, cuota 1/2 registrada el 04/07; un solo abono.</x:v>
      </x:c>
      <x:c r="P21" s="22" t="str">
        <x:v>Excel CONTROL!F11; M-0032</x:v>
      </x:c>
      <x:c r="Q21" s="22" t="str">
        <x:f>IF(B21="","",IF(C21="","Falta ID venta",IF(D21="ID no encontrado","ID venta inválido",IF(COUNTIFS('PAGOS'!$A$5:$A$504,A21,'PAGOS'!$B$5:$B$504,"&gt;0")&gt;1,"ID duplicado",IF(AND(L21&lt;&gt;"",COUNTIFS('PAGOS'!$L$5:$L$504,L21,'PAGOS'!$B$5:$B$504,B21,'PAGOS'!$F$5:$F$504,F21)&gt;1),"Referencia repetida",IF(N21&lt;&gt;"Incluir",N21,IF(NOT(ISNUMBER(K21)),"Falta equivalente","Aplicar")))))))</x:f>
        <x:v>Aplicar</x:v>
      </x:c>
    </x:row>
    <x:row r="22" ht="25" customHeight="1">
      <x:c r="A22" s="22" t="str">
        <x:v>P-018</x:v>
      </x:c>
      <x:c r="B22" s="25" t="n">
        <x:v>46228</x:v>
      </x:c>
      <x:c r="C22" s="26" t="str">
        <x:v>V-013</x:v>
      </x:c>
      <x:c r="D22" s="22" t="str">
        <x:f>IF(C22="","",IF(COUNTIFS('VENTAS'!$A$5:$A$254,C22,'VENTAS'!$C$5:$C$254,"&lt;&gt;")=1,INDEX('VENTAS'!$C$5:$C$254,MATCH(C22,'VENTAS'!$A$5:$A$254,0)),"ID no encontrado"))</x:f>
        <x:v>Polanco</x:v>
      </x:c>
      <x:c r="E22" s="22" t="str">
        <x:f>IF(C22="","",IF(COUNTIFS('VENTAS'!$A$5:$A$254,C22,'VENTAS'!$C$5:$C$254,"&lt;&gt;")=1,INDEX('VENTAS'!$D$5:$D$254,MATCH(C22,'VENTAS'!$A$5:$A$254,0)),"ID no encontrado"))</x:f>
        <x:v>Club De Nuit</x:v>
      </x:c>
      <x:c r="F22" s="26" t="str">
        <x:v>Pago móvil</x:v>
      </x:c>
      <x:c r="G22" s="27" t="n">
        <x:v>11068.22</x:v>
      </x:c>
      <x:c r="H22" s="27" t="n">
        <x:v>15</x:v>
      </x:c>
      <x:c r="I22" s="26" t="str">
        <x:v>BCV</x:v>
      </x:c>
      <x:c r="J22" s="30" t="n">
        <x:v>737.881333</x:v>
      </x:c>
      <x:c r="K22" s="28" t="n">
        <x:f>IF(B22="","",IF(ISNUMBER(H22),H22,IF(AND(ISNUMBER(G22),ISNUMBER(J22),J22&gt;0),ROUND(G22/J22,2),"")))</x:f>
        <x:v>15</x:v>
      </x:c>
      <x:c r="L22" s="31" t="str">
        <x:v>2736</x:v>
      </x:c>
      <x:c r="M22" s="26" t="str">
        <x:v>Cuota</x:v>
      </x:c>
      <x:c r="N22" s="26" t="str">
        <x:v>Incluir</x:v>
      </x:c>
      <x:c r="O22" s="22" t="str"/>
      <x:c r="P22" s="22" t="str">
        <x:v>Excel CONTROL!I11; M-0108</x:v>
      </x:c>
      <x:c r="Q22" s="22" t="str">
        <x:f>IF(B22="","",IF(C22="","Falta ID venta",IF(D22="ID no encontrado","ID venta inválido",IF(COUNTIFS('PAGOS'!$A$5:$A$504,A22,'PAGOS'!$B$5:$B$504,"&gt;0")&gt;1,"ID duplicado",IF(AND(L22&lt;&gt;"",COUNTIFS('PAGOS'!$L$5:$L$504,L22,'PAGOS'!$B$5:$B$504,B22,'PAGOS'!$F$5:$F$504,F22)&gt;1),"Referencia repetida",IF(N22&lt;&gt;"Incluir",N22,IF(NOT(ISNUMBER(K22)),"Falta equivalente","Aplicar")))))))</x:f>
        <x:v>Aplicar</x:v>
      </x:c>
    </x:row>
    <x:row r="23" ht="25" customHeight="1">
      <x:c r="A23" s="22" t="str">
        <x:v>P-019</x:v>
      </x:c>
      <x:c r="B23" s="25" t="n">
        <x:v>46214</x:v>
      </x:c>
      <x:c r="C23" s="26" t="str">
        <x:v>V-008</x:v>
      </x:c>
      <x:c r="D23" s="22" t="str">
        <x:f>IF(C23="","",IF(COUNTIFS('VENTAS'!$A$5:$A$254,C23,'VENTAS'!$C$5:$C$254,"&lt;&gt;")=1,INDEX('VENTAS'!$C$5:$C$254,MATCH(C23,'VENTAS'!$A$5:$A$254,0)),"ID no encontrado"))</x:f>
        <x:v>Polanco</x:v>
      </x:c>
      <x:c r="E23" s="22" t="str">
        <x:f>IF(C23="","",IF(COUNTIFS('VENTAS'!$A$5:$A$254,C23,'VENTAS'!$C$5:$C$254,"&lt;&gt;")=1,INDEX('VENTAS'!$D$5:$D$254,MATCH(C23,'VENTAS'!$A$5:$A$254,0)),"ID no encontrado"))</x:f>
        <x:v>Honor &amp; Glory</x:v>
      </x:c>
      <x:c r="F23" s="26" t="str">
        <x:v>Pago móvil</x:v>
      </x:c>
      <x:c r="G23" s="27" t="n">
        <x:v>14193.87</x:v>
      </x:c>
      <x:c r="H23" s="27" t="n">
        <x:v>20</x:v>
      </x:c>
      <x:c r="I23" s="26" t="str">
        <x:v>BCV</x:v>
      </x:c>
      <x:c r="J23" s="30" t="n">
        <x:v>709.6935</x:v>
      </x:c>
      <x:c r="K23" s="28" t="n">
        <x:f>IF(B23="","",IF(ISNUMBER(H23),H23,IF(AND(ISNUMBER(G23),ISNUMBER(J23),J23&gt;0),ROUND(G23/J23,2),"")))</x:f>
        <x:v>20</x:v>
      </x:c>
      <x:c r="L23" s="31" t="str">
        <x:v>5460</x:v>
      </x:c>
      <x:c r="M23" s="26" t="str">
        <x:v>Cuota</x:v>
      </x:c>
      <x:c r="N23" s="26" t="str">
        <x:v>Incluir</x:v>
      </x:c>
      <x:c r="O23" s="22" t="str"/>
      <x:c r="P23" s="22" t="str">
        <x:v>Excel CONTROL!F12; M-0053; M-0050</x:v>
      </x:c>
      <x:c r="Q23" s="22" t="str">
        <x:f>IF(B23="","",IF(C23="","Falta ID venta",IF(D23="ID no encontrado","ID venta inválido",IF(COUNTIFS('PAGOS'!$A$5:$A$504,A23,'PAGOS'!$B$5:$B$504,"&gt;0")&gt;1,"ID duplicado",IF(AND(L23&lt;&gt;"",COUNTIFS('PAGOS'!$L$5:$L$504,L23,'PAGOS'!$B$5:$B$504,B23,'PAGOS'!$F$5:$F$504,F23)&gt;1),"Referencia repetida",IF(N23&lt;&gt;"Incluir",N23,IF(NOT(ISNUMBER(K23)),"Falta equivalente","Aplicar")))))))</x:f>
        <x:v>Aplicar</x:v>
      </x:c>
    </x:row>
    <x:row r="24" ht="25" customHeight="1">
      <x:c r="A24" s="22" t="str">
        <x:v>P-020</x:v>
      </x:c>
      <x:c r="B24" s="25" t="n">
        <x:v>46236</x:v>
      </x:c>
      <x:c r="C24" s="26" t="str">
        <x:v>V-008</x:v>
      </x:c>
      <x:c r="D24" s="22" t="str">
        <x:f>IF(C24="","",IF(COUNTIFS('VENTAS'!$A$5:$A$254,C24,'VENTAS'!$C$5:$C$254,"&lt;&gt;")=1,INDEX('VENTAS'!$C$5:$C$254,MATCH(C24,'VENTAS'!$A$5:$A$254,0)),"ID no encontrado"))</x:f>
        <x:v>Polanco</x:v>
      </x:c>
      <x:c r="E24" s="22" t="str">
        <x:f>IF(C24="","",IF(COUNTIFS('VENTAS'!$A$5:$A$254,C24,'VENTAS'!$C$5:$C$254,"&lt;&gt;")=1,INDEX('VENTAS'!$D$5:$D$254,MATCH(C24,'VENTAS'!$A$5:$A$254,0)),"ID no encontrado"))</x:f>
        <x:v>Honor &amp; Glory</x:v>
      </x:c>
      <x:c r="F24" s="26" t="str">
        <x:v>Pago móvil</x:v>
      </x:c>
      <x:c r="G24" s="27" t="n">
        <x:v>11199.45</x:v>
      </x:c>
      <x:c r="H24" s="27" t="n">
        <x:v>15</x:v>
      </x:c>
      <x:c r="I24" s="26" t="str">
        <x:v>BCV</x:v>
      </x:c>
      <x:c r="J24" s="30" t="n">
        <x:v>746.63</x:v>
      </x:c>
      <x:c r="K24" s="28" t="n">
        <x:f>IF(B24="","",IF(ISNUMBER(H24),H24,IF(AND(ISNUMBER(G24),ISNUMBER(J24),J24&gt;0),ROUND(G24/J24,2),"")))</x:f>
        <x:v>15</x:v>
      </x:c>
      <x:c r="L24" s="31" t="str">
        <x:v>2165</x:v>
      </x:c>
      <x:c r="M24" s="26" t="str">
        <x:v>Cuota</x:v>
      </x:c>
      <x:c r="N24" s="26" t="str">
        <x:v>Incluir</x:v>
      </x:c>
      <x:c r="O24" s="22" t="str"/>
      <x:c r="P24" s="22" t="str">
        <x:v>Excel CONTROL!I12; M-0136; M-0134</x:v>
      </x:c>
      <x:c r="Q24" s="22" t="str">
        <x:f>IF(B24="","",IF(C24="","Falta ID venta",IF(D24="ID no encontrado","ID venta inválido",IF(COUNTIFS('PAGOS'!$A$5:$A$504,A24,'PAGOS'!$B$5:$B$504,"&gt;0")&gt;1,"ID duplicado",IF(AND(L24&lt;&gt;"",COUNTIFS('PAGOS'!$L$5:$L$504,L24,'PAGOS'!$B$5:$B$504,B24,'PAGOS'!$F$5:$F$504,F24)&gt;1),"Referencia repetida",IF(N24&lt;&gt;"Incluir",N24,IF(NOT(ISNUMBER(K24)),"Falta equivalente","Aplicar")))))))</x:f>
        <x:v>Aplicar</x:v>
      </x:c>
    </x:row>
    <x:row r="25" ht="25" customHeight="1">
      <x:c r="A25" s="22" t="str">
        <x:v>P-021</x:v>
      </x:c>
      <x:c r="B25" s="25" t="n">
        <x:v>46215</x:v>
      </x:c>
      <x:c r="C25" s="26" t="str">
        <x:v>V-015</x:v>
      </x:c>
      <x:c r="D25" s="22" t="str">
        <x:f>IF(C25="","",IF(COUNTIFS('VENTAS'!$A$5:$A$254,C25,'VENTAS'!$C$5:$C$254,"&lt;&gt;")=1,INDEX('VENTAS'!$C$5:$C$254,MATCH(C25,'VENTAS'!$A$5:$A$254,0)),"ID no encontrado"))</x:f>
        <x:v>Llovera</x:v>
      </x:c>
      <x:c r="E25" s="22" t="str">
        <x:f>IF(C25="","",IF(COUNTIFS('VENTAS'!$A$5:$A$254,C25,'VENTAS'!$C$5:$C$254,"&lt;&gt;")=1,INDEX('VENTAS'!$D$5:$D$254,MATCH(C25,'VENTAS'!$A$5:$A$254,0)),"ID no encontrado"))</x:f>
        <x:v>Eros Men</x:v>
      </x:c>
      <x:c r="F25" s="26" t="str">
        <x:v>Pago móvil</x:v>
      </x:c>
      <x:c r="G25" s="27" t="n">
        <x:v>17000</x:v>
      </x:c>
      <x:c r="H25" s="27" t="n">
        <x:v>24</x:v>
      </x:c>
      <x:c r="I25" s="26" t="str">
        <x:v>BCV</x:v>
      </x:c>
      <x:c r="J25" s="30" t="n">
        <x:v>708.333333</x:v>
      </x:c>
      <x:c r="K25" s="28" t="n">
        <x:f>IF(B25="","",IF(ISNUMBER(H25),H25,IF(AND(ISNUMBER(G25),ISNUMBER(J25),J25&gt;0),ROUND(G25/J25,2),"")))</x:f>
        <x:v>24</x:v>
      </x:c>
      <x:c r="L25" s="31" t="str">
        <x:v>1911</x:v>
      </x:c>
      <x:c r="M25" s="26" t="str">
        <x:v>Cuota</x:v>
      </x:c>
      <x:c r="N25" s="26" t="str">
        <x:v>Incluir</x:v>
      </x:c>
      <x:c r="O25" s="22" t="str"/>
      <x:c r="P25" s="22" t="str">
        <x:v>Excel CONTROL!F13; M-0064; M-0056</x:v>
      </x:c>
      <x:c r="Q25" s="22" t="str">
        <x:f>IF(B25="","",IF(C25="","Falta ID venta",IF(D25="ID no encontrado","ID venta inválido",IF(COUNTIFS('PAGOS'!$A$5:$A$504,A25,'PAGOS'!$B$5:$B$504,"&gt;0")&gt;1,"ID duplicado",IF(AND(L25&lt;&gt;"",COUNTIFS('PAGOS'!$L$5:$L$504,L25,'PAGOS'!$B$5:$B$504,B25,'PAGOS'!$F$5:$F$504,F25)&gt;1),"Referencia repetida",IF(N25&lt;&gt;"Incluir",N25,IF(NOT(ISNUMBER(K25)),"Falta equivalente","Aplicar")))))))</x:f>
        <x:v>Aplicar</x:v>
      </x:c>
    </x:row>
    <x:row r="26" ht="25" customHeight="1">
      <x:c r="A26" s="22" t="str">
        <x:v>P-022</x:v>
      </x:c>
      <x:c r="B26" s="25" t="n">
        <x:v>46218</x:v>
      </x:c>
      <x:c r="C26" s="26" t="str">
        <x:v>V-005</x:v>
      </x:c>
      <x:c r="D26" s="22" t="str">
        <x:f>IF(C26="","",IF(COUNTIFS('VENTAS'!$A$5:$A$254,C26,'VENTAS'!$C$5:$C$254,"&lt;&gt;")=1,INDEX('VENTAS'!$C$5:$C$254,MATCH(C26,'VENTAS'!$A$5:$A$254,0)),"ID no encontrado"))</x:f>
        <x:v>Belisario</x:v>
      </x:c>
      <x:c r="E26" s="22" t="str">
        <x:f>IF(C26="","",IF(COUNTIFS('VENTAS'!$A$5:$A$254,C26,'VENTAS'!$C$5:$C$254,"&lt;&gt;")=1,INDEX('VENTAS'!$D$5:$D$254,MATCH(C26,'VENTAS'!$A$5:$A$254,0)),"ID no encontrado"))</x:f>
        <x:v>Club de Nuit Urban Elixir</x:v>
      </x:c>
      <x:c r="F26" s="26" t="str">
        <x:v>Pago móvil</x:v>
      </x:c>
      <x:c r="G26" s="27" t="n">
        <x:v>10886.21</x:v>
      </x:c>
      <x:c r="H26" s="27" t="n">
        <x:v>15</x:v>
      </x:c>
      <x:c r="I26" s="26" t="str">
        <x:v>BCV</x:v>
      </x:c>
      <x:c r="J26" s="30" t="n">
        <x:v>725.747333</x:v>
      </x:c>
      <x:c r="K26" s="28" t="n">
        <x:f>IF(B26="","",IF(ISNUMBER(H26),H26,IF(AND(ISNUMBER(G26),ISNUMBER(J26),J26&gt;0),ROUND(G26/J26,2),"")))</x:f>
        <x:v>15</x:v>
      </x:c>
      <x:c r="L26" s="31" t="str">
        <x:v>7099</x:v>
      </x:c>
      <x:c r="M26" s="26" t="str">
        <x:v>Cuota</x:v>
      </x:c>
      <x:c r="N26" s="26" t="str">
        <x:v>Incluir</x:v>
      </x:c>
      <x:c r="O26" s="22" t="str"/>
      <x:c r="P26" s="22" t="str">
        <x:v>Excel CONTROL!F14; M-0070; M-0067</x:v>
      </x:c>
      <x:c r="Q26" s="22" t="str">
        <x:f>IF(B26="","",IF(C26="","Falta ID venta",IF(D26="ID no encontrado","ID venta inválido",IF(COUNTIFS('PAGOS'!$A$5:$A$504,A26,'PAGOS'!$B$5:$B$504,"&gt;0")&gt;1,"ID duplicado",IF(AND(L26&lt;&gt;"",COUNTIFS('PAGOS'!$L$5:$L$504,L26,'PAGOS'!$B$5:$B$504,B26,'PAGOS'!$F$5:$F$504,F26)&gt;1),"Referencia repetida",IF(N26&lt;&gt;"Incluir",N26,IF(NOT(ISNUMBER(K26)),"Falta equivalente","Aplicar")))))))</x:f>
        <x:v>Aplicar</x:v>
      </x:c>
    </x:row>
    <x:row r="27" ht="25" customHeight="1">
      <x:c r="A27" s="22" t="str">
        <x:v>P-023</x:v>
      </x:c>
      <x:c r="B27" s="25" t="n">
        <x:v>46219</x:v>
      </x:c>
      <x:c r="C27" s="26" t="str">
        <x:v>V-001</x:v>
      </x:c>
      <x:c r="D27" s="22" t="str">
        <x:f>IF(C27="","",IF(COUNTIFS('VENTAS'!$A$5:$A$254,C27,'VENTAS'!$C$5:$C$254,"&lt;&gt;")=1,INDEX('VENTAS'!$C$5:$C$254,MATCH(C27,'VENTAS'!$A$5:$A$254,0)),"ID no encontrado"))</x:f>
        <x:v>Fernanda</x:v>
      </x:c>
      <x:c r="E27" s="22" t="str">
        <x:f>IF(C27="","",IF(COUNTIFS('VENTAS'!$A$5:$A$254,C27,'VENTAS'!$C$5:$C$254,"&lt;&gt;")=1,INDEX('VENTAS'!$D$5:$D$254,MATCH(C27,'VENTAS'!$A$5:$A$254,0)),"ID no encontrado"))</x:f>
        <x:v>Yara Fem</x:v>
      </x:c>
      <x:c r="F27" s="26" t="str">
        <x:v>Pago móvil</x:v>
      </x:c>
      <x:c r="G27" s="27" t="n">
        <x:v>14549.02</x:v>
      </x:c>
      <x:c r="H27" s="27" t="n">
        <x:v>20</x:v>
      </x:c>
      <x:c r="I27" s="26" t="str">
        <x:v>BCV</x:v>
      </x:c>
      <x:c r="J27" s="30" t="n">
        <x:v>727.451</x:v>
      </x:c>
      <x:c r="K27" s="28" t="n">
        <x:f>IF(B27="","",IF(ISNUMBER(H27),H27,IF(AND(ISNUMBER(G27),ISNUMBER(J27),J27&gt;0),ROUND(G27/J27,2),"")))</x:f>
        <x:v>20</x:v>
      </x:c>
      <x:c r="L27" s="31" t="str">
        <x:v>7014</x:v>
      </x:c>
      <x:c r="M27" s="26" t="str">
        <x:v>Cuota</x:v>
      </x:c>
      <x:c r="N27" s="26" t="str">
        <x:v>Incluir</x:v>
      </x:c>
      <x:c r="O27" s="22" t="str"/>
      <x:c r="P27" s="22" t="str">
        <x:v>Excel CONTROL!F15; M-0079; M-0075</x:v>
      </x:c>
      <x:c r="Q27" s="22" t="str">
        <x:f>IF(B27="","",IF(C27="","Falta ID venta",IF(D27="ID no encontrado","ID venta inválido",IF(COUNTIFS('PAGOS'!$A$5:$A$504,A27,'PAGOS'!$B$5:$B$504,"&gt;0")&gt;1,"ID duplicado",IF(AND(L27&lt;&gt;"",COUNTIFS('PAGOS'!$L$5:$L$504,L27,'PAGOS'!$B$5:$B$504,B27,'PAGOS'!$F$5:$F$504,F27)&gt;1),"Referencia repetida",IF(N27&lt;&gt;"Incluir",N27,IF(NOT(ISNUMBER(K27)),"Falta equivalente","Aplicar")))))))</x:f>
        <x:v>Aplicar</x:v>
      </x:c>
    </x:row>
    <x:row r="28" ht="25" customHeight="1">
      <x:c r="A28" s="22" t="str">
        <x:v>P-024</x:v>
      </x:c>
      <x:c r="B28" s="25" t="n">
        <x:v>46236</x:v>
      </x:c>
      <x:c r="C28" s="26" t="str">
        <x:v>V-001</x:v>
      </x:c>
      <x:c r="D28" s="22" t="str">
        <x:f>IF(C28="","",IF(COUNTIFS('VENTAS'!$A$5:$A$254,C28,'VENTAS'!$C$5:$C$254,"&lt;&gt;")=1,INDEX('VENTAS'!$C$5:$C$254,MATCH(C28,'VENTAS'!$A$5:$A$254,0)),"ID no encontrado"))</x:f>
        <x:v>Fernanda</x:v>
      </x:c>
      <x:c r="E28" s="22" t="str">
        <x:f>IF(C28="","",IF(COUNTIFS('VENTAS'!$A$5:$A$254,C28,'VENTAS'!$C$5:$C$254,"&lt;&gt;")=1,INDEX('VENTAS'!$D$5:$D$254,MATCH(C28,'VENTAS'!$A$5:$A$254,0)),"ID no encontrado"))</x:f>
        <x:v>Yara Fem</x:v>
      </x:c>
      <x:c r="F28" s="26" t="str">
        <x:v>Pago móvil</x:v>
      </x:c>
      <x:c r="G28" s="27" t="n">
        <x:v>3733.15</x:v>
      </x:c>
      <x:c r="H28" s="27" t="n">
        <x:v>5</x:v>
      </x:c>
      <x:c r="I28" s="26" t="str">
        <x:v>BCV</x:v>
      </x:c>
      <x:c r="J28" s="30" t="n">
        <x:v>746.63</x:v>
      </x:c>
      <x:c r="K28" s="28" t="n">
        <x:f>IF(B28="","",IF(ISNUMBER(H28),H28,IF(AND(ISNUMBER(G28),ISNUMBER(J28),J28&gt;0),ROUND(G28/J28,2),"")))</x:f>
        <x:v>5</x:v>
      </x:c>
      <x:c r="L28" s="31" t="str">
        <x:v>9323</x:v>
      </x:c>
      <x:c r="M28" s="26" t="str">
        <x:v>Cuota</x:v>
      </x:c>
      <x:c r="N28" s="26" t="str">
        <x:v>Incluir</x:v>
      </x:c>
      <x:c r="O28" s="22" t="str"/>
      <x:c r="P28" s="22" t="str">
        <x:v>Excel CONTROL!I15; M-0135; M-0132</x:v>
      </x:c>
      <x:c r="Q28" s="22" t="str">
        <x:f>IF(B28="","",IF(C28="","Falta ID venta",IF(D28="ID no encontrado","ID venta inválido",IF(COUNTIFS('PAGOS'!$A$5:$A$504,A28,'PAGOS'!$B$5:$B$504,"&gt;0")&gt;1,"ID duplicado",IF(AND(L28&lt;&gt;"",COUNTIFS('PAGOS'!$L$5:$L$504,L28,'PAGOS'!$B$5:$B$504,B28,'PAGOS'!$F$5:$F$504,F28)&gt;1),"Referencia repetida",IF(N28&lt;&gt;"Incluir",N28,IF(NOT(ISNUMBER(K28)),"Falta equivalente","Aplicar")))))))</x:f>
        <x:v>Aplicar</x:v>
      </x:c>
    </x:row>
    <x:row r="29" ht="25" customHeight="1">
      <x:c r="A29" s="22" t="str">
        <x:v>P-025</x:v>
      </x:c>
      <x:c r="B29" s="25" t="n">
        <x:v>46213</x:v>
      </x:c>
      <x:c r="C29" s="26" t="str">
        <x:v>V-011</x:v>
      </x:c>
      <x:c r="D29" s="22" t="str">
        <x:f>IF(C29="","",IF(COUNTIFS('VENTAS'!$A$5:$A$254,C29,'VENTAS'!$C$5:$C$254,"&lt;&gt;")=1,INDEX('VENTAS'!$C$5:$C$254,MATCH(C29,'VENTAS'!$A$5:$A$254,0)),"ID no encontrado"))</x:f>
        <x:v>Cristhian</x:v>
      </x:c>
      <x:c r="E29" s="22" t="str">
        <x:f>IF(C29="","",IF(COUNTIFS('VENTAS'!$A$5:$A$254,C29,'VENTAS'!$C$5:$C$254,"&lt;&gt;")=1,INDEX('VENTAS'!$D$5:$D$254,MATCH(C29,'VENTAS'!$A$5:$A$254,0)),"ID no encontrado"))</x:f>
        <x:v>Aqua Dubai</x:v>
      </x:c>
      <x:c r="F29" s="26" t="str">
        <x:v>Pago móvil</x:v>
      </x:c>
      <x:c r="G29" s="27" t="n">
        <x:v>10645.4</x:v>
      </x:c>
      <x:c r="H29" s="27" t="n">
        <x:v>15</x:v>
      </x:c>
      <x:c r="I29" s="26" t="str">
        <x:v>BCV</x:v>
      </x:c>
      <x:c r="J29" s="30" t="n">
        <x:v>709.693333</x:v>
      </x:c>
      <x:c r="K29" s="28" t="n">
        <x:f>IF(B29="","",IF(ISNUMBER(H29),H29,IF(AND(ISNUMBER(G29),ISNUMBER(J29),J29&gt;0),ROUND(G29/J29,2),"")))</x:f>
        <x:v>15</x:v>
      </x:c>
      <x:c r="L29" s="31" t="str">
        <x:v>8770</x:v>
      </x:c>
      <x:c r="M29" s="26" t="str">
        <x:v>Cuota</x:v>
      </x:c>
      <x:c r="N29" s="26" t="str">
        <x:v>Incluir</x:v>
      </x:c>
      <x:c r="O29" s="22" t="str"/>
      <x:c r="P29" s="22" t="str">
        <x:v>Excel CONTROL!F16; M-0047</x:v>
      </x:c>
      <x:c r="Q29" s="22" t="str">
        <x:f>IF(B29="","",IF(C29="","Falta ID venta",IF(D29="ID no encontrado","ID venta inválido",IF(COUNTIFS('PAGOS'!$A$5:$A$504,A29,'PAGOS'!$B$5:$B$504,"&gt;0")&gt;1,"ID duplicado",IF(AND(L29&lt;&gt;"",COUNTIFS('PAGOS'!$L$5:$L$504,L29,'PAGOS'!$B$5:$B$504,B29,'PAGOS'!$F$5:$F$504,F29)&gt;1),"Referencia repetida",IF(N29&lt;&gt;"Incluir",N29,IF(NOT(ISNUMBER(K29)),"Falta equivalente","Aplicar")))))))</x:f>
        <x:v>Aplicar</x:v>
      </x:c>
    </x:row>
    <x:row r="30" ht="25" customHeight="1">
      <x:c r="A30" s="22" t="str">
        <x:v>P-026</x:v>
      </x:c>
      <x:c r="B30" s="25" t="n">
        <x:v>46220</x:v>
      </x:c>
      <x:c r="C30" s="26" t="str">
        <x:v>V-011</x:v>
      </x:c>
      <x:c r="D30" s="22" t="str">
        <x:f>IF(C30="","",IF(COUNTIFS('VENTAS'!$A$5:$A$254,C30,'VENTAS'!$C$5:$C$254,"&lt;&gt;")=1,INDEX('VENTAS'!$C$5:$C$254,MATCH(C30,'VENTAS'!$A$5:$A$254,0)),"ID no encontrado"))</x:f>
        <x:v>Cristhian</x:v>
      </x:c>
      <x:c r="E30" s="22" t="str">
        <x:f>IF(C30="","",IF(COUNTIFS('VENTAS'!$A$5:$A$254,C30,'VENTAS'!$C$5:$C$254,"&lt;&gt;")=1,INDEX('VENTAS'!$D$5:$D$254,MATCH(C30,'VENTAS'!$A$5:$A$254,0)),"ID no encontrado"))</x:f>
        <x:v>Aqua Dubai</x:v>
      </x:c>
      <x:c r="F30" s="26" t="str">
        <x:v>Pago móvil</x:v>
      </x:c>
      <x:c r="G30" s="27" t="n">
        <x:v>10987.18</x:v>
      </x:c>
      <x:c r="H30" s="27" t="n">
        <x:v>15</x:v>
      </x:c>
      <x:c r="I30" s="26" t="str">
        <x:v>BCV</x:v>
      </x:c>
      <x:c r="J30" s="30" t="n">
        <x:v>732.478667</x:v>
      </x:c>
      <x:c r="K30" s="28" t="n">
        <x:f>IF(B30="","",IF(ISNUMBER(H30),H30,IF(AND(ISNUMBER(G30),ISNUMBER(J30),J30&gt;0),ROUND(G30/J30,2),"")))</x:f>
        <x:v>15</x:v>
      </x:c>
      <x:c r="L30" s="31" t="str">
        <x:v>0546</x:v>
      </x:c>
      <x:c r="M30" s="26" t="str">
        <x:v>Cuota</x:v>
      </x:c>
      <x:c r="N30" s="26" t="str">
        <x:v>Incluir</x:v>
      </x:c>
      <x:c r="O30" s="22" t="str"/>
      <x:c r="P30" s="22" t="str">
        <x:v>Excel CONTROL!I16; M-0080; M-0076</x:v>
      </x:c>
      <x:c r="Q30" s="22" t="str">
        <x:f>IF(B30="","",IF(C30="","Falta ID venta",IF(D30="ID no encontrado","ID venta inválido",IF(COUNTIFS('PAGOS'!$A$5:$A$504,A30,'PAGOS'!$B$5:$B$504,"&gt;0")&gt;1,"ID duplicado",IF(AND(L30&lt;&gt;"",COUNTIFS('PAGOS'!$L$5:$L$504,L30,'PAGOS'!$B$5:$B$504,B30,'PAGOS'!$F$5:$F$504,F30)&gt;1),"Referencia repetida",IF(N30&lt;&gt;"Incluir",N30,IF(NOT(ISNUMBER(K30)),"Falta equivalente","Aplicar")))))))</x:f>
        <x:v>Aplicar</x:v>
      </x:c>
    </x:row>
    <x:row r="31" ht="25" customHeight="1">
      <x:c r="A31" s="22" t="str">
        <x:v>P-027</x:v>
      </x:c>
      <x:c r="B31" s="25" t="n">
        <x:v>46227</x:v>
      </x:c>
      <x:c r="C31" s="26" t="str">
        <x:v>V-011</x:v>
      </x:c>
      <x:c r="D31" s="22" t="str">
        <x:f>IF(C31="","",IF(COUNTIFS('VENTAS'!$A$5:$A$254,C31,'VENTAS'!$C$5:$C$254,"&lt;&gt;")=1,INDEX('VENTAS'!$C$5:$C$254,MATCH(C31,'VENTAS'!$A$5:$A$254,0)),"ID no encontrado"))</x:f>
        <x:v>Cristhian</x:v>
      </x:c>
      <x:c r="E31" s="22" t="str">
        <x:f>IF(C31="","",IF(COUNTIFS('VENTAS'!$A$5:$A$254,C31,'VENTAS'!$C$5:$C$254,"&lt;&gt;")=1,INDEX('VENTAS'!$D$5:$D$254,MATCH(C31,'VENTAS'!$A$5:$A$254,0)),"ID no encontrado"))</x:f>
        <x:v>Aqua Dubai</x:v>
      </x:c>
      <x:c r="F31" s="26" t="str">
        <x:v>Pago móvil</x:v>
      </x:c>
      <x:c r="G31" s="27" t="n">
        <x:v>2951.53</x:v>
      </x:c>
      <x:c r="H31" s="27" t="n">
        <x:v>4</x:v>
      </x:c>
      <x:c r="I31" s="26" t="str">
        <x:v>BCV</x:v>
      </x:c>
      <x:c r="J31" s="30" t="n">
        <x:v>737.8825</x:v>
      </x:c>
      <x:c r="K31" s="28" t="n">
        <x:f>IF(B31="","",IF(ISNUMBER(H31),H31,IF(AND(ISNUMBER(G31),ISNUMBER(J31),J31&gt;0),ROUND(G31/J31,2),"")))</x:f>
        <x:v>4</x:v>
      </x:c>
      <x:c r="L31" s="31" t="str">
        <x:v>9686</x:v>
      </x:c>
      <x:c r="M31" s="26" t="str">
        <x:v>Cuota</x:v>
      </x:c>
      <x:c r="N31" s="26" t="str">
        <x:v>Incluir</x:v>
      </x:c>
      <x:c r="O31" s="22" t="str"/>
      <x:c r="P31" s="22" t="str">
        <x:v>Excel CONTROL!L16; M-0106; M-0084</x:v>
      </x:c>
      <x:c r="Q31" s="22" t="str">
        <x:f>IF(B31="","",IF(C31="","Falta ID venta",IF(D31="ID no encontrado","ID venta inválido",IF(COUNTIFS('PAGOS'!$A$5:$A$504,A31,'PAGOS'!$B$5:$B$504,"&gt;0")&gt;1,"ID duplicado",IF(AND(L31&lt;&gt;"",COUNTIFS('PAGOS'!$L$5:$L$504,L31,'PAGOS'!$B$5:$B$504,B31,'PAGOS'!$F$5:$F$504,F31)&gt;1),"Referencia repetida",IF(N31&lt;&gt;"Incluir",N31,IF(NOT(ISNUMBER(K31)),"Falta equivalente","Aplicar")))))))</x:f>
        <x:v>Aplicar</x:v>
      </x:c>
    </x:row>
    <x:row r="32" ht="25" customHeight="1">
      <x:c r="A32" s="22" t="str">
        <x:v>P-028</x:v>
      </x:c>
      <x:c r="B32" s="25" t="n">
        <x:v>46244</x:v>
      </x:c>
      <x:c r="C32" s="26" t="str">
        <x:v>V-014</x:v>
      </x:c>
      <x:c r="D32" s="22" t="str">
        <x:f>IF(C32="","",IF(COUNTIFS('VENTAS'!$A$5:$A$254,C32,'VENTAS'!$C$5:$C$254,"&lt;&gt;")=1,INDEX('VENTAS'!$C$5:$C$254,MATCH(C32,'VENTAS'!$A$5:$A$254,0)),"ID no encontrado"))</x:f>
        <x:v>Reinel</x:v>
      </x:c>
      <x:c r="E32" s="22" t="str">
        <x:f>IF(C32="","",IF(COUNTIFS('VENTAS'!$A$5:$A$254,C32,'VENTAS'!$C$5:$C$254,"&lt;&gt;")=1,INDEX('VENTAS'!$D$5:$D$254,MATCH(C32,'VENTAS'!$A$5:$A$254,0)),"ID no encontrado"))</x:f>
        <x:v>212 Nyc</x:v>
      </x:c>
      <x:c r="F32" s="26" t="str">
        <x:v>Pago móvil</x:v>
      </x:c>
      <x:c r="G32" s="27" t="n">
        <x:v>18183</x:v>
      </x:c>
      <x:c r="H32" s="27" t="str"/>
      <x:c r="I32" s="26" t="str">
        <x:v>BCV</x:v>
      </x:c>
      <x:c r="J32" s="30" t="str"/>
      <x:c r="K32" s="28" t="str">
        <x:f>IF(B32="","",IF(ISNUMBER(H32),H32,IF(AND(ISNUMBER(G32),ISNUMBER(J32),J32&gt;0),ROUND(G32/J32,2),"")))</x:f>
      </x:c>
      <x:c r="L32" s="31" t="str">
        <x:v>4795</x:v>
      </x:c>
      <x:c r="M32" s="26" t="str">
        <x:v>Cuota</x:v>
      </x:c>
      <x:c r="N32" s="26" t="str">
        <x:v>Incluir</x:v>
      </x:c>
      <x:c r="O32" s="22" t="str">
        <x:v> Falta equivalente aplicado a la deuda; no se inventa tasa histórica.</x:v>
      </x:c>
      <x:c r="P32" s="22" t="str">
        <x:v>Excel CONTROL!F18; M-0163</x:v>
      </x:c>
      <x:c r="Q32" s="22" t="str">
        <x:f>IF(B32="","",IF(C32="","Falta ID venta",IF(D32="ID no encontrado","ID venta inválido",IF(COUNTIFS('PAGOS'!$A$5:$A$504,A32,'PAGOS'!$B$5:$B$504,"&gt;0")&gt;1,"ID duplicado",IF(AND(L32&lt;&gt;"",COUNTIFS('PAGOS'!$L$5:$L$504,L32,'PAGOS'!$B$5:$B$504,B32,'PAGOS'!$F$5:$F$504,F32)&gt;1),"Referencia repetida",IF(N32&lt;&gt;"Incluir",N32,IF(NOT(ISNUMBER(K32)),"Falta equivalente","Aplicar")))))))</x:f>
        <x:v>Falta equivalente</x:v>
      </x:c>
    </x:row>
    <x:row r="33" ht="25" customHeight="1">
      <x:c r="A33" s="22" t="str">
        <x:v>P-029</x:v>
      </x:c>
      <x:c r="B33" s="25" t="n">
        <x:v>46231</x:v>
      </x:c>
      <x:c r="C33" s="26" t="str">
        <x:v>V-018</x:v>
      </x:c>
      <x:c r="D33" s="22" t="str">
        <x:f>IF(C33="","",IF(COUNTIFS('VENTAS'!$A$5:$A$254,C33,'VENTAS'!$C$5:$C$254,"&lt;&gt;")=1,INDEX('VENTAS'!$C$5:$C$254,MATCH(C33,'VENTAS'!$A$5:$A$254,0)),"ID no encontrado"))</x:f>
        <x:v>Polanco</x:v>
      </x:c>
      <x:c r="E33" s="22" t="str">
        <x:f>IF(C33="","",IF(COUNTIFS('VENTAS'!$A$5:$A$254,C33,'VENTAS'!$C$5:$C$254,"&lt;&gt;")=1,INDEX('VENTAS'!$D$5:$D$254,MATCH(C33,'VENTAS'!$A$5:$A$254,0)),"ID no encontrado"))</x:f>
        <x:v>Tommy</x:v>
      </x:c>
      <x:c r="F33" s="26" t="str">
        <x:v>Pago móvil</x:v>
      </x:c>
      <x:c r="G33" s="27" t="n">
        <x:v>8854.58</x:v>
      </x:c>
      <x:c r="H33" s="27" t="n">
        <x:v>12</x:v>
      </x:c>
      <x:c r="I33" s="26" t="str">
        <x:v>BCV</x:v>
      </x:c>
      <x:c r="J33" s="30" t="n">
        <x:v>737.881667</x:v>
      </x:c>
      <x:c r="K33" s="28" t="n">
        <x:f>IF(B33="","",IF(ISNUMBER(H33),H33,IF(AND(ISNUMBER(G33),ISNUMBER(J33),J33&gt;0),ROUND(G33/J33,2),"")))</x:f>
        <x:v>12</x:v>
      </x:c>
      <x:c r="L33" s="31" t="str">
        <x:v>1826</x:v>
      </x:c>
      <x:c r="M33" s="26" t="str">
        <x:v>Cuota</x:v>
      </x:c>
      <x:c r="N33" s="26" t="str">
        <x:v>Incluir</x:v>
      </x:c>
      <x:c r="O33" s="22" t="str"/>
      <x:c r="P33" s="22" t="str">
        <x:v>Excel CONTROL!F21; M-0122; M-0111</x:v>
      </x:c>
      <x:c r="Q33" s="22" t="str">
        <x:f>IF(B33="","",IF(C33="","Falta ID venta",IF(D33="ID no encontrado","ID venta inválido",IF(COUNTIFS('PAGOS'!$A$5:$A$504,A33,'PAGOS'!$B$5:$B$504,"&gt;0")&gt;1,"ID duplicado",IF(AND(L33&lt;&gt;"",COUNTIFS('PAGOS'!$L$5:$L$504,L33,'PAGOS'!$B$5:$B$504,B33,'PAGOS'!$F$5:$F$504,F33)&gt;1),"Referencia repetida",IF(N33&lt;&gt;"Incluir",N33,IF(NOT(ISNUMBER(K33)),"Falta equivalente","Aplicar")))))))</x:f>
        <x:v>Aplicar</x:v>
      </x:c>
    </x:row>
    <x:row r="34" ht="25" customHeight="1">
      <x:c r="A34" s="22" t="str">
        <x:v>P-030</x:v>
      </x:c>
      <x:c r="B34" s="25" t="n">
        <x:v>46237</x:v>
      </x:c>
      <x:c r="C34" s="26" t="str">
        <x:v>V-018</x:v>
      </x:c>
      <x:c r="D34" s="22" t="str">
        <x:f>IF(C34="","",IF(COUNTIFS('VENTAS'!$A$5:$A$254,C34,'VENTAS'!$C$5:$C$254,"&lt;&gt;")=1,INDEX('VENTAS'!$C$5:$C$254,MATCH(C34,'VENTAS'!$A$5:$A$254,0)),"ID no encontrado"))</x:f>
        <x:v>Polanco</x:v>
      </x:c>
      <x:c r="E34" s="22" t="str">
        <x:f>IF(C34="","",IF(COUNTIFS('VENTAS'!$A$5:$A$254,C34,'VENTAS'!$C$5:$C$254,"&lt;&gt;")=1,INDEX('VENTAS'!$D$5:$D$254,MATCH(C34,'VENTAS'!$A$5:$A$254,0)),"ID no encontrado"))</x:f>
        <x:v>Tommy</x:v>
      </x:c>
      <x:c r="F34" s="26" t="str">
        <x:v>Pago móvil</x:v>
      </x:c>
      <x:c r="G34" s="27" t="n">
        <x:v>8985.44</x:v>
      </x:c>
      <x:c r="H34" s="27" t="n">
        <x:v>12</x:v>
      </x:c>
      <x:c r="I34" s="26" t="str">
        <x:v>BCV</x:v>
      </x:c>
      <x:c r="J34" s="30" t="n">
        <x:v>748.786667</x:v>
      </x:c>
      <x:c r="K34" s="28" t="n">
        <x:f>IF(B34="","",IF(ISNUMBER(H34),H34,IF(AND(ISNUMBER(G34),ISNUMBER(J34),J34&gt;0),ROUND(G34/J34,2),"")))</x:f>
        <x:v>12</x:v>
      </x:c>
      <x:c r="L34" s="31" t="str">
        <x:v>5170</x:v>
      </x:c>
      <x:c r="M34" s="26" t="str">
        <x:v>Cuota</x:v>
      </x:c>
      <x:c r="N34" s="26" t="str">
        <x:v>Incluir</x:v>
      </x:c>
      <x:c r="O34" s="22" t="str"/>
      <x:c r="P34" s="22" t="str">
        <x:v>Excel CONTROL!I21; M-0149; M-0146</x:v>
      </x:c>
      <x:c r="Q34" s="22" t="str">
        <x:f>IF(B34="","",IF(C34="","Falta ID venta",IF(D34="ID no encontrado","ID venta inválido",IF(COUNTIFS('PAGOS'!$A$5:$A$504,A34,'PAGOS'!$B$5:$B$504,"&gt;0")&gt;1,"ID duplicado",IF(AND(L34&lt;&gt;"",COUNTIFS('PAGOS'!$L$5:$L$504,L34,'PAGOS'!$B$5:$B$504,B34,'PAGOS'!$F$5:$F$504,F34)&gt;1),"Referencia repetida",IF(N34&lt;&gt;"Incluir",N34,IF(NOT(ISNUMBER(K34)),"Falta equivalente","Aplicar")))))))</x:f>
        <x:v>Aplicar</x:v>
      </x:c>
    </x:row>
    <x:row r="35" ht="25" customHeight="1">
      <x:c r="A35" s="22" t="str">
        <x:v>P-031</x:v>
      </x:c>
      <x:c r="B35" s="25" t="n">
        <x:v>46250</x:v>
      </x:c>
      <x:c r="C35" s="26" t="str">
        <x:v>V-020</x:v>
      </x:c>
      <x:c r="D35" s="22" t="str">
        <x:f>IF(C35="","",IF(COUNTIFS('VENTAS'!$A$5:$A$254,C35,'VENTAS'!$C$5:$C$254,"&lt;&gt;")=1,INDEX('VENTAS'!$C$5:$C$254,MATCH(C35,'VENTAS'!$A$5:$A$254,0)),"ID no encontrado"))</x:f>
        <x:v>Anderson</x:v>
      </x:c>
      <x:c r="E35" s="22" t="str">
        <x:f>IF(C35="","",IF(COUNTIFS('VENTAS'!$A$5:$A$254,C35,'VENTAS'!$C$5:$C$254,"&lt;&gt;")=1,INDEX('VENTAS'!$D$5:$D$254,MATCH(C35,'VENTAS'!$A$5:$A$254,0)),"ID no encontrado"))</x:f>
        <x:v>Acqua di Gio</x:v>
      </x:c>
      <x:c r="F35" s="26" t="str">
        <x:v>Pago móvil</x:v>
      </x:c>
      <x:c r="G35" s="27" t="n">
        <x:v>5400</x:v>
      </x:c>
      <x:c r="H35" s="27" t="n">
        <x:v>7</x:v>
      </x:c>
      <x:c r="I35" s="26" t="str">
        <x:v>BCV</x:v>
      </x:c>
      <x:c r="J35" s="30" t="n">
        <x:v>771.428571</x:v>
      </x:c>
      <x:c r="K35" s="28" t="n">
        <x:f>IF(B35="","",IF(ISNUMBER(H35),H35,IF(AND(ISNUMBER(G35),ISNUMBER(J35),J35&gt;0),ROUND(G35/J35,2),"")))</x:f>
        <x:v>7</x:v>
      </x:c>
      <x:c r="L35" s="31" t="str">
        <x:v>2265</x:v>
      </x:c>
      <x:c r="M35" s="26" t="str">
        <x:v>Cuota</x:v>
      </x:c>
      <x:c r="N35" s="26" t="str">
        <x:v>Incluir</x:v>
      </x:c>
      <x:c r="O35" s="22" t="str"/>
      <x:c r="P35" s="22" t="str">
        <x:v>Excel CONTROL!F23; M-0227; M-0224</x:v>
      </x:c>
      <x:c r="Q35" s="22" t="str">
        <x:f>IF(B35="","",IF(C35="","Falta ID venta",IF(D35="ID no encontrado","ID venta inválido",IF(COUNTIFS('PAGOS'!$A$5:$A$504,A35,'PAGOS'!$B$5:$B$504,"&gt;0")&gt;1,"ID duplicado",IF(AND(L35&lt;&gt;"",COUNTIFS('PAGOS'!$L$5:$L$504,L35,'PAGOS'!$B$5:$B$504,B35,'PAGOS'!$F$5:$F$504,F35)&gt;1),"Referencia repetida",IF(N35&lt;&gt;"Incluir",N35,IF(NOT(ISNUMBER(K35)),"Falta equivalente","Aplicar")))))))</x:f>
        <x:v>Aplicar</x:v>
      </x:c>
    </x:row>
    <x:row r="36" ht="25" customHeight="1">
      <x:c r="A36" s="22" t="str">
        <x:v>P-032</x:v>
      </x:c>
      <x:c r="B36" s="25" t="n">
        <x:v>46236</x:v>
      </x:c>
      <x:c r="C36" s="26" t="str">
        <x:v>V-021</x:v>
      </x:c>
      <x:c r="D36" s="22" t="str">
        <x:f>IF(C36="","",IF(COUNTIFS('VENTAS'!$A$5:$A$254,C36,'VENTAS'!$C$5:$C$254,"&lt;&gt;")=1,INDEX('VENTAS'!$C$5:$C$254,MATCH(C36,'VENTAS'!$A$5:$A$254,0)),"ID no encontrado"))</x:f>
        <x:v>Adolfito</x:v>
      </x:c>
      <x:c r="E36" s="22" t="str">
        <x:f>IF(C36="","",IF(COUNTIFS('VENTAS'!$A$5:$A$254,C36,'VENTAS'!$C$5:$C$254,"&lt;&gt;")=1,INDEX('VENTAS'!$D$5:$D$254,MATCH(C36,'VENTAS'!$A$5:$A$254,0)),"ID no encontrado"))</x:f>
        <x:v>Scandal</x:v>
      </x:c>
      <x:c r="F36" s="26" t="str">
        <x:v>Pago móvil</x:v>
      </x:c>
      <x:c r="G36" s="27" t="n">
        <x:v>8212.93</x:v>
      </x:c>
      <x:c r="H36" s="27" t="n">
        <x:v>11</x:v>
      </x:c>
      <x:c r="I36" s="26" t="str">
        <x:v>BCV</x:v>
      </x:c>
      <x:c r="J36" s="30" t="n">
        <x:v>746.63</x:v>
      </x:c>
      <x:c r="K36" s="28" t="n">
        <x:f>IF(B36="","",IF(ISNUMBER(H36),H36,IF(AND(ISNUMBER(G36),ISNUMBER(J36),J36&gt;0),ROUND(G36/J36,2),"")))</x:f>
        <x:v>11</x:v>
      </x:c>
      <x:c r="L36" s="31" t="str">
        <x:v>1103</x:v>
      </x:c>
      <x:c r="M36" s="26" t="str">
        <x:v>Cuota</x:v>
      </x:c>
      <x:c r="N36" s="26" t="str">
        <x:v>Incluir</x:v>
      </x:c>
      <x:c r="O36" s="22" t="str"/>
      <x:c r="P36" s="22" t="str">
        <x:v>Excel CONTROL!F24; M-0143; M-0138</x:v>
      </x:c>
      <x:c r="Q36" s="22" t="str">
        <x:f>IF(B36="","",IF(C36="","Falta ID venta",IF(D36="ID no encontrado","ID venta inválido",IF(COUNTIFS('PAGOS'!$A$5:$A$504,A36,'PAGOS'!$B$5:$B$504,"&gt;0")&gt;1,"ID duplicado",IF(AND(L36&lt;&gt;"",COUNTIFS('PAGOS'!$L$5:$L$504,L36,'PAGOS'!$B$5:$B$504,B36,'PAGOS'!$F$5:$F$504,F36)&gt;1),"Referencia repetida",IF(N36&lt;&gt;"Incluir",N36,IF(NOT(ISNUMBER(K36)),"Falta equivalente","Aplicar")))))))</x:f>
        <x:v>Aplicar</x:v>
      </x:c>
    </x:row>
    <x:row r="37" ht="25" customHeight="1">
      <x:c r="A37" s="22" t="str">
        <x:v>P-033</x:v>
      </x:c>
      <x:c r="B37" s="25" t="n">
        <x:v>46236</x:v>
      </x:c>
      <x:c r="C37" s="26" t="str">
        <x:v>V-022</x:v>
      </x:c>
      <x:c r="D37" s="22" t="str">
        <x:f>IF(C37="","",IF(COUNTIFS('VENTAS'!$A$5:$A$254,C37,'VENTAS'!$C$5:$C$254,"&lt;&gt;")=1,INDEX('VENTAS'!$C$5:$C$254,MATCH(C37,'VENTAS'!$A$5:$A$254,0)),"ID no encontrado"))</x:f>
        <x:v>Rafael</x:v>
      </x:c>
      <x:c r="E37" s="22" t="str">
        <x:f>IF(C37="","",IF(COUNTIFS('VENTAS'!$A$5:$A$254,C37,'VENTAS'!$C$5:$C$254,"&lt;&gt;")=1,INDEX('VENTAS'!$D$5:$D$254,MATCH(C37,'VENTAS'!$A$5:$A$254,0)),"ID no encontrado"))</x:f>
        <x:v>Invictus</x:v>
      </x:c>
      <x:c r="F37" s="26" t="str">
        <x:v>Pago móvil</x:v>
      </x:c>
      <x:c r="G37" s="27" t="n">
        <x:v>5226.34</x:v>
      </x:c>
      <x:c r="H37" s="27" t="n">
        <x:v>7</x:v>
      </x:c>
      <x:c r="I37" s="26" t="str">
        <x:v>BCV</x:v>
      </x:c>
      <x:c r="J37" s="30" t="n">
        <x:v>746.62</x:v>
      </x:c>
      <x:c r="K37" s="28" t="n">
        <x:f>IF(B37="","",IF(ISNUMBER(H37),H37,IF(AND(ISNUMBER(G37),ISNUMBER(J37),J37&gt;0),ROUND(G37/J37,2),"")))</x:f>
        <x:v>7</x:v>
      </x:c>
      <x:c r="L37" s="31" t="str">
        <x:v>0666</x:v>
      </x:c>
      <x:c r="M37" s="26" t="str">
        <x:v>Cuota</x:v>
      </x:c>
      <x:c r="N37" s="26" t="str">
        <x:v>Incluir</x:v>
      </x:c>
      <x:c r="O37" s="22" t="str"/>
      <x:c r="P37" s="22" t="str">
        <x:v>Excel CONTROL!F25; M-0144; M-0140</x:v>
      </x:c>
      <x:c r="Q37" s="22" t="str">
        <x:f>IF(B37="","",IF(C37="","Falta ID venta",IF(D37="ID no encontrado","ID venta inválido",IF(COUNTIFS('PAGOS'!$A$5:$A$504,A37,'PAGOS'!$B$5:$B$504,"&gt;0")&gt;1,"ID duplicado",IF(AND(L37&lt;&gt;"",COUNTIFS('PAGOS'!$L$5:$L$504,L37,'PAGOS'!$B$5:$B$504,B37,'PAGOS'!$F$5:$F$504,F37)&gt;1),"Referencia repetida",IF(N37&lt;&gt;"Incluir",N37,IF(NOT(ISNUMBER(K37)),"Falta equivalente","Aplicar")))))))</x:f>
        <x:v>Aplicar</x:v>
      </x:c>
    </x:row>
    <x:row r="38" ht="25" customHeight="1">
      <x:c r="A38" s="22" t="str">
        <x:v>P-034</x:v>
      </x:c>
      <x:c r="B38" s="25" t="n">
        <x:v>46249</x:v>
      </x:c>
      <x:c r="C38" s="26" t="str">
        <x:v>V-022</x:v>
      </x:c>
      <x:c r="D38" s="22" t="str">
        <x:f>IF(C38="","",IF(COUNTIFS('VENTAS'!$A$5:$A$254,C38,'VENTAS'!$C$5:$C$254,"&lt;&gt;")=1,INDEX('VENTAS'!$C$5:$C$254,MATCH(C38,'VENTAS'!$A$5:$A$254,0)),"ID no encontrado"))</x:f>
        <x:v>Rafael</x:v>
      </x:c>
      <x:c r="E38" s="22" t="str">
        <x:f>IF(C38="","",IF(COUNTIFS('VENTAS'!$A$5:$A$254,C38,'VENTAS'!$C$5:$C$254,"&lt;&gt;")=1,INDEX('VENTAS'!$D$5:$D$254,MATCH(C38,'VENTAS'!$A$5:$A$254,0)),"ID no encontrado"))</x:f>
        <x:v>Invictus</x:v>
      </x:c>
      <x:c r="F38" s="26" t="str">
        <x:v>Pago móvil</x:v>
      </x:c>
      <x:c r="G38" s="27" t="n">
        <x:v>5398</x:v>
      </x:c>
      <x:c r="H38" s="27" t="n">
        <x:v>7</x:v>
      </x:c>
      <x:c r="I38" s="26" t="str">
        <x:v>BCV</x:v>
      </x:c>
      <x:c r="J38" s="30" t="n">
        <x:v>771.142857</x:v>
      </x:c>
      <x:c r="K38" s="28" t="n">
        <x:f>IF(B38="","",IF(ISNUMBER(H38),H38,IF(AND(ISNUMBER(G38),ISNUMBER(J38),J38&gt;0),ROUND(G38/J38,2),"")))</x:f>
        <x:v>7</x:v>
      </x:c>
      <x:c r="L38" s="31" t="str">
        <x:v>8343</x:v>
      </x:c>
      <x:c r="M38" s="26" t="str">
        <x:v>Cuota</x:v>
      </x:c>
      <x:c r="N38" s="26" t="str">
        <x:v>Incluir</x:v>
      </x:c>
      <x:c r="O38" s="22" t="str"/>
      <x:c r="P38" s="22" t="str">
        <x:v>Excel CONTROL!I25; M-0225; M-0217</x:v>
      </x:c>
      <x:c r="Q38" s="22" t="str">
        <x:f>IF(B38="","",IF(C38="","Falta ID venta",IF(D38="ID no encontrado","ID venta inválido",IF(COUNTIFS('PAGOS'!$A$5:$A$504,A38,'PAGOS'!$B$5:$B$504,"&gt;0")&gt;1,"ID duplicado",IF(AND(L38&lt;&gt;"",COUNTIFS('PAGOS'!$L$5:$L$504,L38,'PAGOS'!$B$5:$B$504,B38,'PAGOS'!$F$5:$F$504,F38)&gt;1),"Referencia repetida",IF(N38&lt;&gt;"Incluir",N38,IF(NOT(ISNUMBER(K38)),"Falta equivalente","Aplicar")))))))</x:f>
        <x:v>Aplicar</x:v>
      </x:c>
    </x:row>
    <x:row r="39" ht="25" customHeight="1">
      <x:c r="A39" s="22" t="str">
        <x:v>P-035</x:v>
      </x:c>
      <x:c r="B39" s="25" t="n">
        <x:v>46249</x:v>
      </x:c>
      <x:c r="C39" s="26" t="str">
        <x:v>V-032</x:v>
      </x:c>
      <x:c r="D39" s="22" t="str">
        <x:f>IF(C39="","",IF(COUNTIFS('VENTAS'!$A$5:$A$254,C39,'VENTAS'!$C$5:$C$254,"&lt;&gt;")=1,INDEX('VENTAS'!$C$5:$C$254,MATCH(C39,'VENTAS'!$A$5:$A$254,0)),"ID no encontrado"))</x:f>
        <x:v>Apostol</x:v>
      </x:c>
      <x:c r="E39" s="22" t="str">
        <x:f>IF(C39="","",IF(COUNTIFS('VENTAS'!$A$5:$A$254,C39,'VENTAS'!$C$5:$C$254,"&lt;&gt;")=1,INDEX('VENTAS'!$D$5:$D$254,MATCH(C39,'VENTAS'!$A$5:$A$254,0)),"ID no encontrado"))</x:f>
        <x:v>Sauvage Dior</x:v>
      </x:c>
      <x:c r="F39" s="26" t="str">
        <x:v>Pago móvil</x:v>
      </x:c>
      <x:c r="G39" s="27" t="n">
        <x:v>9252.86</x:v>
      </x:c>
      <x:c r="H39" s="27" t="n">
        <x:v>12</x:v>
      </x:c>
      <x:c r="I39" s="26" t="str">
        <x:v>BCV</x:v>
      </x:c>
      <x:c r="J39" s="30" t="n">
        <x:v>771.071667</x:v>
      </x:c>
      <x:c r="K39" s="28" t="n">
        <x:f>IF(B39="","",IF(ISNUMBER(H39),H39,IF(AND(ISNUMBER(G39),ISNUMBER(J39),J39&gt;0),ROUND(G39/J39,2),"")))</x:f>
        <x:v>12</x:v>
      </x:c>
      <x:c r="L39" s="31" t="str">
        <x:v>7526</x:v>
      </x:c>
      <x:c r="M39" s="26" t="str">
        <x:v>Cuota</x:v>
      </x:c>
      <x:c r="N39" s="26" t="str">
        <x:v>Incluir</x:v>
      </x:c>
      <x:c r="O39" s="22" t="str"/>
      <x:c r="P39" s="22" t="str">
        <x:v>Excel CONTROL!F35; M-0226; M-0219</x:v>
      </x:c>
      <x:c r="Q39" s="22" t="str">
        <x:f>IF(B39="","",IF(C39="","Falta ID venta",IF(D39="ID no encontrado","ID venta inválido",IF(COUNTIFS('PAGOS'!$A$5:$A$504,A39,'PAGOS'!$B$5:$B$504,"&gt;0")&gt;1,"ID duplicado",IF(AND(L39&lt;&gt;"",COUNTIFS('PAGOS'!$L$5:$L$504,L39,'PAGOS'!$B$5:$B$504,B39,'PAGOS'!$F$5:$F$504,F39)&gt;1),"Referencia repetida",IF(N39&lt;&gt;"Incluir",N39,IF(NOT(ISNUMBER(K39)),"Falta equivalente","Aplicar")))))))</x:f>
        <x:v>Aplicar</x:v>
      </x:c>
    </x:row>
    <x:row r="40" ht="25" customHeight="1">
      <x:c r="A40" s="22" t="str">
        <x:v>P-036</x:v>
      </x:c>
      <x:c r="B40" s="25" t="n">
        <x:v>46246</x:v>
      </x:c>
      <x:c r="C40" s="26" t="str">
        <x:v>V-035</x:v>
      </x:c>
      <x:c r="D40" s="22" t="str">
        <x:f>IF(C40="","",IF(COUNTIFS('VENTAS'!$A$5:$A$254,C40,'VENTAS'!$C$5:$C$254,"&lt;&gt;")=1,INDEX('VENTAS'!$C$5:$C$254,MATCH(C40,'VENTAS'!$A$5:$A$254,0)),"ID no encontrado"))</x:f>
        <x:v>Ricardo Gomez</x:v>
      </x:c>
      <x:c r="E40" s="22" t="str">
        <x:f>IF(C40="","",IF(COUNTIFS('VENTAS'!$A$5:$A$254,C40,'VENTAS'!$C$5:$C$254,"&lt;&gt;")=1,INDEX('VENTAS'!$D$5:$D$254,MATCH(C40,'VENTAS'!$A$5:$A$254,0)),"ID no encontrado"))</x:f>
        <x:v>Club de Nuit Intense</x:v>
      </x:c>
      <x:c r="F40" s="26" t="str">
        <x:v>Pago móvil</x:v>
      </x:c>
      <x:c r="G40" s="27" t="n">
        <x:v>8356</x:v>
      </x:c>
      <x:c r="H40" s="27" t="n">
        <x:v>9.5</x:v>
      </x:c>
      <x:c r="I40" s="26" t="str">
        <x:v>USDT</x:v>
      </x:c>
      <x:c r="J40" s="30" t="n">
        <x:v>879.578947</x:v>
      </x:c>
      <x:c r="K40" s="28" t="n">
        <x:f>IF(B40="","",IF(ISNUMBER(H40),H40,IF(AND(ISNUMBER(G40),ISNUMBER(J40),J40&gt;0),ROUND(G40/J40,2),"")))</x:f>
        <x:v>9.5</x:v>
      </x:c>
      <x:c r="L40" s="31" t="str">
        <x:v>4657</x:v>
      </x:c>
      <x:c r="M40" s="26" t="str">
        <x:v>Cuota</x:v>
      </x:c>
      <x:c r="N40" s="26" t="str">
        <x:v>Incluir</x:v>
      </x:c>
      <x:c r="O40" s="22" t="str">
        <x:v> Equivalente 9,50 según inicial / mensaje «9.5 afiliado».</x:v>
      </x:c>
      <x:c r="P40" s="22" t="str">
        <x:v>Excel CONTROL!F38; M-0210</x:v>
      </x:c>
      <x:c r="Q40" s="22" t="str">
        <x:f>IF(B40="","",IF(C40="","Falta ID venta",IF(D40="ID no encontrado","ID venta inválido",IF(COUNTIFS('PAGOS'!$A$5:$A$504,A40,'PAGOS'!$B$5:$B$504,"&gt;0")&gt;1,"ID duplicado",IF(AND(L40&lt;&gt;"",COUNTIFS('PAGOS'!$L$5:$L$504,L40,'PAGOS'!$B$5:$B$504,B40,'PAGOS'!$F$5:$F$504,F40)&gt;1),"Referencia repetida",IF(N40&lt;&gt;"Incluir",N40,IF(NOT(ISNUMBER(K40)),"Falta equivalente","Aplicar")))))))</x:f>
        <x:v>Aplicar</x:v>
      </x:c>
    </x:row>
    <x:row r="41" ht="25" customHeight="1">
      <x:c r="A41" s="22" t="str">
        <x:v>P-037</x:v>
      </x:c>
      <x:c r="B41" s="25" t="n">
        <x:v>46236</x:v>
      </x:c>
      <x:c r="C41" s="26" t="str">
        <x:v>V-016</x:v>
      </x:c>
      <x:c r="D41" s="22" t="str">
        <x:f>IF(C41="","",IF(COUNTIFS('VENTAS'!$A$5:$A$254,C41,'VENTAS'!$C$5:$C$254,"&lt;&gt;")=1,INDEX('VENTAS'!$C$5:$C$254,MATCH(C41,'VENTAS'!$A$5:$A$254,0)),"ID no encontrado"))</x:f>
        <x:v>Mirleidy</x:v>
      </x:c>
      <x:c r="E41" s="22" t="n">
        <x:f>IF(C41="","",IF(COUNTIFS('VENTAS'!$A$5:$A$254,C41,'VENTAS'!$C$5:$C$254,"&lt;&gt;")=1,INDEX('VENTAS'!$D$5:$D$254,MATCH(C41,'VENTAS'!$A$5:$A$254,0)),"ID no encontrado"))</x:f>
        <x:v>360</x:v>
      </x:c>
      <x:c r="F41" s="26" t="str">
        <x:v>Efectivo</x:v>
      </x:c>
      <x:c r="G41" s="27" t="str"/>
      <x:c r="H41" s="27" t="n">
        <x:v>12</x:v>
      </x:c>
      <x:c r="I41" s="26" t="str">
        <x:v>Divisa</x:v>
      </x:c>
      <x:c r="J41" s="30" t="str"/>
      <x:c r="K41" s="28" t="n">
        <x:f>IF(B41="","",IF(ISNUMBER(H41),H41,IF(AND(ISNUMBER(G41),ISNUMBER(J41),J41&gt;0),ROUND(G41/J41,2),"")))</x:f>
        <x:v>12</x:v>
      </x:c>
      <x:c r="L41" s="31" t="str"/>
      <x:c r="M41" s="26" t="str">
        <x:v>Cuota</x:v>
      </x:c>
      <x:c r="N41" s="26" t="str">
        <x:v>Incluir</x:v>
      </x:c>
      <x:c r="O41" s="22" t="str"/>
      <x:c r="P41" s="22" t="str">
        <x:v>M-0141</x:v>
      </x:c>
      <x:c r="Q41" s="22" t="str">
        <x:f>IF(B41="","",IF(C41="","Falta ID venta",IF(D41="ID no encontrado","ID venta inválido",IF(COUNTIFS('PAGOS'!$A$5:$A$504,A41,'PAGOS'!$B$5:$B$504,"&gt;0")&gt;1,"ID duplicado",IF(AND(L41&lt;&gt;"",COUNTIFS('PAGOS'!$L$5:$L$504,L41,'PAGOS'!$B$5:$B$504,B41,'PAGOS'!$F$5:$F$504,F41)&gt;1),"Referencia repetida",IF(N41&lt;&gt;"Incluir",N41,IF(NOT(ISNUMBER(K41)),"Falta equivalente","Aplicar")))))))</x:f>
        <x:v>Aplicar</x:v>
      </x:c>
    </x:row>
    <x:row r="42" ht="25" customHeight="1">
      <x:c r="A42" s="22" t="str">
        <x:v>P-038</x:v>
      </x:c>
      <x:c r="B42" s="25" t="n">
        <x:v>46236</x:v>
      </x:c>
      <x:c r="C42" s="26" t="str">
        <x:v>V-017</x:v>
      </x:c>
      <x:c r="D42" s="22" t="str">
        <x:f>IF(C42="","",IF(COUNTIFS('VENTAS'!$A$5:$A$254,C42,'VENTAS'!$C$5:$C$254,"&lt;&gt;")=1,INDEX('VENTAS'!$C$5:$C$254,MATCH(C42,'VENTAS'!$A$5:$A$254,0)),"ID no encontrado"))</x:f>
        <x:v>Mirleidy</x:v>
      </x:c>
      <x:c r="E42" s="22" t="str">
        <x:f>IF(C42="","",IF(COUNTIFS('VENTAS'!$A$5:$A$254,C42,'VENTAS'!$C$5:$C$254,"&lt;&gt;")=1,INDEX('VENTAS'!$D$5:$D$254,MATCH(C42,'VENTAS'!$A$5:$A$254,0)),"ID no encontrado"))</x:f>
        <x:v>Asad Bourbon</x:v>
      </x:c>
      <x:c r="F42" s="26" t="str">
        <x:v>Efectivo</x:v>
      </x:c>
      <x:c r="G42" s="27" t="str"/>
      <x:c r="H42" s="27" t="n">
        <x:v>16</x:v>
      </x:c>
      <x:c r="I42" s="26" t="str">
        <x:v>Divisa</x:v>
      </x:c>
      <x:c r="J42" s="30" t="str"/>
      <x:c r="K42" s="28" t="n">
        <x:f>IF(B42="","",IF(ISNUMBER(H42),H42,IF(AND(ISNUMBER(G42),ISNUMBER(J42),J42&gt;0),ROUND(G42/J42,2),"")))</x:f>
        <x:v>16</x:v>
      </x:c>
      <x:c r="L42" s="31" t="str"/>
      <x:c r="M42" s="26" t="str">
        <x:v>Cuota</x:v>
      </x:c>
      <x:c r="N42" s="26" t="str">
        <x:v>Incluir</x:v>
      </x:c>
      <x:c r="O42" s="22" t="str"/>
      <x:c r="P42" s="22" t="str">
        <x:v>M-0142</x:v>
      </x:c>
      <x:c r="Q42" s="22" t="str">
        <x:f>IF(B42="","",IF(C42="","Falta ID venta",IF(D42="ID no encontrado","ID venta inválido",IF(COUNTIFS('PAGOS'!$A$5:$A$504,A42,'PAGOS'!$B$5:$B$504,"&gt;0")&gt;1,"ID duplicado",IF(AND(L42&lt;&gt;"",COUNTIFS('PAGOS'!$L$5:$L$504,L42,'PAGOS'!$B$5:$B$504,B42,'PAGOS'!$F$5:$F$504,F42)&gt;1),"Referencia repetida",IF(N42&lt;&gt;"Incluir",N42,IF(NOT(ISNUMBER(K42)),"Falta equivalente","Aplicar")))))))</x:f>
        <x:v>Aplicar</x:v>
      </x:c>
    </x:row>
    <x:row r="43" ht="25" customHeight="1">
      <x:c r="A43" s="22" t="str">
        <x:v>P-039</x:v>
      </x:c>
      <x:c r="B43" s="25" t="n">
        <x:v>46250</x:v>
      </x:c>
      <x:c r="C43" s="26" t="str">
        <x:v>V-021</x:v>
      </x:c>
      <x:c r="D43" s="22" t="str">
        <x:f>IF(C43="","",IF(COUNTIFS('VENTAS'!$A$5:$A$254,C43,'VENTAS'!$C$5:$C$254,"&lt;&gt;")=1,INDEX('VENTAS'!$C$5:$C$254,MATCH(C43,'VENTAS'!$A$5:$A$254,0)),"ID no encontrado"))</x:f>
        <x:v>Adolfito</x:v>
      </x:c>
      <x:c r="E43" s="22" t="str">
        <x:f>IF(C43="","",IF(COUNTIFS('VENTAS'!$A$5:$A$254,C43,'VENTAS'!$C$5:$C$254,"&lt;&gt;")=1,INDEX('VENTAS'!$D$5:$D$254,MATCH(C43,'VENTAS'!$A$5:$A$254,0)),"ID no encontrado"))</x:f>
        <x:v>Scandal</x:v>
      </x:c>
      <x:c r="F43" s="26" t="str">
        <x:v>Pago móvil</x:v>
      </x:c>
      <x:c r="G43" s="27" t="n">
        <x:v>8482</x:v>
      </x:c>
      <x:c r="H43" s="27" t="n">
        <x:v>11</x:v>
      </x:c>
      <x:c r="I43" s="26" t="str">
        <x:v>BCV</x:v>
      </x:c>
      <x:c r="J43" s="30" t="n">
        <x:v>771.090909</x:v>
      </x:c>
      <x:c r="K43" s="28" t="n">
        <x:f>IF(B43="","",IF(ISNUMBER(H43),H43,IF(AND(ISNUMBER(G43),ISNUMBER(J43),J43&gt;0),ROUND(G43/J43,2),"")))</x:f>
        <x:v>11</x:v>
      </x:c>
      <x:c r="L43" s="31" t="str"/>
      <x:c r="M43" s="26" t="str">
        <x:v>Cuota</x:v>
      </x:c>
      <x:c r="N43" s="26" t="str">
        <x:v>Incluir</x:v>
      </x:c>
      <x:c r="O43" s="22" t="str"/>
      <x:c r="P43" s="22" t="str">
        <x:v>M-0236; M-0233</x:v>
      </x:c>
      <x:c r="Q43" s="22" t="str">
        <x:f>IF(B43="","",IF(C43="","Falta ID venta",IF(D43="ID no encontrado","ID venta inválido",IF(COUNTIFS('PAGOS'!$A$5:$A$504,A43,'PAGOS'!$B$5:$B$504,"&gt;0")&gt;1,"ID duplicado",IF(AND(L43&lt;&gt;"",COUNTIFS('PAGOS'!$L$5:$L$504,L43,'PAGOS'!$B$5:$B$504,B43,'PAGOS'!$F$5:$F$504,F43)&gt;1),"Referencia repetida",IF(N43&lt;&gt;"Incluir",N43,IF(NOT(ISNUMBER(K43)),"Falta equivalente","Aplicar")))))))</x:f>
        <x:v>Aplicar</x:v>
      </x:c>
    </x:row>
    <x:row r="44" ht="25" customHeight="1">
      <x:c r="A44" s="22" t="str">
        <x:v>P-040</x:v>
      </x:c>
      <x:c r="B44" s="25" t="n">
        <x:v>46251</x:v>
      </x:c>
      <x:c r="C44" s="26" t="str">
        <x:v>V-044</x:v>
      </x:c>
      <x:c r="D44" s="22" t="str">
        <x:f>IF(C44="","",IF(COUNTIFS('VENTAS'!$A$5:$A$254,C44,'VENTAS'!$C$5:$C$254,"&lt;&gt;")=1,INDEX('VENTAS'!$C$5:$C$254,MATCH(C44,'VENTAS'!$A$5:$A$254,0)),"ID no encontrado"))</x:f>
        <x:v>Landaeta</x:v>
      </x:c>
      <x:c r="E44" s="22" t="str">
        <x:f>IF(C44="","",IF(COUNTIFS('VENTAS'!$A$5:$A$254,C44,'VENTAS'!$C$5:$C$254,"&lt;&gt;")=1,INDEX('VENTAS'!$D$5:$D$254,MATCH(C44,'VENTAS'!$A$5:$A$254,0)),"ID no encontrado"))</x:f>
        <x:v>Asad</x:v>
      </x:c>
      <x:c r="F44" s="26" t="str">
        <x:v>Pago móvil</x:v>
      </x:c>
      <x:c r="G44" s="27" t="n">
        <x:v>16224</x:v>
      </x:c>
      <x:c r="H44" s="27" t="n">
        <x:v>21</x:v>
      </x:c>
      <x:c r="I44" s="26" t="str">
        <x:v>BCV</x:v>
      </x:c>
      <x:c r="J44" s="30" t="n">
        <x:v>772.571429</x:v>
      </x:c>
      <x:c r="K44" s="28" t="n">
        <x:f>IF(B44="","",IF(ISNUMBER(H44),H44,IF(AND(ISNUMBER(G44),ISNUMBER(J44),J44&gt;0),ROUND(G44/J44,2),"")))</x:f>
        <x:v>21</x:v>
      </x:c>
      <x:c r="L44" s="31" t="str">
        <x:v>6346</x:v>
      </x:c>
      <x:c r="M44" s="26" t="str">
        <x:v>Cuota</x:v>
      </x:c>
      <x:c r="N44" s="26" t="str">
        <x:v>Incluir</x:v>
      </x:c>
      <x:c r="O44" s="22" t="str"/>
      <x:c r="P44" s="22" t="str">
        <x:v>M-0246; M-0240</x:v>
      </x:c>
      <x:c r="Q44" s="22" t="str">
        <x:f>IF(B44="","",IF(C44="","Falta ID venta",IF(D44="ID no encontrado","ID venta inválido",IF(COUNTIFS('PAGOS'!$A$5:$A$504,A44,'PAGOS'!$B$5:$B$504,"&gt;0")&gt;1,"ID duplicado",IF(AND(L44&lt;&gt;"",COUNTIFS('PAGOS'!$L$5:$L$504,L44,'PAGOS'!$B$5:$B$504,B44,'PAGOS'!$F$5:$F$504,F44)&gt;1),"Referencia repetida",IF(N44&lt;&gt;"Incluir",N44,IF(NOT(ISNUMBER(K44)),"Falta equivalente","Aplicar")))))))</x:f>
        <x:v>Aplicar</x:v>
      </x:c>
    </x:row>
    <x:row r="45" ht="25" customHeight="1">
      <x:c r="A45" s="22" t="str">
        <x:v>P-041</x:v>
      </x:c>
      <x:c r="B45" s="25" t="n">
        <x:v>46252</x:v>
      </x:c>
      <x:c r="C45" s="26" t="str">
        <x:v>V-001</x:v>
      </x:c>
      <x:c r="D45" s="22" t="str">
        <x:f>IF(C45="","",IF(COUNTIFS('VENTAS'!$A$5:$A$254,C45,'VENTAS'!$C$5:$C$254,"&lt;&gt;")=1,INDEX('VENTAS'!$C$5:$C$254,MATCH(C45,'VENTAS'!$A$5:$A$254,0)),"ID no encontrado"))</x:f>
        <x:v>Fernanda</x:v>
      </x:c>
      <x:c r="E45" s="22" t="str">
        <x:f>IF(C45="","",IF(COUNTIFS('VENTAS'!$A$5:$A$254,C45,'VENTAS'!$C$5:$C$254,"&lt;&gt;")=1,INDEX('VENTAS'!$D$5:$D$254,MATCH(C45,'VENTAS'!$A$5:$A$254,0)),"ID no encontrado"))</x:f>
        <x:v>Yara Fem</x:v>
      </x:c>
      <x:c r="F45" s="26" t="str">
        <x:v>Pago móvil</x:v>
      </x:c>
      <x:c r="G45" s="27" t="n">
        <x:v>3886.56</x:v>
      </x:c>
      <x:c r="H45" s="27" t="n">
        <x:v>5</x:v>
      </x:c>
      <x:c r="I45" s="26" t="str">
        <x:v>BCV</x:v>
      </x:c>
      <x:c r="J45" s="30" t="n">
        <x:v>777.312</x:v>
      </x:c>
      <x:c r="K45" s="28" t="n">
        <x:f>IF(B45="","",IF(ISNUMBER(H45),H45,IF(AND(ISNUMBER(G45),ISNUMBER(J45),J45&gt;0),ROUND(G45/J45,2),"")))</x:f>
        <x:v>5</x:v>
      </x:c>
      <x:c r="L45" s="31" t="str">
        <x:v>2969</x:v>
      </x:c>
      <x:c r="M45" s="26" t="str">
        <x:v>Cuota</x:v>
      </x:c>
      <x:c r="N45" s="26" t="str">
        <x:v>Incluir</x:v>
      </x:c>
      <x:c r="O45" s="22" t="str"/>
      <x:c r="P45" s="22" t="str">
        <x:v>M-0247; M-0242</x:v>
      </x:c>
      <x:c r="Q45" s="22" t="str">
        <x:f>IF(B45="","",IF(C45="","Falta ID venta",IF(D45="ID no encontrado","ID venta inválido",IF(COUNTIFS('PAGOS'!$A$5:$A$504,A45,'PAGOS'!$B$5:$B$504,"&gt;0")&gt;1,"ID duplicado",IF(AND(L45&lt;&gt;"",COUNTIFS('PAGOS'!$L$5:$L$504,L45,'PAGOS'!$B$5:$B$504,B45,'PAGOS'!$F$5:$F$504,F45)&gt;1),"Referencia repetida",IF(N45&lt;&gt;"Incluir",N45,IF(NOT(ISNUMBER(K45)),"Falta equivalente","Aplicar")))))))</x:f>
        <x:v>Aplicar</x:v>
      </x:c>
    </x:row>
    <x:row r="46" ht="25" customHeight="1">
      <x:c r="A46" s="22" t="str">
        <x:v>P-042</x:v>
      </x:c>
      <x:c r="B46" s="25" t="n">
        <x:v>46252</x:v>
      </x:c>
      <x:c r="C46" s="26" t="str">
        <x:v>V-035</x:v>
      </x:c>
      <x:c r="D46" s="22" t="str">
        <x:f>IF(C46="","",IF(COUNTIFS('VENTAS'!$A$5:$A$254,C46,'VENTAS'!$C$5:$C$254,"&lt;&gt;")=1,INDEX('VENTAS'!$C$5:$C$254,MATCH(C46,'VENTAS'!$A$5:$A$254,0)),"ID no encontrado"))</x:f>
        <x:v>Ricardo Gomez</x:v>
      </x:c>
      <x:c r="E46" s="22" t="str">
        <x:f>IF(C46="","",IF(COUNTIFS('VENTAS'!$A$5:$A$254,C46,'VENTAS'!$C$5:$C$254,"&lt;&gt;")=1,INDEX('VENTAS'!$D$5:$D$254,MATCH(C46,'VENTAS'!$A$5:$A$254,0)),"ID no encontrado"))</x:f>
        <x:v>Club de Nuit Intense</x:v>
      </x:c>
      <x:c r="F46" s="26" t="str">
        <x:v>Pago móvil</x:v>
      </x:c>
      <x:c r="G46" s="27" t="n">
        <x:v>8557</x:v>
      </x:c>
      <x:c r="H46" s="27" t="n">
        <x:v>9.5</x:v>
      </x:c>
      <x:c r="I46" s="26" t="str">
        <x:v>USDT</x:v>
      </x:c>
      <x:c r="J46" s="30" t="n">
        <x:v>900.736842</x:v>
      </x:c>
      <x:c r="K46" s="28" t="n">
        <x:f>IF(B46="","",IF(ISNUMBER(H46),H46,IF(AND(ISNUMBER(G46),ISNUMBER(J46),J46&gt;0),ROUND(G46/J46,2),"")))</x:f>
        <x:v>9.5</x:v>
      </x:c>
      <x:c r="L46" s="31" t="str">
        <x:v>2064</x:v>
      </x:c>
      <x:c r="M46" s="26" t="str">
        <x:v>Cuota</x:v>
      </x:c>
      <x:c r="N46" s="26" t="str">
        <x:v>Incluir</x:v>
      </x:c>
      <x:c r="O46" s="22" t="str">
        <x:v> Equivalente 9,50 según inicial / mensaje «9.5 afiliado».</x:v>
      </x:c>
      <x:c r="P46" s="22" t="str">
        <x:v>M-0248</x:v>
      </x:c>
      <x:c r="Q46" s="22" t="str">
        <x:f>IF(B46="","",IF(C46="","Falta ID venta",IF(D46="ID no encontrado","ID venta inválido",IF(COUNTIFS('PAGOS'!$A$5:$A$504,A46,'PAGOS'!$B$5:$B$504,"&gt;0")&gt;1,"ID duplicado",IF(AND(L46&lt;&gt;"",COUNTIFS('PAGOS'!$L$5:$L$504,L46,'PAGOS'!$B$5:$B$504,B46,'PAGOS'!$F$5:$F$504,F46)&gt;1),"Referencia repetida",IF(N46&lt;&gt;"Incluir",N46,IF(NOT(ISNUMBER(K46)),"Falta equivalente","Aplicar")))))))</x:f>
        <x:v>Aplicar</x:v>
      </x:c>
    </x:row>
    <x:row r="47" ht="25" customHeight="1">
      <x:c r="A47" s="22" t="str">
        <x:v>P-043</x:v>
      </x:c>
      <x:c r="B47" s="25" t="n">
        <x:v>46252</x:v>
      </x:c>
      <x:c r="C47" s="26" t="str">
        <x:v>V-023</x:v>
      </x:c>
      <x:c r="D47" s="22" t="str">
        <x:f>IF(C47="","",IF(COUNTIFS('VENTAS'!$A$5:$A$254,C47,'VENTAS'!$C$5:$C$254,"&lt;&gt;")=1,INDEX('VENTAS'!$C$5:$C$254,MATCH(C47,'VENTAS'!$A$5:$A$254,0)),"ID no encontrado"))</x:f>
        <x:v>Ricardo</x:v>
      </x:c>
      <x:c r="E47" s="22" t="str">
        <x:f>IF(C47="","",IF(COUNTIFS('VENTAS'!$A$5:$A$254,C47,'VENTAS'!$C$5:$C$254,"&lt;&gt;")=1,INDEX('VENTAS'!$D$5:$D$254,MATCH(C47,'VENTAS'!$A$5:$A$254,0)),"ID no encontrado"))</x:f>
        <x:v>Acqua di Gio</x:v>
      </x:c>
      <x:c r="F47" s="26" t="str">
        <x:v>Pago móvil</x:v>
      </x:c>
      <x:c r="G47" s="27" t="n">
        <x:v>15466</x:v>
      </x:c>
      <x:c r="H47" s="27" t="n">
        <x:v>20</x:v>
      </x:c>
      <x:c r="I47" s="26" t="str">
        <x:v>BCV</x:v>
      </x:c>
      <x:c r="J47" s="30" t="n">
        <x:v>773.3</x:v>
      </x:c>
      <x:c r="K47" s="28" t="n">
        <x:f>IF(B47="","",IF(ISNUMBER(H47),H47,IF(AND(ISNUMBER(G47),ISNUMBER(J47),J47&gt;0),ROUND(G47/J47,2),"")))</x:f>
        <x:v>20</x:v>
      </x:c>
      <x:c r="L47" s="31" t="str">
        <x:v>4604</x:v>
      </x:c>
      <x:c r="M47" s="26" t="str">
        <x:v>Cuota</x:v>
      </x:c>
      <x:c r="N47" s="26" t="str">
        <x:v>Incluir</x:v>
      </x:c>
      <x:c r="O47" s="22" t="str"/>
      <x:c r="P47" s="22" t="str">
        <x:v>M-0251</x:v>
      </x:c>
      <x:c r="Q47" s="22" t="str">
        <x:f>IF(B47="","",IF(C47="","Falta ID venta",IF(D47="ID no encontrado","ID venta inválido",IF(COUNTIFS('PAGOS'!$A$5:$A$504,A47,'PAGOS'!$B$5:$B$504,"&gt;0")&gt;1,"ID duplicado",IF(AND(L47&lt;&gt;"",COUNTIFS('PAGOS'!$L$5:$L$504,L47,'PAGOS'!$B$5:$B$504,B47,'PAGOS'!$F$5:$F$504,F47)&gt;1),"Referencia repetida",IF(N47&lt;&gt;"Incluir",N47,IF(NOT(ISNUMBER(K47)),"Falta equivalente","Aplicar")))))))</x:f>
        <x:v>Aplicar</x:v>
      </x:c>
    </x:row>
    <x:row r="48" ht="25" customHeight="1">
      <x:c r="A48" s="22" t="str">
        <x:v>P-044</x:v>
      </x:c>
      <x:c r="B48" s="25" t="n">
        <x:v>46255</x:v>
      </x:c>
      <x:c r="C48" s="26" t="str">
        <x:v>V-036</x:v>
      </x:c>
      <x:c r="D48" s="22" t="str">
        <x:f>IF(C48="","",IF(COUNTIFS('VENTAS'!$A$5:$A$254,C48,'VENTAS'!$C$5:$C$254,"&lt;&gt;")=1,INDEX('VENTAS'!$C$5:$C$254,MATCH(C48,'VENTAS'!$A$5:$A$254,0)),"ID no encontrado"))</x:f>
        <x:v>Cristhian Gonzales</x:v>
      </x:c>
      <x:c r="E48" s="22" t="str">
        <x:f>IF(C48="","",IF(COUNTIFS('VENTAS'!$A$5:$A$254,C48,'VENTAS'!$C$5:$C$254,"&lt;&gt;")=1,INDEX('VENTAS'!$D$5:$D$254,MATCH(C48,'VENTAS'!$A$5:$A$254,0)),"ID no encontrado"))</x:f>
        <x:v>9PM Rebel Original</x:v>
      </x:c>
      <x:c r="F48" s="26" t="str">
        <x:v>Pago móvil</x:v>
      </x:c>
      <x:c r="G48" s="27" t="n">
        <x:v>15599.04</x:v>
      </x:c>
      <x:c r="H48" s="27" t="n">
        <x:v>20</x:v>
      </x:c>
      <x:c r="I48" s="26" t="str">
        <x:v>BCV</x:v>
      </x:c>
      <x:c r="J48" s="30" t="n">
        <x:v>779.952</x:v>
      </x:c>
      <x:c r="K48" s="28" t="n">
        <x:f>IF(B48="","",IF(ISNUMBER(H48),H48,IF(AND(ISNUMBER(G48),ISNUMBER(J48),J48&gt;0),ROUND(G48/J48,2),"")))</x:f>
        <x:v>20</x:v>
      </x:c>
      <x:c r="L48" s="31" t="str">
        <x:v>2589</x:v>
      </x:c>
      <x:c r="M48" s="26" t="str">
        <x:v>Cuota</x:v>
      </x:c>
      <x:c r="N48" s="26" t="str">
        <x:v>Incluir</x:v>
      </x:c>
      <x:c r="O48" s="22" t="str"/>
      <x:c r="P48" s="22" t="str">
        <x:v>M-0266; M-0263</x:v>
      </x:c>
      <x:c r="Q48" s="22" t="str">
        <x:f>IF(B48="","",IF(C48="","Falta ID venta",IF(D48="ID no encontrado","ID venta inválido",IF(COUNTIFS('PAGOS'!$A$5:$A$504,A48,'PAGOS'!$B$5:$B$504,"&gt;0")&gt;1,"ID duplicado",IF(AND(L48&lt;&gt;"",COUNTIFS('PAGOS'!$L$5:$L$504,L48,'PAGOS'!$B$5:$B$504,B48,'PAGOS'!$F$5:$F$504,F48)&gt;1),"Referencia repetida",IF(N48&lt;&gt;"Incluir",N48,IF(NOT(ISNUMBER(K48)),"Falta equivalente","Aplicar")))))))</x:f>
        <x:v>Aplicar</x:v>
      </x:c>
    </x:row>
    <x:row r="49" ht="25" customHeight="1">
      <x:c r="A49" s="22" t="str">
        <x:v>P-045</x:v>
      </x:c>
      <x:c r="B49" s="25" t="n">
        <x:v>46256</x:v>
      </x:c>
      <x:c r="C49" s="26" t="str">
        <x:v>V-042</x:v>
      </x:c>
      <x:c r="D49" s="22" t="str">
        <x:f>IF(C49="","",IF(COUNTIFS('VENTAS'!$A$5:$A$254,C49,'VENTAS'!$C$5:$C$254,"&lt;&gt;")=1,INDEX('VENTAS'!$C$5:$C$254,MATCH(C49,'VENTAS'!$A$5:$A$254,0)),"ID no encontrado"))</x:f>
        <x:v>Francheska</x:v>
      </x:c>
      <x:c r="E49" s="22" t="str">
        <x:f>IF(C49="","",IF(COUNTIFS('VENTAS'!$A$5:$A$254,C49,'VENTAS'!$C$5:$C$254,"&lt;&gt;")=1,INDEX('VENTAS'!$D$5:$D$254,MATCH(C49,'VENTAS'!$A$5:$A$254,0)),"ID no encontrado"))</x:f>
        <x:v>Khamrah</x:v>
      </x:c>
      <x:c r="F49" s="26" t="str">
        <x:v>Pago móvil</x:v>
      </x:c>
      <x:c r="G49" s="27" t="n">
        <x:v>16379</x:v>
      </x:c>
      <x:c r="H49" s="27" t="n">
        <x:v>21</x:v>
      </x:c>
      <x:c r="I49" s="26" t="str">
        <x:v>BCV</x:v>
      </x:c>
      <x:c r="J49" s="30" t="n">
        <x:v>779.952381</x:v>
      </x:c>
      <x:c r="K49" s="28" t="n">
        <x:f>IF(B49="","",IF(ISNUMBER(H49),H49,IF(AND(ISNUMBER(G49),ISNUMBER(J49),J49&gt;0),ROUND(G49/J49,2),"")))</x:f>
        <x:v>21</x:v>
      </x:c>
      <x:c r="L49" s="31" t="str">
        <x:v>7442</x:v>
      </x:c>
      <x:c r="M49" s="26" t="str">
        <x:v>Cuota</x:v>
      </x:c>
      <x:c r="N49" s="26" t="str">
        <x:v>Incluir</x:v>
      </x:c>
      <x:c r="O49" s="22" t="str"/>
      <x:c r="P49" s="22" t="str">
        <x:v>M-0267; M-0265</x:v>
      </x:c>
      <x:c r="Q49" s="22" t="str">
        <x:f>IF(B49="","",IF(C49="","Falta ID venta",IF(D49="ID no encontrado","ID venta inválido",IF(COUNTIFS('PAGOS'!$A$5:$A$504,A49,'PAGOS'!$B$5:$B$504,"&gt;0")&gt;1,"ID duplicado",IF(AND(L49&lt;&gt;"",COUNTIFS('PAGOS'!$L$5:$L$504,L49,'PAGOS'!$B$5:$B$504,B49,'PAGOS'!$F$5:$F$504,F49)&gt;1),"Referencia repetida",IF(N49&lt;&gt;"Incluir",N49,IF(NOT(ISNUMBER(K49)),"Falta equivalente","Aplicar")))))))</x:f>
        <x:v>Aplicar</x:v>
      </x:c>
    </x:row>
    <x:row r="50" ht="25" customHeight="1">
      <x:c r="A50" s="22" t="str">
        <x:v>P-046</x:v>
      </x:c>
      <x:c r="B50" s="25" t="n">
        <x:v>46260</x:v>
      </x:c>
      <x:c r="C50" s="26" t="str">
        <x:v>V-048</x:v>
      </x:c>
      <x:c r="D50" s="22" t="str">
        <x:f>IF(C50="","",IF(COUNTIFS('VENTAS'!$A$5:$A$254,C50,'VENTAS'!$C$5:$C$254,"&lt;&gt;")=1,INDEX('VENTAS'!$C$5:$C$254,MATCH(C50,'VENTAS'!$A$5:$A$254,0)),"ID no encontrado"))</x:f>
        <x:v>Ricardo</x:v>
      </x:c>
      <x:c r="E50" s="22" t="str">
        <x:f>IF(C50="","",IF(COUNTIFS('VENTAS'!$A$5:$A$254,C50,'VENTAS'!$C$5:$C$254,"&lt;&gt;")=1,INDEX('VENTAS'!$D$5:$D$254,MATCH(C50,'VENTAS'!$A$5:$A$254,0)),"ID no encontrado"))</x:f>
        <x:v>Amber Oud Haramain</x:v>
      </x:c>
      <x:c r="F50" s="26" t="str">
        <x:v>Pago móvil</x:v>
      </x:c>
      <x:c r="G50" s="27" t="n">
        <x:v>21967</x:v>
      </x:c>
      <x:c r="H50" s="27" t="n">
        <x:v>23</x:v>
      </x:c>
      <x:c r="I50" s="26" t="str">
        <x:v>USDT</x:v>
      </x:c>
      <x:c r="J50" s="30" t="n">
        <x:v>955.086957</x:v>
      </x:c>
      <x:c r="K50" s="28" t="n">
        <x:f>IF(B50="","",IF(ISNUMBER(H50),H50,IF(AND(ISNUMBER(G50),ISNUMBER(J50),J50&gt;0),ROUND(G50/J50,2),"")))</x:f>
        <x:v>23</x:v>
      </x:c>
      <x:c r="L50" s="31" t="str"/>
      <x:c r="M50" s="26" t="str">
        <x:v>Cuota</x:v>
      </x:c>
      <x:c r="N50" s="26" t="str">
        <x:v>Incluir</x:v>
      </x:c>
      <x:c r="O50" s="22" t="str"/>
      <x:c r="P50" s="22" t="str">
        <x:v>M-0288; M-0280</x:v>
      </x:c>
      <x:c r="Q50" s="22" t="str">
        <x:f>IF(B50="","",IF(C50="","Falta ID venta",IF(D50="ID no encontrado","ID venta inválido",IF(COUNTIFS('PAGOS'!$A$5:$A$504,A50,'PAGOS'!$B$5:$B$504,"&gt;0")&gt;1,"ID duplicado",IF(AND(L50&lt;&gt;"",COUNTIFS('PAGOS'!$L$5:$L$504,L50,'PAGOS'!$B$5:$B$504,B50,'PAGOS'!$F$5:$F$504,F50)&gt;1),"Referencia repetida",IF(N50&lt;&gt;"Incluir",N50,IF(NOT(ISNUMBER(K50)),"Falta equivalente","Aplicar")))))))</x:f>
        <x:v>Aplicar</x:v>
      </x:c>
    </x:row>
    <x:row r="51" ht="25" customHeight="1">
      <x:c r="A51" s="22" t="str">
        <x:v>P-047</x:v>
      </x:c>
      <x:c r="B51" s="25" t="n">
        <x:v>46260</x:v>
      </x:c>
      <x:c r="C51" s="26" t="str">
        <x:v>V-049</x:v>
      </x:c>
      <x:c r="D51" s="22" t="str">
        <x:f>IF(C51="","",IF(COUNTIFS('VENTAS'!$A$5:$A$254,C51,'VENTAS'!$C$5:$C$254,"&lt;&gt;")=1,INDEX('VENTAS'!$C$5:$C$254,MATCH(C51,'VENTAS'!$A$5:$A$254,0)),"ID no encontrado"))</x:f>
        <x:v>Ricardo</x:v>
      </x:c>
      <x:c r="E51" s="22" t="str">
        <x:f>IF(C51="","",IF(COUNTIFS('VENTAS'!$A$5:$A$254,C51,'VENTAS'!$C$5:$C$254,"&lt;&gt;")=1,INDEX('VENTAS'!$D$5:$D$254,MATCH(C51,'VENTAS'!$A$5:$A$254,0)),"ID no encontrado"))</x:f>
        <x:v>Acqua di Gio</x:v>
      </x:c>
      <x:c r="F51" s="26" t="str">
        <x:v>Pago móvil</x:v>
      </x:c>
      <x:c r="G51" s="27" t="n">
        <x:v>7641</x:v>
      </x:c>
      <x:c r="H51" s="27" t="n">
        <x:v>8</x:v>
      </x:c>
      <x:c r="I51" s="26" t="str">
        <x:v>USDT</x:v>
      </x:c>
      <x:c r="J51" s="30" t="n">
        <x:v>955.125</x:v>
      </x:c>
      <x:c r="K51" s="28" t="n">
        <x:f>IF(B51="","",IF(ISNUMBER(H51),H51,IF(AND(ISNUMBER(G51),ISNUMBER(J51),J51&gt;0),ROUND(G51/J51,2),"")))</x:f>
        <x:v>8</x:v>
      </x:c>
      <x:c r="L51" s="31" t="str"/>
      <x:c r="M51" s="26" t="str">
        <x:v>Cuota</x:v>
      </x:c>
      <x:c r="N51" s="26" t="str">
        <x:v>Incluir</x:v>
      </x:c>
      <x:c r="O51" s="22" t="str"/>
      <x:c r="P51" s="22" t="str">
        <x:v>M-0289; M-0282</x:v>
      </x:c>
      <x:c r="Q51" s="22" t="str">
        <x:f>IF(B51="","",IF(C51="","Falta ID venta",IF(D51="ID no encontrado","ID venta inválido",IF(COUNTIFS('PAGOS'!$A$5:$A$504,A51,'PAGOS'!$B$5:$B$504,"&gt;0")&gt;1,"ID duplicado",IF(AND(L51&lt;&gt;"",COUNTIFS('PAGOS'!$L$5:$L$504,L51,'PAGOS'!$B$5:$B$504,B51,'PAGOS'!$F$5:$F$504,F51)&gt;1),"Referencia repetida",IF(N51&lt;&gt;"Incluir",N51,IF(NOT(ISNUMBER(K51)),"Falta equivalente","Aplicar")))))))</x:f>
        <x:v>Aplicar</x:v>
      </x:c>
    </x:row>
    <x:row r="52" ht="25" customHeight="1">
      <x:c r="A52" s="22" t="str">
        <x:v>P-048</x:v>
      </x:c>
      <x:c r="B52" s="25" t="n">
        <x:v>46261</x:v>
      </x:c>
      <x:c r="C52" s="26" t="str">
        <x:v>V-010</x:v>
      </x:c>
      <x:c r="D52" s="22" t="str">
        <x:f>IF(C52="","",IF(COUNTIFS('VENTAS'!$A$5:$A$254,C52,'VENTAS'!$C$5:$C$254,"&lt;&gt;")=1,INDEX('VENTAS'!$C$5:$C$254,MATCH(C52,'VENTAS'!$A$5:$A$254,0)),"ID no encontrado"))</x:f>
        <x:v>Ivana</x:v>
      </x:c>
      <x:c r="E52" s="22" t="str">
        <x:f>IF(C52="","",IF(COUNTIFS('VENTAS'!$A$5:$A$254,C52,'VENTAS'!$C$5:$C$254,"&lt;&gt;")=1,INDEX('VENTAS'!$D$5:$D$254,MATCH(C52,'VENTAS'!$A$5:$A$254,0)),"ID no encontrado"))</x:f>
        <x:v>La Bomba</x:v>
      </x:c>
      <x:c r="F52" s="26" t="str">
        <x:v>Pago móvil</x:v>
      </x:c>
      <x:c r="G52" s="27" t="n">
        <x:v>11869.87</x:v>
      </x:c>
      <x:c r="H52" s="27" t="n">
        <x:v>15</x:v>
      </x:c>
      <x:c r="I52" s="26" t="str">
        <x:v>BCV</x:v>
      </x:c>
      <x:c r="J52" s="30" t="n">
        <x:v>791.324667</x:v>
      </x:c>
      <x:c r="K52" s="28" t="n">
        <x:f>IF(B52="","",IF(ISNUMBER(H52),H52,IF(AND(ISNUMBER(G52),ISNUMBER(J52),J52&gt;0),ROUND(G52/J52,2),"")))</x:f>
        <x:v>15</x:v>
      </x:c>
      <x:c r="L52" s="31" t="str"/>
      <x:c r="M52" s="26" t="str">
        <x:v>Cuota</x:v>
      </x:c>
      <x:c r="N52" s="26" t="str">
        <x:v>Incluir</x:v>
      </x:c>
      <x:c r="O52" s="22" t="str"/>
      <x:c r="P52" s="22" t="str">
        <x:v>M-0290; M-0285</x:v>
      </x:c>
      <x:c r="Q52" s="22" t="str">
        <x:f>IF(B52="","",IF(C52="","Falta ID venta",IF(D52="ID no encontrado","ID venta inválido",IF(COUNTIFS('PAGOS'!$A$5:$A$504,A52,'PAGOS'!$B$5:$B$504,"&gt;0")&gt;1,"ID duplicado",IF(AND(L52&lt;&gt;"",COUNTIFS('PAGOS'!$L$5:$L$504,L52,'PAGOS'!$B$5:$B$504,B52,'PAGOS'!$F$5:$F$504,F52)&gt;1),"Referencia repetida",IF(N52&lt;&gt;"Incluir",N52,IF(NOT(ISNUMBER(K52)),"Falta equivalente","Aplicar")))))))</x:f>
        <x:v>Aplicar</x:v>
      </x:c>
    </x:row>
    <x:row r="53" ht="25" customHeight="1">
      <x:c r="A53" s="22" t="str">
        <x:v>P-049</x:v>
      </x:c>
      <x:c r="B53" s="25" t="n">
        <x:v>46261</x:v>
      </x:c>
      <x:c r="C53" s="26" t="str">
        <x:v>V-046</x:v>
      </x:c>
      <x:c r="D53" s="22" t="str">
        <x:f>IF(C53="","",IF(COUNTIFS('VENTAS'!$A$5:$A$254,C53,'VENTAS'!$C$5:$C$254,"&lt;&gt;")=1,INDEX('VENTAS'!$C$5:$C$254,MATCH(C53,'VENTAS'!$A$5:$A$254,0)),"ID no encontrado"))</x:f>
        <x:v>Amarista</x:v>
      </x:c>
      <x:c r="E53" s="22" t="str">
        <x:f>IF(C53="","",IF(COUNTIFS('VENTAS'!$A$5:$A$254,C53,'VENTAS'!$C$5:$C$254,"&lt;&gt;")=1,INDEX('VENTAS'!$D$5:$D$254,MATCH(C53,'VENTAS'!$A$5:$A$254,0)),"ID no encontrado"))</x:f>
        <x:v>Amethyst</x:v>
      </x:c>
      <x:c r="F53" s="26" t="str">
        <x:v>Pago móvil</x:v>
      </x:c>
      <x:c r="G53" s="27" t="n">
        <x:v>15827</x:v>
      </x:c>
      <x:c r="H53" s="27" t="n">
        <x:v>20</x:v>
      </x:c>
      <x:c r="I53" s="26" t="str">
        <x:v>BCV</x:v>
      </x:c>
      <x:c r="J53" s="30" t="n">
        <x:v>791.35</x:v>
      </x:c>
      <x:c r="K53" s="28" t="n">
        <x:f>IF(B53="","",IF(ISNUMBER(H53),H53,IF(AND(ISNUMBER(G53),ISNUMBER(J53),J53&gt;0),ROUND(G53/J53,2),"")))</x:f>
        <x:v>20</x:v>
      </x:c>
      <x:c r="L53" s="31" t="str"/>
      <x:c r="M53" s="26" t="str">
        <x:v>Cuota</x:v>
      </x:c>
      <x:c r="N53" s="26" t="str">
        <x:v>Incluir</x:v>
      </x:c>
      <x:c r="O53" s="22" t="str"/>
      <x:c r="P53" s="22" t="str">
        <x:v>M-0291; M-0287</x:v>
      </x:c>
      <x:c r="Q53" s="22" t="str">
        <x:f>IF(B53="","",IF(C53="","Falta ID venta",IF(D53="ID no encontrado","ID venta inválido",IF(COUNTIFS('PAGOS'!$A$5:$A$504,A53,'PAGOS'!$B$5:$B$504,"&gt;0")&gt;1,"ID duplicado",IF(AND(L53&lt;&gt;"",COUNTIFS('PAGOS'!$L$5:$L$504,L53,'PAGOS'!$B$5:$B$504,B53,'PAGOS'!$F$5:$F$504,F53)&gt;1),"Referencia repetida",IF(N53&lt;&gt;"Incluir",N53,IF(NOT(ISNUMBER(K53)),"Falta equivalente","Aplicar")))))))</x:f>
        <x:v>Aplicar</x:v>
      </x:c>
    </x:row>
    <x:row r="54" ht="25" customHeight="1">
      <x:c r="A54" s="22" t="str">
        <x:v>P-050</x:v>
      </x:c>
      <x:c r="B54" s="25" t="n">
        <x:v>46263</x:v>
      </x:c>
      <x:c r="C54" s="26" t="str">
        <x:v>V-036</x:v>
      </x:c>
      <x:c r="D54" s="22" t="str">
        <x:f>IF(C54="","",IF(COUNTIFS('VENTAS'!$A$5:$A$254,C54,'VENTAS'!$C$5:$C$254,"&lt;&gt;")=1,INDEX('VENTAS'!$C$5:$C$254,MATCH(C54,'VENTAS'!$A$5:$A$254,0)),"ID no encontrado"))</x:f>
        <x:v>Cristhian Gonzales</x:v>
      </x:c>
      <x:c r="E54" s="22" t="str">
        <x:f>IF(C54="","",IF(COUNTIFS('VENTAS'!$A$5:$A$254,C54,'VENTAS'!$C$5:$C$254,"&lt;&gt;")=1,INDEX('VENTAS'!$D$5:$D$254,MATCH(C54,'VENTAS'!$A$5:$A$254,0)),"ID no encontrado"))</x:f>
        <x:v>9PM Rebel Original</x:v>
      </x:c>
      <x:c r="F54" s="26" t="str">
        <x:v>Pago móvil</x:v>
      </x:c>
      <x:c r="G54" s="27" t="n">
        <x:v>11850</x:v>
      </x:c>
      <x:c r="H54" s="27" t="n">
        <x:v>15</x:v>
      </x:c>
      <x:c r="I54" s="26" t="str">
        <x:v>BCV</x:v>
      </x:c>
      <x:c r="J54" s="30" t="n">
        <x:v>790</x:v>
      </x:c>
      <x:c r="K54" s="28" t="n">
        <x:f>IF(B54="","",IF(ISNUMBER(H54),H54,IF(AND(ISNUMBER(G54),ISNUMBER(J54),J54&gt;0),ROUND(G54/J54,2),"")))</x:f>
        <x:v>15</x:v>
      </x:c>
      <x:c r="L54" s="31" t="str"/>
      <x:c r="M54" s="26" t="str">
        <x:v>Cuota</x:v>
      </x:c>
      <x:c r="N54" s="26" t="str">
        <x:v>Incluir</x:v>
      </x:c>
      <x:c r="O54" s="22" t="str"/>
      <x:c r="P54" s="22" t="str">
        <x:v>M-0304; M-0295</x:v>
      </x:c>
      <x:c r="Q54" s="22" t="str">
        <x:f>IF(B54="","",IF(C54="","Falta ID venta",IF(D54="ID no encontrado","ID venta inválido",IF(COUNTIFS('PAGOS'!$A$5:$A$504,A54,'PAGOS'!$B$5:$B$504,"&gt;0")&gt;1,"ID duplicado",IF(AND(L54&lt;&gt;"",COUNTIFS('PAGOS'!$L$5:$L$504,L54,'PAGOS'!$B$5:$B$504,B54,'PAGOS'!$F$5:$F$504,F54)&gt;1),"Referencia repetida",IF(N54&lt;&gt;"Incluir",N54,IF(NOT(ISNUMBER(K54)),"Falta equivalente","Aplicar")))))))</x:f>
        <x:v>Aplicar</x:v>
      </x:c>
    </x:row>
    <x:row r="55" ht="25" customHeight="1">
      <x:c r="A55" s="22" t="str">
        <x:v>P-051</x:v>
      </x:c>
      <x:c r="B55" s="25" t="n">
        <x:v>46269</x:v>
      </x:c>
      <x:c r="C55" s="26" t="str">
        <x:v>V-036</x:v>
      </x:c>
      <x:c r="D55" s="22" t="str">
        <x:f>IF(C55="","",IF(COUNTIFS('VENTAS'!$A$5:$A$254,C55,'VENTAS'!$C$5:$C$254,"&lt;&gt;")=1,INDEX('VENTAS'!$C$5:$C$254,MATCH(C55,'VENTAS'!$A$5:$A$254,0)),"ID no encontrado"))</x:f>
        <x:v>Cristhian Gonzales</x:v>
      </x:c>
      <x:c r="E55" s="22" t="str">
        <x:f>IF(C55="","",IF(COUNTIFS('VENTAS'!$A$5:$A$254,C55,'VENTAS'!$C$5:$C$254,"&lt;&gt;")=1,INDEX('VENTAS'!$D$5:$D$254,MATCH(C55,'VENTAS'!$A$5:$A$254,0)),"ID no encontrado"))</x:f>
        <x:v>9PM Rebel Original</x:v>
      </x:c>
      <x:c r="F55" s="26" t="str">
        <x:v>Pago móvil</x:v>
      </x:c>
      <x:c r="G55" s="27" t="n">
        <x:v>12110.79</x:v>
      </x:c>
      <x:c r="H55" s="27" t="n">
        <x:v>15</x:v>
      </x:c>
      <x:c r="I55" s="26" t="str">
        <x:v>BCV</x:v>
      </x:c>
      <x:c r="J55" s="30" t="n">
        <x:v>807.386</x:v>
      </x:c>
      <x:c r="K55" s="28" t="n">
        <x:f>IF(B55="","",IF(ISNUMBER(H55),H55,IF(AND(ISNUMBER(G55),ISNUMBER(J55),J55&gt;0),ROUND(G55/J55,2),"")))</x:f>
        <x:v>15</x:v>
      </x:c>
      <x:c r="L55" s="31" t="str"/>
      <x:c r="M55" s="26" t="str">
        <x:v>Cuota</x:v>
      </x:c>
      <x:c r="N55" s="26" t="str">
        <x:v>Incluir</x:v>
      </x:c>
      <x:c r="O55" s="22" t="str"/>
      <x:c r="P55" s="22" t="str">
        <x:v>M-0315; M-0306</x:v>
      </x:c>
      <x:c r="Q55" s="22" t="str">
        <x:f>IF(B55="","",IF(C55="","Falta ID venta",IF(D55="ID no encontrado","ID venta inválido",IF(COUNTIFS('PAGOS'!$A$5:$A$504,A55,'PAGOS'!$B$5:$B$504,"&gt;0")&gt;1,"ID duplicado",IF(AND(L55&lt;&gt;"",COUNTIFS('PAGOS'!$L$5:$L$504,L55,'PAGOS'!$B$5:$B$504,B55,'PAGOS'!$F$5:$F$504,F55)&gt;1),"Referencia repetida",IF(N55&lt;&gt;"Incluir",N55,IF(NOT(ISNUMBER(K55)),"Falta equivalente","Aplicar")))))))</x:f>
        <x:v>Aplicar</x:v>
      </x:c>
    </x:row>
    <x:row r="56" ht="25" customHeight="1">
      <x:c r="A56" s="22" t="str">
        <x:v>P-052</x:v>
      </x:c>
      <x:c r="B56" s="25" t="n">
        <x:v>46270</x:v>
      </x:c>
      <x:c r="C56" s="26" t="str">
        <x:v>V-051</x:v>
      </x:c>
      <x:c r="D56" s="22" t="str">
        <x:f>IF(C56="","",IF(COUNTIFS('VENTAS'!$A$5:$A$254,C56,'VENTAS'!$C$5:$C$254,"&lt;&gt;")=1,INDEX('VENTAS'!$C$5:$C$254,MATCH(C56,'VENTAS'!$A$5:$A$254,0)),"ID no encontrado"))</x:f>
        <x:v>Landaeta</x:v>
      </x:c>
      <x:c r="E56" s="22" t="str">
        <x:f>IF(C56="","",IF(COUNTIFS('VENTAS'!$A$5:$A$254,C56,'VENTAS'!$C$5:$C$254,"&lt;&gt;")=1,INDEX('VENTAS'!$D$5:$D$254,MATCH(C56,'VENTAS'!$A$5:$A$254,0)),"ID no encontrado"))</x:f>
        <x:v>Asad Bourbon</x:v>
      </x:c>
      <x:c r="F56" s="26" t="str">
        <x:v>Pago móvil</x:v>
      </x:c>
      <x:c r="G56" s="27" t="n">
        <x:v>19380</x:v>
      </x:c>
      <x:c r="H56" s="27" t="n">
        <x:v>24</x:v>
      </x:c>
      <x:c r="I56" s="26" t="str">
        <x:v>BCV</x:v>
      </x:c>
      <x:c r="J56" s="30" t="n">
        <x:v>807.5</x:v>
      </x:c>
      <x:c r="K56" s="28" t="n">
        <x:f>IF(B56="","",IF(ISNUMBER(H56),H56,IF(AND(ISNUMBER(G56),ISNUMBER(J56),J56&gt;0),ROUND(G56/J56,2),"")))</x:f>
        <x:v>24</x:v>
      </x:c>
      <x:c r="L56" s="31" t="str"/>
      <x:c r="M56" s="26" t="str">
        <x:v>Cuota</x:v>
      </x:c>
      <x:c r="N56" s="26" t="str">
        <x:v>Incluir</x:v>
      </x:c>
      <x:c r="O56" s="22" t="str"/>
      <x:c r="P56" s="22" t="str">
        <x:v>M-0316; M-0314</x:v>
      </x:c>
      <x:c r="Q56" s="22" t="str">
        <x:f>IF(B56="","",IF(C56="","Falta ID venta",IF(D56="ID no encontrado","ID venta inválido",IF(COUNTIFS('PAGOS'!$A$5:$A$504,A56,'PAGOS'!$B$5:$B$504,"&gt;0")&gt;1,"ID duplicado",IF(AND(L56&lt;&gt;"",COUNTIFS('PAGOS'!$L$5:$L$504,L56,'PAGOS'!$B$5:$B$504,B56,'PAGOS'!$F$5:$F$504,F56)&gt;1),"Referencia repetida",IF(N56&lt;&gt;"Incluir",N56,IF(NOT(ISNUMBER(K56)),"Falta equivalente","Aplicar")))))))</x:f>
        <x:v>Aplicar</x:v>
      </x:c>
    </x:row>
    <x:row r="57" ht="25" customHeight="1">
      <x:c r="A57" s="22" t="str">
        <x:v>P-053</x:v>
      </x:c>
      <x:c r="B57" s="25" t="n">
        <x:v>46270</x:v>
      </x:c>
      <x:c r="C57" s="26" t="str">
        <x:v>V-039</x:v>
      </x:c>
      <x:c r="D57" s="22" t="str">
        <x:f>IF(C57="","",IF(COUNTIFS('VENTAS'!$A$5:$A$254,C57,'VENTAS'!$C$5:$C$254,"&lt;&gt;")=1,INDEX('VENTAS'!$C$5:$C$254,MATCH(C57,'VENTAS'!$A$5:$A$254,0)),"ID no encontrado"))</x:f>
        <x:v>Gabriel Medina</x:v>
      </x:c>
      <x:c r="E57" s="22" t="str">
        <x:f>IF(C57="","",IF(COUNTIFS('VENTAS'!$A$5:$A$254,C57,'VENTAS'!$C$5:$C$254,"&lt;&gt;")=1,INDEX('VENTAS'!$D$5:$D$254,MATCH(C57,'VENTAS'!$A$5:$A$254,0)),"ID no encontrado"))</x:f>
        <x:v>Sauvage Dior</x:v>
      </x:c>
      <x:c r="F57" s="26" t="str">
        <x:v>Pago móvil</x:v>
      </x:c>
      <x:c r="G57" s="27" t="n">
        <x:v>17800</x:v>
      </x:c>
      <x:c r="H57" s="27" t="n">
        <x:v>22</x:v>
      </x:c>
      <x:c r="I57" s="26" t="str">
        <x:v>BCV</x:v>
      </x:c>
      <x:c r="J57" s="30" t="n">
        <x:v>809.090909</x:v>
      </x:c>
      <x:c r="K57" s="28" t="n">
        <x:f>IF(B57="","",IF(ISNUMBER(H57),H57,IF(AND(ISNUMBER(G57),ISNUMBER(J57),J57&gt;0),ROUND(G57/J57,2),"")))</x:f>
        <x:v>22</x:v>
      </x:c>
      <x:c r="L57" s="31" t="str"/>
      <x:c r="M57" s="26" t="str">
        <x:v>Cuota</x:v>
      </x:c>
      <x:c r="N57" s="26" t="str">
        <x:v>Incluir</x:v>
      </x:c>
      <x:c r="O57" s="22" t="str">
        <x:v> Complemento «22$» del 06/09.</x:v>
      </x:c>
      <x:c r="P57" s="22" t="str">
        <x:v>M-0320</x:v>
      </x:c>
      <x:c r="Q57" s="22" t="str">
        <x:f>IF(B57="","",IF(C57="","Falta ID venta",IF(D57="ID no encontrado","ID venta inválido",IF(COUNTIFS('PAGOS'!$A$5:$A$504,A57,'PAGOS'!$B$5:$B$504,"&gt;0")&gt;1,"ID duplicado",IF(AND(L57&lt;&gt;"",COUNTIFS('PAGOS'!$L$5:$L$504,L57,'PAGOS'!$B$5:$B$504,B57,'PAGOS'!$F$5:$F$504,F57)&gt;1),"Referencia repetida",IF(N57&lt;&gt;"Incluir",N57,IF(NOT(ISNUMBER(K57)),"Falta equivalente","Aplicar")))))))</x:f>
        <x:v>Aplicar</x:v>
      </x:c>
    </x:row>
    <x:row r="58" ht="25" customHeight="1">
      <x:c r="A58" s="22" t="str">
        <x:v>P-054</x:v>
      </x:c>
      <x:c r="B58" s="25" t="n">
        <x:v>46275</x:v>
      </x:c>
      <x:c r="C58" s="26" t="str">
        <x:v>V-022</x:v>
      </x:c>
      <x:c r="D58" s="22" t="str">
        <x:f>IF(C58="","",IF(COUNTIFS('VENTAS'!$A$5:$A$254,C58,'VENTAS'!$C$5:$C$254,"&lt;&gt;")=1,INDEX('VENTAS'!$C$5:$C$254,MATCH(C58,'VENTAS'!$A$5:$A$254,0)),"ID no encontrado"))</x:f>
        <x:v>Rafael</x:v>
      </x:c>
      <x:c r="E58" s="22" t="str">
        <x:f>IF(C58="","",IF(COUNTIFS('VENTAS'!$A$5:$A$254,C58,'VENTAS'!$C$5:$C$254,"&lt;&gt;")=1,INDEX('VENTAS'!$D$5:$D$254,MATCH(C58,'VENTAS'!$A$5:$A$254,0)),"ID no encontrado"))</x:f>
        <x:v>Invictus</x:v>
      </x:c>
      <x:c r="F58" s="26" t="str">
        <x:v>Pago móvil</x:v>
      </x:c>
      <x:c r="G58" s="27" t="n">
        <x:v>6618</x:v>
      </x:c>
      <x:c r="H58" s="27" t="n">
        <x:v>8</x:v>
      </x:c>
      <x:c r="I58" s="26" t="str">
        <x:v>BCV</x:v>
      </x:c>
      <x:c r="J58" s="30" t="n">
        <x:v>827.25</x:v>
      </x:c>
      <x:c r="K58" s="28" t="n">
        <x:f>IF(B58="","",IF(ISNUMBER(H58),H58,IF(AND(ISNUMBER(G58),ISNUMBER(J58),J58&gt;0),ROUND(G58/J58,2),"")))</x:f>
        <x:v>8</x:v>
      </x:c>
      <x:c r="L58" s="31" t="str"/>
      <x:c r="M58" s="26" t="str">
        <x:v>Cuota</x:v>
      </x:c>
      <x:c r="N58" s="26" t="str">
        <x:v>Incluir</x:v>
      </x:c>
      <x:c r="O58" s="22" t="str"/>
      <x:c r="P58" s="22" t="str">
        <x:v>M-0334; M-0329</x:v>
      </x:c>
      <x:c r="Q58" s="22" t="str">
        <x:f>IF(B58="","",IF(C58="","Falta ID venta",IF(D58="ID no encontrado","ID venta inválido",IF(COUNTIFS('PAGOS'!$A$5:$A$504,A58,'PAGOS'!$B$5:$B$504,"&gt;0")&gt;1,"ID duplicado",IF(AND(L58&lt;&gt;"",COUNTIFS('PAGOS'!$L$5:$L$504,L58,'PAGOS'!$B$5:$B$504,B58,'PAGOS'!$F$5:$F$504,F58)&gt;1),"Referencia repetida",IF(N58&lt;&gt;"Incluir",N58,IF(NOT(ISNUMBER(K58)),"Falta equivalente","Aplicar")))))))</x:f>
        <x:v>Aplicar</x:v>
      </x:c>
    </x:row>
    <x:row r="59" ht="25" customHeight="1">
      <x:c r="A59" s="22" t="str">
        <x:v>P-055</x:v>
      </x:c>
      <x:c r="B59" s="25" t="n">
        <x:v>46276</x:v>
      </x:c>
      <x:c r="C59" s="26" t="str">
        <x:v>V-027</x:v>
      </x:c>
      <x:c r="D59" s="22" t="str">
        <x:f>IF(C59="","",IF(COUNTIFS('VENTAS'!$A$5:$A$254,C59,'VENTAS'!$C$5:$C$254,"&lt;&gt;")=1,INDEX('VENTAS'!$C$5:$C$254,MATCH(C59,'VENTAS'!$A$5:$A$254,0)),"ID no encontrado"))</x:f>
        <x:v>Juan Herrade</x:v>
      </x:c>
      <x:c r="E59" s="22" t="str">
        <x:f>IF(C59="","",IF(COUNTIFS('VENTAS'!$A$5:$A$254,C59,'VENTAS'!$C$5:$C$254,"&lt;&gt;")=1,INDEX('VENTAS'!$D$5:$D$254,MATCH(C59,'VENTAS'!$A$5:$A$254,0)),"ID no encontrado"))</x:f>
        <x:v>Sauvage Dior</x:v>
      </x:c>
      <x:c r="F59" s="26" t="str">
        <x:v>Pago móvil</x:v>
      </x:c>
      <x:c r="G59" s="27" t="n">
        <x:v>16649.77</x:v>
      </x:c>
      <x:c r="H59" s="27" t="n">
        <x:v>20</x:v>
      </x:c>
      <x:c r="I59" s="26" t="str">
        <x:v>BCV</x:v>
      </x:c>
      <x:c r="J59" s="30" t="n">
        <x:v>832.4885</x:v>
      </x:c>
      <x:c r="K59" s="28" t="n">
        <x:f>IF(B59="","",IF(ISNUMBER(H59),H59,IF(AND(ISNUMBER(G59),ISNUMBER(J59),J59&gt;0),ROUND(G59/J59,2),"")))</x:f>
        <x:v>20</x:v>
      </x:c>
      <x:c r="L59" s="31" t="str"/>
      <x:c r="M59" s="26" t="str">
        <x:v>Cuota</x:v>
      </x:c>
      <x:c r="N59" s="26" t="str">
        <x:v>Incluir</x:v>
      </x:c>
      <x:c r="O59" s="22" t="str"/>
      <x:c r="P59" s="22" t="str">
        <x:v>M-0335; M-0331</x:v>
      </x:c>
      <x:c r="Q59" s="22" t="str">
        <x:f>IF(B59="","",IF(C59="","Falta ID venta",IF(D59="ID no encontrado","ID venta inválido",IF(COUNTIFS('PAGOS'!$A$5:$A$504,A59,'PAGOS'!$B$5:$B$504,"&gt;0")&gt;1,"ID duplicado",IF(AND(L59&lt;&gt;"",COUNTIFS('PAGOS'!$L$5:$L$504,L59,'PAGOS'!$B$5:$B$504,B59,'PAGOS'!$F$5:$F$504,F59)&gt;1),"Referencia repetida",IF(N59&lt;&gt;"Incluir",N59,IF(NOT(ISNUMBER(K59)),"Falta equivalente","Aplicar")))))))</x:f>
        <x:v>Aplicar</x:v>
      </x:c>
    </x:row>
    <x:row r="60" ht="25" customHeight="1">
      <x:c r="A60" s="22" t="str">
        <x:v>P-056</x:v>
      </x:c>
      <x:c r="B60" s="25" t="n">
        <x:v>46276</x:v>
      </x:c>
      <x:c r="C60" s="26" t="str">
        <x:v>V-036</x:v>
      </x:c>
      <x:c r="D60" s="22" t="str">
        <x:f>IF(C60="","",IF(COUNTIFS('VENTAS'!$A$5:$A$254,C60,'VENTAS'!$C$5:$C$254,"&lt;&gt;")=1,INDEX('VENTAS'!$C$5:$C$254,MATCH(C60,'VENTAS'!$A$5:$A$254,0)),"ID no encontrado"))</x:f>
        <x:v>Cristhian Gonzales</x:v>
      </x:c>
      <x:c r="E60" s="22" t="str">
        <x:f>IF(C60="","",IF(COUNTIFS('VENTAS'!$A$5:$A$254,C60,'VENTAS'!$C$5:$C$254,"&lt;&gt;")=1,INDEX('VENTAS'!$D$5:$D$254,MATCH(C60,'VENTAS'!$A$5:$A$254,0)),"ID no encontrado"))</x:f>
        <x:v>9PM Rebel Original</x:v>
      </x:c>
      <x:c r="F60" s="26" t="str">
        <x:v>Pago móvil</x:v>
      </x:c>
      <x:c r="G60" s="27" t="n">
        <x:v>8324.88</x:v>
      </x:c>
      <x:c r="H60" s="27" t="n">
        <x:v>10</x:v>
      </x:c>
      <x:c r="I60" s="26" t="str">
        <x:v>BCV</x:v>
      </x:c>
      <x:c r="J60" s="30" t="n">
        <x:v>832.488</x:v>
      </x:c>
      <x:c r="K60" s="28" t="n">
        <x:f>IF(B60="","",IF(ISNUMBER(H60),H60,IF(AND(ISNUMBER(G60),ISNUMBER(J60),J60&gt;0),ROUND(G60/J60,2),"")))</x:f>
        <x:v>10</x:v>
      </x:c>
      <x:c r="L60" s="31" t="str"/>
      <x:c r="M60" s="26" t="str">
        <x:v>Cuota</x:v>
      </x:c>
      <x:c r="N60" s="26" t="str">
        <x:v>Incluir</x:v>
      </x:c>
      <x:c r="O60" s="22" t="str"/>
      <x:c r="P60" s="22" t="str">
        <x:v>M-0336; M-0333</x:v>
      </x:c>
      <x:c r="Q60" s="22" t="str">
        <x:f>IF(B60="","",IF(C60="","Falta ID venta",IF(D60="ID no encontrado","ID venta inválido",IF(COUNTIFS('PAGOS'!$A$5:$A$504,A60,'PAGOS'!$B$5:$B$504,"&gt;0")&gt;1,"ID duplicado",IF(AND(L60&lt;&gt;"",COUNTIFS('PAGOS'!$L$5:$L$504,L60,'PAGOS'!$B$5:$B$504,B60,'PAGOS'!$F$5:$F$504,F60)&gt;1),"Referencia repetida",IF(N60&lt;&gt;"Incluir",N60,IF(NOT(ISNUMBER(K60)),"Falta equivalente","Aplicar")))))))</x:f>
        <x:v>Aplicar</x:v>
      </x:c>
    </x:row>
    <x:row r="61" ht="25" customHeight="1">
      <x:c r="A61" s="22" t="str">
        <x:v>P-057</x:v>
      </x:c>
      <x:c r="B61" s="25" t="n">
        <x:v>46276</x:v>
      </x:c>
      <x:c r="C61" s="26" t="str">
        <x:v>V-056</x:v>
      </x:c>
      <x:c r="D61" s="22" t="str">
        <x:f>IF(C61="","",IF(COUNTIFS('VENTAS'!$A$5:$A$254,C61,'VENTAS'!$C$5:$C$254,"&lt;&gt;")=1,INDEX('VENTAS'!$C$5:$C$254,MATCH(C61,'VENTAS'!$A$5:$A$254,0)),"ID no encontrado"))</x:f>
        <x:v>Elías</x:v>
      </x:c>
      <x:c r="E61" s="22" t="str">
        <x:f>IF(C61="","",IF(COUNTIFS('VENTAS'!$A$5:$A$254,C61,'VENTAS'!$C$5:$C$254,"&lt;&gt;")=1,INDEX('VENTAS'!$D$5:$D$254,MATCH(C61,'VENTAS'!$A$5:$A$254,0)),"ID no encontrado"))</x:f>
        <x:v>9PM Elixir</x:v>
      </x:c>
      <x:c r="F61" s="26" t="str">
        <x:v>Efectivo</x:v>
      </x:c>
      <x:c r="G61" s="27" t="str"/>
      <x:c r="H61" s="27" t="n">
        <x:v>10</x:v>
      </x:c>
      <x:c r="I61" s="26" t="str">
        <x:v>Divisa</x:v>
      </x:c>
      <x:c r="J61" s="30" t="str"/>
      <x:c r="K61" s="28" t="n">
        <x:f>IF(B61="","",IF(ISNUMBER(H61),H61,IF(AND(ISNUMBER(G61),ISNUMBER(J61),J61&gt;0),ROUND(G61/J61,2),"")))</x:f>
        <x:v>10</x:v>
      </x:c>
      <x:c r="L61" s="31" t="str"/>
      <x:c r="M61" s="26" t="str">
        <x:v>Cuota</x:v>
      </x:c>
      <x:c r="N61" s="26" t="str">
        <x:v>Incluir</x:v>
      </x:c>
      <x:c r="O61" s="22" t="str"/>
      <x:c r="P61" s="22" t="str">
        <x:v>M-0337</x:v>
      </x:c>
      <x:c r="Q61" s="22" t="str">
        <x:f>IF(B61="","",IF(C61="","Falta ID venta",IF(D61="ID no encontrado","ID venta inválido",IF(COUNTIFS('PAGOS'!$A$5:$A$504,A61,'PAGOS'!$B$5:$B$504,"&gt;0")&gt;1,"ID duplicado",IF(AND(L61&lt;&gt;"",COUNTIFS('PAGOS'!$L$5:$L$504,L61,'PAGOS'!$B$5:$B$504,B61,'PAGOS'!$F$5:$F$504,F61)&gt;1),"Referencia repetida",IF(N61&lt;&gt;"Incluir",N61,IF(NOT(ISNUMBER(K61)),"Falta equivalente","Aplicar")))))))</x:f>
        <x:v>Aplicar</x:v>
      </x:c>
    </x:row>
    <x:row r="62" ht="25" customHeight="1">
      <x:c r="A62" s="22" t="str">
        <x:v>P-058</x:v>
      </x:c>
      <x:c r="B62" s="25" t="n">
        <x:v>46277</x:v>
      </x:c>
      <x:c r="C62" s="26" t="str">
        <x:v>V-050</x:v>
      </x:c>
      <x:c r="D62" s="22" t="str">
        <x:f>IF(C62="","",IF(COUNTIFS('VENTAS'!$A$5:$A$254,C62,'VENTAS'!$C$5:$C$254,"&lt;&gt;")=1,INDEX('VENTAS'!$C$5:$C$254,MATCH(C62,'VENTAS'!$A$5:$A$254,0)),"ID no encontrado"))</x:f>
        <x:v>José</x:v>
      </x:c>
      <x:c r="E62" s="22" t="str">
        <x:f>IF(C62="","",IF(COUNTIFS('VENTAS'!$A$5:$A$254,C62,'VENTAS'!$C$5:$C$254,"&lt;&gt;")=1,INDEX('VENTAS'!$D$5:$D$254,MATCH(C62,'VENTAS'!$A$5:$A$254,0)),"ID no encontrado"))</x:f>
        <x:v>212 Vip Men</x:v>
      </x:c>
      <x:c r="F62" s="26" t="str">
        <x:v>Efectivo</x:v>
      </x:c>
      <x:c r="G62" s="27" t="str"/>
      <x:c r="H62" s="27" t="n">
        <x:v>20</x:v>
      </x:c>
      <x:c r="I62" s="26" t="str">
        <x:v>Divisa</x:v>
      </x:c>
      <x:c r="J62" s="30" t="str"/>
      <x:c r="K62" s="28" t="n">
        <x:f>IF(B62="","",IF(ISNUMBER(H62),H62,IF(AND(ISNUMBER(G62),ISNUMBER(J62),J62&gt;0),ROUND(G62/J62,2),"")))</x:f>
        <x:v>20</x:v>
      </x:c>
      <x:c r="L62" s="31" t="str"/>
      <x:c r="M62" s="26" t="str">
        <x:v>Cuota</x:v>
      </x:c>
      <x:c r="N62" s="26" t="str">
        <x:v>Incluir</x:v>
      </x:c>
      <x:c r="O62" s="22" t="str"/>
      <x:c r="P62" s="22" t="str">
        <x:v>M-0338</x:v>
      </x:c>
      <x:c r="Q62" s="22" t="str">
        <x:f>IF(B62="","",IF(C62="","Falta ID venta",IF(D62="ID no encontrado","ID venta inválido",IF(COUNTIFS('PAGOS'!$A$5:$A$504,A62,'PAGOS'!$B$5:$B$504,"&gt;0")&gt;1,"ID duplicado",IF(AND(L62&lt;&gt;"",COUNTIFS('PAGOS'!$L$5:$L$504,L62,'PAGOS'!$B$5:$B$504,B62,'PAGOS'!$F$5:$F$504,F62)&gt;1),"Referencia repetida",IF(N62&lt;&gt;"Incluir",N62,IF(NOT(ISNUMBER(K62)),"Falta equivalente","Aplicar")))))))</x:f>
        <x:v>Aplicar</x:v>
      </x:c>
    </x:row>
    <x:row r="63" ht="25" customHeight="1">
      <x:c r="A63" s="22" t="str">
        <x:v>P-059</x:v>
      </x:c>
      <x:c r="B63" s="25" t="n">
        <x:v>46277</x:v>
      </x:c>
      <x:c r="C63" s="26" t="str">
        <x:v>V-049</x:v>
      </x:c>
      <x:c r="D63" s="22" t="str">
        <x:f>IF(C63="","",IF(COUNTIFS('VENTAS'!$A$5:$A$254,C63,'VENTAS'!$C$5:$C$254,"&lt;&gt;")=1,INDEX('VENTAS'!$C$5:$C$254,MATCH(C63,'VENTAS'!$A$5:$A$254,0)),"ID no encontrado"))</x:f>
        <x:v>Ricardo</x:v>
      </x:c>
      <x:c r="E63" s="22" t="str">
        <x:f>IF(C63="","",IF(COUNTIFS('VENTAS'!$A$5:$A$254,C63,'VENTAS'!$C$5:$C$254,"&lt;&gt;")=1,INDEX('VENTAS'!$D$5:$D$254,MATCH(C63,'VENTAS'!$A$5:$A$254,0)),"ID no encontrado"))</x:f>
        <x:v>Acqua di Gio</x:v>
      </x:c>
      <x:c r="F63" s="26" t="str">
        <x:v>Pago móvil</x:v>
      </x:c>
      <x:c r="G63" s="27" t="n">
        <x:v>7655</x:v>
      </x:c>
      <x:c r="H63" s="27" t="n">
        <x:v>8</x:v>
      </x:c>
      <x:c r="I63" s="26" t="str">
        <x:v>USDT</x:v>
      </x:c>
      <x:c r="J63" s="30" t="n">
        <x:v>956.875</x:v>
      </x:c>
      <x:c r="K63" s="28" t="n">
        <x:f>IF(B63="","",IF(ISNUMBER(H63),H63,IF(AND(ISNUMBER(G63),ISNUMBER(J63),J63&gt;0),ROUND(G63/J63,2),"")))</x:f>
        <x:v>8</x:v>
      </x:c>
      <x:c r="L63" s="31" t="str">
        <x:v>7712</x:v>
      </x:c>
      <x:c r="M63" s="26" t="str">
        <x:v>Cuota</x:v>
      </x:c>
      <x:c r="N63" s="26" t="str">
        <x:v>Incluir</x:v>
      </x:c>
      <x:c r="O63" s="22" t="str"/>
      <x:c r="P63" s="22" t="str">
        <x:v>M-0344; M-0343</x:v>
      </x:c>
      <x:c r="Q63" s="22" t="str">
        <x:f>IF(B63="","",IF(C63="","Falta ID venta",IF(D63="ID no encontrado","ID venta inválido",IF(COUNTIFS('PAGOS'!$A$5:$A$504,A63,'PAGOS'!$B$5:$B$504,"&gt;0")&gt;1,"ID duplicado",IF(AND(L63&lt;&gt;"",COUNTIFS('PAGOS'!$L$5:$L$504,L63,'PAGOS'!$B$5:$B$504,B63,'PAGOS'!$F$5:$F$504,F63)&gt;1),"Referencia repetida",IF(N63&lt;&gt;"Incluir",N63,IF(NOT(ISNUMBER(K63)),"Falta equivalente","Aplicar")))))))</x:f>
        <x:v>Aplicar</x:v>
      </x:c>
    </x:row>
    <x:row r="64" ht="25" customHeight="1">
      <x:c r="A64" s="22" t="str">
        <x:v>P-060</x:v>
      </x:c>
      <x:c r="B64" s="25" t="n">
        <x:v>46277</x:v>
      </x:c>
      <x:c r="C64" s="26" t="str">
        <x:v>V-046</x:v>
      </x:c>
      <x:c r="D64" s="22" t="str">
        <x:f>IF(C64="","",IF(COUNTIFS('VENTAS'!$A$5:$A$254,C64,'VENTAS'!$C$5:$C$254,"&lt;&gt;")=1,INDEX('VENTAS'!$C$5:$C$254,MATCH(C64,'VENTAS'!$A$5:$A$254,0)),"ID no encontrado"))</x:f>
        <x:v>Amarista</x:v>
      </x:c>
      <x:c r="E64" s="22" t="str">
        <x:f>IF(C64="","",IF(COUNTIFS('VENTAS'!$A$5:$A$254,C64,'VENTAS'!$C$5:$C$254,"&lt;&gt;")=1,INDEX('VENTAS'!$D$5:$D$254,MATCH(C64,'VENTAS'!$A$5:$A$254,0)),"ID no encontrado"))</x:f>
        <x:v>Amethyst</x:v>
      </x:c>
      <x:c r="F64" s="26" t="str">
        <x:v>Pago móvil</x:v>
      </x:c>
      <x:c r="G64" s="27" t="n">
        <x:v>16650</x:v>
      </x:c>
      <x:c r="H64" s="27" t="n">
        <x:v>20</x:v>
      </x:c>
      <x:c r="I64" s="26" t="str">
        <x:v>BCV</x:v>
      </x:c>
      <x:c r="J64" s="30" t="n">
        <x:v>832.5</x:v>
      </x:c>
      <x:c r="K64" s="28" t="n">
        <x:f>IF(B64="","",IF(ISNUMBER(H64),H64,IF(AND(ISNUMBER(G64),ISNUMBER(J64),J64&gt;0),ROUND(G64/J64,2),"")))</x:f>
        <x:v>20</x:v>
      </x:c>
      <x:c r="L64" s="31" t="str"/>
      <x:c r="M64" s="26" t="str">
        <x:v>Cuota</x:v>
      </x:c>
      <x:c r="N64" s="26" t="str">
        <x:v>Incluir</x:v>
      </x:c>
      <x:c r="O64" s="22" t="str"/>
      <x:c r="P64" s="22" t="str">
        <x:v>M-0349; M-0346</x:v>
      </x:c>
      <x:c r="Q64" s="22" t="str">
        <x:f>IF(B64="","",IF(C64="","Falta ID venta",IF(D64="ID no encontrado","ID venta inválido",IF(COUNTIFS('PAGOS'!$A$5:$A$504,A64,'PAGOS'!$B$5:$B$504,"&gt;0")&gt;1,"ID duplicado",IF(AND(L64&lt;&gt;"",COUNTIFS('PAGOS'!$L$5:$L$504,L64,'PAGOS'!$B$5:$B$504,B64,'PAGOS'!$F$5:$F$504,F64)&gt;1),"Referencia repetida",IF(N64&lt;&gt;"Incluir",N64,IF(NOT(ISNUMBER(K64)),"Falta equivalente","Aplicar")))))))</x:f>
        <x:v>Aplicar</x:v>
      </x:c>
    </x:row>
    <x:row r="65" ht="25" customHeight="1">
      <x:c r="A65" s="22" t="str">
        <x:v>P-061</x:v>
      </x:c>
      <x:c r="B65" s="25" t="n">
        <x:v>46277</x:v>
      </x:c>
      <x:c r="C65" s="26" t="str">
        <x:v>V-058</x:v>
      </x:c>
      <x:c r="D65" s="22" t="str">
        <x:f>IF(C65="","",IF(COUNTIFS('VENTAS'!$A$5:$A$254,C65,'VENTAS'!$C$5:$C$254,"&lt;&gt;")=1,INDEX('VENTAS'!$C$5:$C$254,MATCH(C65,'VENTAS'!$A$5:$A$254,0)),"ID no encontrado"))</x:f>
        <x:v>Ángel</x:v>
      </x:c>
      <x:c r="E65" s="22" t="str">
        <x:f>IF(C65="","",IF(COUNTIFS('VENTAS'!$A$5:$A$254,C65,'VENTAS'!$C$5:$C$254,"&lt;&gt;")=1,INDEX('VENTAS'!$D$5:$D$254,MATCH(C65,'VENTAS'!$A$5:$A$254,0)),"ID no encontrado"))</x:f>
        <x:v>9PM</x:v>
      </x:c>
      <x:c r="F65" s="26" t="str">
        <x:v>Pago móvil</x:v>
      </x:c>
      <x:c r="G65" s="27" t="n">
        <x:v>6659.91</x:v>
      </x:c>
      <x:c r="H65" s="27" t="n">
        <x:v>8</x:v>
      </x:c>
      <x:c r="I65" s="26" t="str">
        <x:v>BCV</x:v>
      </x:c>
      <x:c r="J65" s="30" t="n">
        <x:v>832.48875</x:v>
      </x:c>
      <x:c r="K65" s="28" t="n">
        <x:f>IF(B65="","",IF(ISNUMBER(H65),H65,IF(AND(ISNUMBER(G65),ISNUMBER(J65),J65&gt;0),ROUND(G65/J65,2),"")))</x:f>
        <x:v>8</x:v>
      </x:c>
      <x:c r="L65" s="31" t="str"/>
      <x:c r="M65" s="26" t="str">
        <x:v>Cuota</x:v>
      </x:c>
      <x:c r="N65" s="26" t="str">
        <x:v>Incluir</x:v>
      </x:c>
      <x:c r="O65" s="22" t="str"/>
      <x:c r="P65" s="22" t="str">
        <x:v>M-0350; M-0348</x:v>
      </x:c>
      <x:c r="Q65" s="22" t="str">
        <x:f>IF(B65="","",IF(C65="","Falta ID venta",IF(D65="ID no encontrado","ID venta inválido",IF(COUNTIFS('PAGOS'!$A$5:$A$504,A65,'PAGOS'!$B$5:$B$504,"&gt;0")&gt;1,"ID duplicado",IF(AND(L65&lt;&gt;"",COUNTIFS('PAGOS'!$L$5:$L$504,L65,'PAGOS'!$B$5:$B$504,B65,'PAGOS'!$F$5:$F$504,F65)&gt;1),"Referencia repetida",IF(N65&lt;&gt;"Incluir",N65,IF(NOT(ISNUMBER(K65)),"Falta equivalente","Aplicar")))))))</x:f>
        <x:v>Aplicar</x:v>
      </x:c>
    </x:row>
    <x:row r="66" ht="25" customHeight="1">
      <x:c r="A66" s="22" t="str">
        <x:v>P-062</x:v>
      </x:c>
      <x:c r="B66" s="25" t="n">
        <x:v>46279</x:v>
      </x:c>
      <x:c r="C66" s="26" t="str">
        <x:v>V-045</x:v>
      </x:c>
      <x:c r="D66" s="22" t="str">
        <x:f>IF(C66="","",IF(COUNTIFS('VENTAS'!$A$5:$A$254,C66,'VENTAS'!$C$5:$C$254,"&lt;&gt;")=1,INDEX('VENTAS'!$C$5:$C$254,MATCH(C66,'VENTAS'!$A$5:$A$254,0)),"ID no encontrado"))</x:f>
        <x:v>Deiner</x:v>
      </x:c>
      <x:c r="E66" s="22" t="str">
        <x:f>IF(C66="","",IF(COUNTIFS('VENTAS'!$A$5:$A$254,C66,'VENTAS'!$C$5:$C$254,"&lt;&gt;")=1,INDEX('VENTAS'!$D$5:$D$254,MATCH(C66,'VENTAS'!$A$5:$A$254,0)),"ID no encontrado"))</x:f>
        <x:v>Scandal</x:v>
      </x:c>
      <x:c r="F66" s="26" t="str">
        <x:v>Pago móvil</x:v>
      </x:c>
      <x:c r="G66" s="27" t="n">
        <x:v>11654.84</x:v>
      </x:c>
      <x:c r="H66" s="27" t="n">
        <x:v>14</x:v>
      </x:c>
      <x:c r="I66" s="26" t="str">
        <x:v>BCV</x:v>
      </x:c>
      <x:c r="J66" s="30" t="n">
        <x:v>832.488571</x:v>
      </x:c>
      <x:c r="K66" s="28" t="n">
        <x:f>IF(B66="","",IF(ISNUMBER(H66),H66,IF(AND(ISNUMBER(G66),ISNUMBER(J66),J66&gt;0),ROUND(G66/J66,2),"")))</x:f>
        <x:v>14</x:v>
      </x:c>
      <x:c r="L66" s="31" t="str"/>
      <x:c r="M66" s="26" t="str">
        <x:v>Cuota</x:v>
      </x:c>
      <x:c r="N66" s="26" t="str">
        <x:v>Incluir</x:v>
      </x:c>
      <x:c r="O66" s="22" t="str"/>
      <x:c r="P66" s="22" t="str">
        <x:v>M-0353; M-0352</x:v>
      </x:c>
      <x:c r="Q66" s="22" t="str">
        <x:f>IF(B66="","",IF(C66="","Falta ID venta",IF(D66="ID no encontrado","ID venta inválido",IF(COUNTIFS('PAGOS'!$A$5:$A$504,A66,'PAGOS'!$B$5:$B$504,"&gt;0")&gt;1,"ID duplicado",IF(AND(L66&lt;&gt;"",COUNTIFS('PAGOS'!$L$5:$L$504,L66,'PAGOS'!$B$5:$B$504,B66,'PAGOS'!$F$5:$F$504,F66)&gt;1),"Referencia repetida",IF(N66&lt;&gt;"Incluir",N66,IF(NOT(ISNUMBER(K66)),"Falta equivalente","Aplicar")))))))</x:f>
        <x:v>Aplicar</x:v>
      </x:c>
    </x:row>
    <x:row r="67" ht="25" customHeight="1">
      <x:c r="A67" s="22" t="str">
        <x:v>P-063</x:v>
      </x:c>
      <x:c r="B67" s="25" t="n">
        <x:v>46280</x:v>
      </x:c>
      <x:c r="C67" s="26" t="str">
        <x:v>V-042</x:v>
      </x:c>
      <x:c r="D67" s="22" t="str">
        <x:f>IF(C67="","",IF(COUNTIFS('VENTAS'!$A$5:$A$254,C67,'VENTAS'!$C$5:$C$254,"&lt;&gt;")=1,INDEX('VENTAS'!$C$5:$C$254,MATCH(C67,'VENTAS'!$A$5:$A$254,0)),"ID no encontrado"))</x:f>
        <x:v>Francheska</x:v>
      </x:c>
      <x:c r="E67" s="22" t="str">
        <x:f>IF(C67="","",IF(COUNTIFS('VENTAS'!$A$5:$A$254,C67,'VENTAS'!$C$5:$C$254,"&lt;&gt;")=1,INDEX('VENTAS'!$D$5:$D$254,MATCH(C67,'VENTAS'!$A$5:$A$254,0)),"ID no encontrado"))</x:f>
        <x:v>Khamrah</x:v>
      </x:c>
      <x:c r="F67" s="26" t="str">
        <x:v>Pago móvil</x:v>
      </x:c>
      <x:c r="G67" s="27" t="n">
        <x:v>17686.34</x:v>
      </x:c>
      <x:c r="H67" s="27" t="n">
        <x:v>21</x:v>
      </x:c>
      <x:c r="I67" s="26" t="str">
        <x:v>BCV</x:v>
      </x:c>
      <x:c r="J67" s="30" t="n">
        <x:v>842.206667</x:v>
      </x:c>
      <x:c r="K67" s="28" t="n">
        <x:f>IF(B67="","",IF(ISNUMBER(H67),H67,IF(AND(ISNUMBER(G67),ISNUMBER(J67),J67&gt;0),ROUND(G67/J67,2),"")))</x:f>
        <x:v>21</x:v>
      </x:c>
      <x:c r="L67" s="31" t="str"/>
      <x:c r="M67" s="26" t="str">
        <x:v>Cuota</x:v>
      </x:c>
      <x:c r="N67" s="26" t="str">
        <x:v>Incluir</x:v>
      </x:c>
      <x:c r="O67" s="22" t="str"/>
      <x:c r="P67" s="22" t="str">
        <x:v>M-0356; M-0355</x:v>
      </x:c>
      <x:c r="Q67" s="22" t="str">
        <x:f>IF(B67="","",IF(C67="","Falta ID venta",IF(D67="ID no encontrado","ID venta inválido",IF(COUNTIFS('PAGOS'!$A$5:$A$504,A67,'PAGOS'!$B$5:$B$504,"&gt;0")&gt;1,"ID duplicado",IF(AND(L67&lt;&gt;"",COUNTIFS('PAGOS'!$L$5:$L$504,L67,'PAGOS'!$B$5:$B$504,B67,'PAGOS'!$F$5:$F$504,F67)&gt;1),"Referencia repetida",IF(N67&lt;&gt;"Incluir",N67,IF(NOT(ISNUMBER(K67)),"Falta equivalente","Aplicar")))))))</x:f>
        <x:v>Aplicar</x:v>
      </x:c>
    </x:row>
    <x:row r="68" ht="25" customHeight="1">
      <x:c r="A68" s="22" t="str">
        <x:v>P-064</x:v>
      </x:c>
      <x:c r="B68" s="25" t="n">
        <x:v>46281</x:v>
      </x:c>
      <x:c r="C68" s="26" t="str">
        <x:v>V-038</x:v>
      </x:c>
      <x:c r="D68" s="22" t="str">
        <x:f>IF(C68="","",IF(COUNTIFS('VENTAS'!$A$5:$A$254,C68,'VENTAS'!$C$5:$C$254,"&lt;&gt;")=1,INDEX('VENTAS'!$C$5:$C$254,MATCH(C68,'VENTAS'!$A$5:$A$254,0)),"ID no encontrado"))</x:f>
        <x:v>Gabriel Medina</x:v>
      </x:c>
      <x:c r="E68" s="22" t="str">
        <x:f>IF(C68="","",IF(COUNTIFS('VENTAS'!$A$5:$A$254,C68,'VENTAS'!$C$5:$C$254,"&lt;&gt;")=1,INDEX('VENTAS'!$D$5:$D$254,MATCH(C68,'VENTAS'!$A$5:$A$254,0)),"ID no encontrado"))</x:f>
        <x:v>Scandal</x:v>
      </x:c>
      <x:c r="F68" s="26" t="str">
        <x:v>Pago móvil</x:v>
      </x:c>
      <x:c r="G68" s="27" t="n">
        <x:v>18625</x:v>
      </x:c>
      <x:c r="H68" s="27" t="n">
        <x:v>22</x:v>
      </x:c>
      <x:c r="I68" s="26" t="str">
        <x:v>BCV</x:v>
      </x:c>
      <x:c r="J68" s="30" t="n">
        <x:v>846.590909</x:v>
      </x:c>
      <x:c r="K68" s="28" t="n">
        <x:f>IF(B68="","",IF(ISNUMBER(H68),H68,IF(AND(ISNUMBER(G68),ISNUMBER(J68),J68&gt;0),ROUND(G68/J68,2),"")))</x:f>
        <x:v>22</x:v>
      </x:c>
      <x:c r="L68" s="31" t="str"/>
      <x:c r="M68" s="26" t="str">
        <x:v>Cuota</x:v>
      </x:c>
      <x:c r="N68" s="26" t="str">
        <x:v>Incluir</x:v>
      </x:c>
      <x:c r="O68" s="22" t="str"/>
      <x:c r="P68" s="22" t="str">
        <x:v>M-0361; M-0360</x:v>
      </x:c>
      <x:c r="Q68" s="22" t="str">
        <x:f>IF(B68="","",IF(C68="","Falta ID venta",IF(D68="ID no encontrado","ID venta inválido",IF(COUNTIFS('PAGOS'!$A$5:$A$504,A68,'PAGOS'!$B$5:$B$504,"&gt;0")&gt;1,"ID duplicado",IF(AND(L68&lt;&gt;"",COUNTIFS('PAGOS'!$L$5:$L$504,L68,'PAGOS'!$B$5:$B$504,B68,'PAGOS'!$F$5:$F$504,F68)&gt;1),"Referencia repetida",IF(N68&lt;&gt;"Incluir",N68,IF(NOT(ISNUMBER(K68)),"Falta equivalente","Aplicar")))))))</x:f>
        <x:v>Aplicar</x:v>
      </x:c>
    </x:row>
    <x:row r="69" ht="25" customHeight="1">
      <x:c r="A69" s="22" t="str">
        <x:v>P-065</x:v>
      </x:c>
      <x:c r="B69" s="25" t="n">
        <x:v>46283</x:v>
      </x:c>
      <x:c r="C69" s="26" t="str">
        <x:v>V-043</x:v>
      </x:c>
      <x:c r="D69" s="22" t="str">
        <x:f>IF(C69="","",IF(COUNTIFS('VENTAS'!$A$5:$A$254,C69,'VENTAS'!$C$5:$C$254,"&lt;&gt;")=1,INDEX('VENTAS'!$C$5:$C$254,MATCH(C69,'VENTAS'!$A$5:$A$254,0)),"ID no encontrado"))</x:f>
        <x:v>Landaeta</x:v>
      </x:c>
      <x:c r="E69" s="22" t="str">
        <x:f>IF(C69="","",IF(COUNTIFS('VENTAS'!$A$5:$A$254,C69,'VENTAS'!$C$5:$C$254,"&lt;&gt;")=1,INDEX('VENTAS'!$D$5:$D$254,MATCH(C69,'VENTAS'!$A$5:$A$254,0)),"ID no encontrado"))</x:f>
        <x:v>Invictus Clasico</x:v>
      </x:c>
      <x:c r="F69" s="26" t="str">
        <x:v>Pago móvil</x:v>
      </x:c>
      <x:c r="G69" s="27" t="n">
        <x:v>16920</x:v>
      </x:c>
      <x:c r="H69" s="27" t="n">
        <x:v>20</x:v>
      </x:c>
      <x:c r="I69" s="26" t="str">
        <x:v>BCV</x:v>
      </x:c>
      <x:c r="J69" s="30" t="n">
        <x:v>846</x:v>
      </x:c>
      <x:c r="K69" s="28" t="n">
        <x:f>IF(B69="","",IF(ISNUMBER(H69),H69,IF(AND(ISNUMBER(G69),ISNUMBER(J69),J69&gt;0),ROUND(G69/J69,2),"")))</x:f>
        <x:v>20</x:v>
      </x:c>
      <x:c r="L69" s="31" t="str">
        <x:v>1072</x:v>
      </x:c>
      <x:c r="M69" s="26" t="str">
        <x:v>Cuota</x:v>
      </x:c>
      <x:c r="N69" s="26" t="str">
        <x:v>Incluir</x:v>
      </x:c>
      <x:c r="O69" s="22" t="str"/>
      <x:c r="P69" s="22" t="str">
        <x:v>M-0371</x:v>
      </x:c>
      <x:c r="Q69" s="22" t="str">
        <x:f>IF(B69="","",IF(C69="","Falta ID venta",IF(D69="ID no encontrado","ID venta inválido",IF(COUNTIFS('PAGOS'!$A$5:$A$504,A69,'PAGOS'!$B$5:$B$504,"&gt;0")&gt;1,"ID duplicado",IF(AND(L69&lt;&gt;"",COUNTIFS('PAGOS'!$L$5:$L$504,L69,'PAGOS'!$B$5:$B$504,B69,'PAGOS'!$F$5:$F$504,F69)&gt;1),"Referencia repetida",IF(N69&lt;&gt;"Incluir",N69,IF(NOT(ISNUMBER(K69)),"Falta equivalente","Aplicar")))))))</x:f>
        <x:v>Aplicar</x:v>
      </x:c>
    </x:row>
    <x:row r="70" ht="25" customHeight="1">
      <x:c r="A70" s="22" t="str">
        <x:v>P-066</x:v>
      </x:c>
      <x:c r="B70" s="25" t="n">
        <x:v>46283</x:v>
      </x:c>
      <x:c r="C70" s="26" t="str">
        <x:v>V-044</x:v>
      </x:c>
      <x:c r="D70" s="22" t="str">
        <x:f>IF(C70="","",IF(COUNTIFS('VENTAS'!$A$5:$A$254,C70,'VENTAS'!$C$5:$C$254,"&lt;&gt;")=1,INDEX('VENTAS'!$C$5:$C$254,MATCH(C70,'VENTAS'!$A$5:$A$254,0)),"ID no encontrado"))</x:f>
        <x:v>Landaeta</x:v>
      </x:c>
      <x:c r="E70" s="22" t="str">
        <x:f>IF(C70="","",IF(COUNTIFS('VENTAS'!$A$5:$A$254,C70,'VENTAS'!$C$5:$C$254,"&lt;&gt;")=1,INDEX('VENTAS'!$D$5:$D$254,MATCH(C70,'VENTAS'!$A$5:$A$254,0)),"ID no encontrado"))</x:f>
        <x:v>Asad</x:v>
      </x:c>
      <x:c r="F70" s="26" t="str">
        <x:v>Pago móvil</x:v>
      </x:c>
      <x:c r="G70" s="27" t="n">
        <x:v>848.55</x:v>
      </x:c>
      <x:c r="H70" s="27" t="str"/>
      <x:c r="I70" s="26" t="str">
        <x:v>BCV</x:v>
      </x:c>
      <x:c r="J70" s="30" t="str"/>
      <x:c r="K70" s="28" t="str">
        <x:f>IF(B70="","",IF(ISNUMBER(H70),H70,IF(AND(ISNUMBER(G70),ISNUMBER(J70),J70&gt;0),ROUND(G70/J70,2),"")))</x:f>
      </x:c>
      <x:c r="L70" s="31" t="str">
        <x:v>1012</x:v>
      </x:c>
      <x:c r="M70" s="26" t="str">
        <x:v>Cuota</x:v>
      </x:c>
      <x:c r="N70" s="26" t="str">
        <x:v>Incluir</x:v>
      </x:c>
      <x:c r="O70" s="22" t="str">
        <x:v> El aviso de 35$ agrupa tres cobros. No se distribuye sin soporte. Falta equivalente aplicado a la deuda; no se inventa tasa histórica.</x:v>
      </x:c>
      <x:c r="P70" s="22" t="str">
        <x:v>M-0372</x:v>
      </x:c>
      <x:c r="Q70" s="22" t="str">
        <x:f>IF(B70="","",IF(C70="","Falta ID venta",IF(D70="ID no encontrado","ID venta inválido",IF(COUNTIFS('PAGOS'!$A$5:$A$504,A70,'PAGOS'!$B$5:$B$504,"&gt;0")&gt;1,"ID duplicado",IF(AND(L70&lt;&gt;"",COUNTIFS('PAGOS'!$L$5:$L$504,L70,'PAGOS'!$B$5:$B$504,B70,'PAGOS'!$F$5:$F$504,F70)&gt;1),"Referencia repetida",IF(N70&lt;&gt;"Incluir",N70,IF(NOT(ISNUMBER(K70)),"Falta equivalente","Aplicar")))))))</x:f>
        <x:v>Falta equivalente</x:v>
      </x:c>
    </x:row>
    <x:row r="71" ht="25" customHeight="1">
      <x:c r="A71" s="22" t="str">
        <x:v>P-067</x:v>
      </x:c>
      <x:c r="B71" s="25" t="n">
        <x:v>46283</x:v>
      </x:c>
      <x:c r="C71" s="26" t="str">
        <x:v>V-059</x:v>
      </x:c>
      <x:c r="D71" s="22" t="str">
        <x:f>IF(C71="","",IF(COUNTIFS('VENTAS'!$A$5:$A$254,C71,'VENTAS'!$C$5:$C$254,"&lt;&gt;")=1,INDEX('VENTAS'!$C$5:$C$254,MATCH(C71,'VENTAS'!$A$5:$A$254,0)),"ID no encontrado"))</x:f>
        <x:v>Landaeta</x:v>
      </x:c>
      <x:c r="E71" s="22" t="str">
        <x:f>IF(C71="","",IF(COUNTIFS('VENTAS'!$A$5:$A$254,C71,'VENTAS'!$C$5:$C$254,"&lt;&gt;")=1,INDEX('VENTAS'!$D$5:$D$254,MATCH(C71,'VENTAS'!$A$5:$A$254,0)),"ID no encontrado"))</x:f>
        <x:v>Cloud</x:v>
      </x:c>
      <x:c r="F71" s="26" t="str">
        <x:v>Pago móvil</x:v>
      </x:c>
      <x:c r="G71" s="27" t="n">
        <x:v>12231.45</x:v>
      </x:c>
      <x:c r="H71" s="27" t="str"/>
      <x:c r="I71" s="26" t="str">
        <x:v>BCV</x:v>
      </x:c>
      <x:c r="J71" s="30" t="str"/>
      <x:c r="K71" s="28" t="str">
        <x:f>IF(B71="","",IF(ISNUMBER(H71),H71,IF(AND(ISNUMBER(G71),ISNUMBER(J71),J71&gt;0),ROUND(G71/J71,2),"")))</x:f>
      </x:c>
      <x:c r="L71" s="31" t="str"/>
      <x:c r="M71" s="26" t="str">
        <x:v>Cuota</x:v>
      </x:c>
      <x:c r="N71" s="26" t="str">
        <x:v>Incluir</x:v>
      </x:c>
      <x:c r="O71" s="22" t="str">
        <x:v> Falta equivalente aplicado a la deuda; no se inventa tasa histórica.</x:v>
      </x:c>
      <x:c r="P71" s="22" t="str">
        <x:v>M-0380</x:v>
      </x:c>
      <x:c r="Q71" s="22" t="str">
        <x:f>IF(B71="","",IF(C71="","Falta ID venta",IF(D71="ID no encontrado","ID venta inválido",IF(COUNTIFS('PAGOS'!$A$5:$A$504,A71,'PAGOS'!$B$5:$B$504,"&gt;0")&gt;1,"ID duplicado",IF(AND(L71&lt;&gt;"",COUNTIFS('PAGOS'!$L$5:$L$504,L71,'PAGOS'!$B$5:$B$504,B71,'PAGOS'!$F$5:$F$504,F71)&gt;1),"Referencia repetida",IF(N71&lt;&gt;"Incluir",N71,IF(NOT(ISNUMBER(K71)),"Falta equivalente","Aplicar")))))))</x:f>
        <x:v>Falta equivalente</x:v>
      </x:c>
    </x:row>
    <x:row r="72" ht="25" customHeight="1">
      <x:c r="A72" s="22" t="str">
        <x:v>P-068</x:v>
      </x:c>
      <x:c r="B72" s="25" t="n">
        <x:v>46283</x:v>
      </x:c>
      <x:c r="C72" s="26" t="str">
        <x:v>V-036</x:v>
      </x:c>
      <x:c r="D72" s="22" t="str">
        <x:f>IF(C72="","",IF(COUNTIFS('VENTAS'!$A$5:$A$254,C72,'VENTAS'!$C$5:$C$254,"&lt;&gt;")=1,INDEX('VENTAS'!$C$5:$C$254,MATCH(C72,'VENTAS'!$A$5:$A$254,0)),"ID no encontrado"))</x:f>
        <x:v>Cristhian Gonzales</x:v>
      </x:c>
      <x:c r="E72" s="22" t="str">
        <x:f>IF(C72="","",IF(COUNTIFS('VENTAS'!$A$5:$A$254,C72,'VENTAS'!$C$5:$C$254,"&lt;&gt;")=1,INDEX('VENTAS'!$D$5:$D$254,MATCH(C72,'VENTAS'!$A$5:$A$254,0)),"ID no encontrado"))</x:f>
        <x:v>9PM Rebel Original</x:v>
      </x:c>
      <x:c r="F72" s="26" t="str">
        <x:v>Pago móvil</x:v>
      </x:c>
      <x:c r="G72" s="27" t="n">
        <x:v>8485.46</x:v>
      </x:c>
      <x:c r="H72" s="27" t="n">
        <x:v>10</x:v>
      </x:c>
      <x:c r="I72" s="26" t="str">
        <x:v>BCV</x:v>
      </x:c>
      <x:c r="J72" s="30" t="n">
        <x:v>848.546</x:v>
      </x:c>
      <x:c r="K72" s="28" t="n">
        <x:f>IF(B72="","",IF(ISNUMBER(H72),H72,IF(AND(ISNUMBER(G72),ISNUMBER(J72),J72&gt;0),ROUND(G72/J72,2),"")))</x:f>
        <x:v>10</x:v>
      </x:c>
      <x:c r="L72" s="31" t="str">
        <x:v>6039</x:v>
      </x:c>
      <x:c r="M72" s="26" t="str">
        <x:v>Cuota</x:v>
      </x:c>
      <x:c r="N72" s="26" t="str">
        <x:v>Incluir</x:v>
      </x:c>
      <x:c r="O72" s="22" t="str"/>
      <x:c r="P72" s="22" t="str">
        <x:v>M-0381; M-0365</x:v>
      </x:c>
      <x:c r="Q72" s="22" t="str">
        <x:f>IF(B72="","",IF(C72="","Falta ID venta",IF(D72="ID no encontrado","ID venta inválido",IF(COUNTIFS('PAGOS'!$A$5:$A$504,A72,'PAGOS'!$B$5:$B$504,"&gt;0")&gt;1,"ID duplicado",IF(AND(L72&lt;&gt;"",COUNTIFS('PAGOS'!$L$5:$L$504,L72,'PAGOS'!$B$5:$B$504,B72,'PAGOS'!$F$5:$F$504,F72)&gt;1),"Referencia repetida",IF(N72&lt;&gt;"Incluir",N72,IF(NOT(ISNUMBER(K72)),"Falta equivalente","Aplicar")))))))</x:f>
        <x:v>Aplicar</x:v>
      </x:c>
    </x:row>
    <x:row r="73" ht="25" customHeight="1">
      <x:c r="A73" s="22" t="str">
        <x:v>P-069</x:v>
      </x:c>
      <x:c r="B73" s="25" t="n">
        <x:v>46284</x:v>
      </x:c>
      <x:c r="C73" s="26" t="str">
        <x:v>V-057</x:v>
      </x:c>
      <x:c r="D73" s="22" t="str">
        <x:f>IF(C73="","",IF(COUNTIFS('VENTAS'!$A$5:$A$254,C73,'VENTAS'!$C$5:$C$254,"&lt;&gt;")=1,INDEX('VENTAS'!$C$5:$C$254,MATCH(C73,'VENTAS'!$A$5:$A$254,0)),"ID no encontrado"))</x:f>
        <x:v>Amarista</x:v>
      </x:c>
      <x:c r="E73" s="22" t="str">
        <x:f>IF(C73="","",IF(COUNTIFS('VENTAS'!$A$5:$A$254,C73,'VENTAS'!$C$5:$C$254,"&lt;&gt;")=1,INDEX('VENTAS'!$D$5:$D$254,MATCH(C73,'VENTAS'!$A$5:$A$254,0)),"ID no encontrado"))</x:f>
        <x:v>9PM Rebel Mini</x:v>
      </x:c>
      <x:c r="F73" s="26" t="str">
        <x:v>Pago móvil</x:v>
      </x:c>
      <x:c r="G73" s="27" t="n">
        <x:v>6788.38</x:v>
      </x:c>
      <x:c r="H73" s="27" t="n">
        <x:v>8</x:v>
      </x:c>
      <x:c r="I73" s="26" t="str">
        <x:v>BCV</x:v>
      </x:c>
      <x:c r="J73" s="30" t="n">
        <x:v>848.5475</x:v>
      </x:c>
      <x:c r="K73" s="28" t="n">
        <x:f>IF(B73="","",IF(ISNUMBER(H73),H73,IF(AND(ISNUMBER(G73),ISNUMBER(J73),J73&gt;0),ROUND(G73/J73,2),"")))</x:f>
        <x:v>8</x:v>
      </x:c>
      <x:c r="L73" s="31" t="str">
        <x:v>0444</x:v>
      </x:c>
      <x:c r="M73" s="26" t="str">
        <x:v>Cuota</x:v>
      </x:c>
      <x:c r="N73" s="26" t="str">
        <x:v>Incluir</x:v>
      </x:c>
      <x:c r="O73" s="22" t="str"/>
      <x:c r="P73" s="22" t="str">
        <x:v>M-0382; M-0367</x:v>
      </x:c>
      <x:c r="Q73" s="22" t="str">
        <x:f>IF(B73="","",IF(C73="","Falta ID venta",IF(D73="ID no encontrado","ID venta inválido",IF(COUNTIFS('PAGOS'!$A$5:$A$504,A73,'PAGOS'!$B$5:$B$504,"&gt;0")&gt;1,"ID duplicado",IF(AND(L73&lt;&gt;"",COUNTIFS('PAGOS'!$L$5:$L$504,L73,'PAGOS'!$B$5:$B$504,B73,'PAGOS'!$F$5:$F$504,F73)&gt;1),"Referencia repetida",IF(N73&lt;&gt;"Incluir",N73,IF(NOT(ISNUMBER(K73)),"Falta equivalente","Aplicar")))))))</x:f>
        <x:v>Aplicar</x:v>
      </x:c>
    </x:row>
    <x:row r="74" ht="25" customHeight="1">
      <x:c r="A74" s="22" t="str">
        <x:v>P-070</x:v>
      </x:c>
      <x:c r="B74" s="25" t="n">
        <x:v>46284</x:v>
      </x:c>
      <x:c r="C74" s="26" t="str">
        <x:v>V-010</x:v>
      </x:c>
      <x:c r="D74" s="22" t="str">
        <x:f>IF(C74="","",IF(COUNTIFS('VENTAS'!$A$5:$A$254,C74,'VENTAS'!$C$5:$C$254,"&lt;&gt;")=1,INDEX('VENTAS'!$C$5:$C$254,MATCH(C74,'VENTAS'!$A$5:$A$254,0)),"ID no encontrado"))</x:f>
        <x:v>Ivana</x:v>
      </x:c>
      <x:c r="E74" s="22" t="str">
        <x:f>IF(C74="","",IF(COUNTIFS('VENTAS'!$A$5:$A$254,C74,'VENTAS'!$C$5:$C$254,"&lt;&gt;")=1,INDEX('VENTAS'!$D$5:$D$254,MATCH(C74,'VENTAS'!$A$5:$A$254,0)),"ID no encontrado"))</x:f>
        <x:v>La Bomba</x:v>
      </x:c>
      <x:c r="F74" s="26" t="str">
        <x:v>Pago móvil</x:v>
      </x:c>
      <x:c r="G74" s="27" t="n">
        <x:v>13000</x:v>
      </x:c>
      <x:c r="H74" s="27" t="n">
        <x:v>15</x:v>
      </x:c>
      <x:c r="I74" s="26" t="str">
        <x:v>BCV</x:v>
      </x:c>
      <x:c r="J74" s="30" t="n">
        <x:v>866.666667</x:v>
      </x:c>
      <x:c r="K74" s="28" t="n">
        <x:f>IF(B74="","",IF(ISNUMBER(H74),H74,IF(AND(ISNUMBER(G74),ISNUMBER(J74),J74&gt;0),ROUND(G74/J74,2),"")))</x:f>
        <x:v>15</x:v>
      </x:c>
      <x:c r="L74" s="31" t="str"/>
      <x:c r="M74" s="26" t="str">
        <x:v>Cuota</x:v>
      </x:c>
      <x:c r="N74" s="26" t="str">
        <x:v>Incluir</x:v>
      </x:c>
      <x:c r="O74" s="22" t="str"/>
      <x:c r="P74" s="22" t="str">
        <x:v>M-0383; M-0370</x:v>
      </x:c>
      <x:c r="Q74" s="22" t="str">
        <x:f>IF(B74="","",IF(C74="","Falta ID venta",IF(D74="ID no encontrado","ID venta inválido",IF(COUNTIFS('PAGOS'!$A$5:$A$504,A74,'PAGOS'!$B$5:$B$504,"&gt;0")&gt;1,"ID duplicado",IF(AND(L74&lt;&gt;"",COUNTIFS('PAGOS'!$L$5:$L$504,L74,'PAGOS'!$B$5:$B$504,B74,'PAGOS'!$F$5:$F$504,F74)&gt;1),"Referencia repetida",IF(N74&lt;&gt;"Incluir",N74,IF(NOT(ISNUMBER(K74)),"Falta equivalente","Aplicar")))))))</x:f>
        <x:v>Aplicar</x:v>
      </x:c>
    </x:row>
    <x:row r="75" ht="25" customHeight="1">
      <x:c r="A75" s="22" t="str">
        <x:v>P-071</x:v>
      </x:c>
      <x:c r="B75" s="25" t="n">
        <x:v>46284</x:v>
      </x:c>
      <x:c r="C75" s="26" t="str">
        <x:v>V-024</x:v>
      </x:c>
      <x:c r="D75" s="22" t="str">
        <x:f>IF(C75="","",IF(COUNTIFS('VENTAS'!$A$5:$A$254,C75,'VENTAS'!$C$5:$C$254,"&lt;&gt;")=1,INDEX('VENTAS'!$C$5:$C$254,MATCH(C75,'VENTAS'!$A$5:$A$254,0)),"ID no encontrado"))</x:f>
        <x:v>Melany</x:v>
      </x:c>
      <x:c r="E75" s="22" t="str">
        <x:f>IF(C75="","",IF(COUNTIFS('VENTAS'!$A$5:$A$254,C75,'VENTAS'!$C$5:$C$254,"&lt;&gt;")=1,INDEX('VENTAS'!$D$5:$D$254,MATCH(C75,'VENTAS'!$A$5:$A$254,0)),"ID no encontrado"))</x:f>
        <x:v>Cloud</x:v>
      </x:c>
      <x:c r="F75" s="26" t="str">
        <x:v>Pago móvil</x:v>
      </x:c>
      <x:c r="G75" s="27" t="n">
        <x:v>8490</x:v>
      </x:c>
      <x:c r="H75" s="27" t="n">
        <x:v>10</x:v>
      </x:c>
      <x:c r="I75" s="26" t="str">
        <x:v>BCV</x:v>
      </x:c>
      <x:c r="J75" s="30" t="n">
        <x:v>849</x:v>
      </x:c>
      <x:c r="K75" s="28" t="n">
        <x:f>IF(B75="","",IF(ISNUMBER(H75),H75,IF(AND(ISNUMBER(G75),ISNUMBER(J75),J75&gt;0),ROUND(G75/J75,2),"")))</x:f>
        <x:v>10</x:v>
      </x:c>
      <x:c r="L75" s="31" t="str"/>
      <x:c r="M75" s="26" t="str">
        <x:v>Cuota</x:v>
      </x:c>
      <x:c r="N75" s="26" t="str">
        <x:v>Incluir</x:v>
      </x:c>
      <x:c r="O75" s="22" t="str"/>
      <x:c r="P75" s="22" t="str">
        <x:v>M-0419; M-0420</x:v>
      </x:c>
      <x:c r="Q75" s="22" t="str">
        <x:f>IF(B75="","",IF(C75="","Falta ID venta",IF(D75="ID no encontrado","ID venta inválido",IF(COUNTIFS('PAGOS'!$A$5:$A$504,A75,'PAGOS'!$B$5:$B$504,"&gt;0")&gt;1,"ID duplicado",IF(AND(L75&lt;&gt;"",COUNTIFS('PAGOS'!$L$5:$L$504,L75,'PAGOS'!$B$5:$B$504,B75,'PAGOS'!$F$5:$F$504,F75)&gt;1),"Referencia repetida",IF(N75&lt;&gt;"Incluir",N75,IF(NOT(ISNUMBER(K75)),"Falta equivalente","Aplicar")))))))</x:f>
        <x:v>Aplicar</x:v>
      </x:c>
    </x:row>
    <x:row r="76" ht="25" customHeight="1">
      <x:c r="A76" s="22" t="str">
        <x:v>P-072</x:v>
      </x:c>
      <x:c r="B76" s="25" t="n">
        <x:v>46275</x:v>
      </x:c>
      <x:c r="C76" s="26" t="str">
        <x:v>V-055</x:v>
      </x:c>
      <x:c r="D76" s="22" t="str">
        <x:f>IF(C76="","",IF(COUNTIFS('VENTAS'!$A$5:$A$254,C76,'VENTAS'!$C$5:$C$254,"&lt;&gt;")=1,INDEX('VENTAS'!$C$5:$C$254,MATCH(C76,'VENTAS'!$A$5:$A$254,0)),"ID no encontrado"))</x:f>
        <x:v>Raúl Aparicio</x:v>
      </x:c>
      <x:c r="E76" s="22" t="str">
        <x:f>IF(C76="","",IF(COUNTIFS('VENTAS'!$A$5:$A$254,C76,'VENTAS'!$C$5:$C$254,"&lt;&gt;")=1,INDEX('VENTAS'!$D$5:$D$254,MATCH(C76,'VENTAS'!$A$5:$A$254,0)),"ID no encontrado"))</x:f>
        <x:v>9PM Rebel Mini</x:v>
      </x:c>
      <x:c r="F76" s="26" t="str">
        <x:v>Pago móvil</x:v>
      </x:c>
      <x:c r="G76" s="27" t="str"/>
      <x:c r="H76" s="27" t="n">
        <x:v>8</x:v>
      </x:c>
      <x:c r="I76" s="26" t="str">
        <x:v>BCV</x:v>
      </x:c>
      <x:c r="J76" s="30" t="str"/>
      <x:c r="K76" s="28" t="n">
        <x:f>IF(B76="","",IF(ISNUMBER(H76),H76,IF(AND(ISNUMBER(G76),ISNUMBER(J76),J76&gt;0),ROUND(G76/J76,2),"")))</x:f>
        <x:v>8</x:v>
      </x:c>
      <x:c r="L76" s="31" t="str"/>
      <x:c r="M76" s="26" t="str">
        <x:v>Inicial</x:v>
      </x:c>
      <x:c r="N76" s="26" t="str">
        <x:v>Incluir</x:v>
      </x:c>
      <x:c r="O76" s="22" t="str">
        <x:v>Inicial explícita en ficha de venta; no existe cobro coincidente.</x:v>
      </x:c>
      <x:c r="P76" s="22" t="str">
        <x:v>M-0321</x:v>
      </x:c>
      <x:c r="Q76" s="22" t="str">
        <x:f>IF(B76="","",IF(C76="","Falta ID venta",IF(D76="ID no encontrado","ID venta inválido",IF(COUNTIFS('PAGOS'!$A$5:$A$504,A76,'PAGOS'!$B$5:$B$504,"&gt;0")&gt;1,"ID duplicado",IF(AND(L76&lt;&gt;"",COUNTIFS('PAGOS'!$L$5:$L$504,L76,'PAGOS'!$B$5:$B$504,B76,'PAGOS'!$F$5:$F$504,F76)&gt;1),"Referencia repetida",IF(N76&lt;&gt;"Incluir",N76,IF(NOT(ISNUMBER(K76)),"Falta equivalente","Aplicar")))))))</x:f>
        <x:v>Aplicar</x:v>
      </x:c>
    </x:row>
    <x:row r="77" ht="25" customHeight="1">
      <x:c r="A77" s="22" t="str">
        <x:v>P-073</x:v>
      </x:c>
      <x:c r="B77" s="25" t="n">
        <x:v>46275</x:v>
      </x:c>
      <x:c r="C77" s="26" t="str">
        <x:v>V-057</x:v>
      </x:c>
      <x:c r="D77" s="22" t="str">
        <x:f>IF(C77="","",IF(COUNTIFS('VENTAS'!$A$5:$A$254,C77,'VENTAS'!$C$5:$C$254,"&lt;&gt;")=1,INDEX('VENTAS'!$C$5:$C$254,MATCH(C77,'VENTAS'!$A$5:$A$254,0)),"ID no encontrado"))</x:f>
        <x:v>Amarista</x:v>
      </x:c>
      <x:c r="E77" s="22" t="str">
        <x:f>IF(C77="","",IF(COUNTIFS('VENTAS'!$A$5:$A$254,C77,'VENTAS'!$C$5:$C$254,"&lt;&gt;")=1,INDEX('VENTAS'!$D$5:$D$254,MATCH(C77,'VENTAS'!$A$5:$A$254,0)),"ID no encontrado"))</x:f>
        <x:v>9PM Rebel Mini</x:v>
      </x:c>
      <x:c r="F77" s="26" t="str">
        <x:v>Pago móvil</x:v>
      </x:c>
      <x:c r="G77" s="27" t="str"/>
      <x:c r="H77" s="27" t="n">
        <x:v>8</x:v>
      </x:c>
      <x:c r="I77" s="26" t="str">
        <x:v>BCV</x:v>
      </x:c>
      <x:c r="J77" s="30" t="str"/>
      <x:c r="K77" s="28" t="n">
        <x:f>IF(B77="","",IF(ISNUMBER(H77),H77,IF(AND(ISNUMBER(G77),ISNUMBER(J77),J77&gt;0),ROUND(G77/J77,2),"")))</x:f>
        <x:v>8</x:v>
      </x:c>
      <x:c r="L77" s="31" t="str"/>
      <x:c r="M77" s="26" t="str">
        <x:v>Inicial</x:v>
      </x:c>
      <x:c r="N77" s="26" t="str">
        <x:v>Incluir</x:v>
      </x:c>
      <x:c r="O77" s="22" t="str">
        <x:v>Inicial explícita en ficha de venta; no existe cobro coincidente.</x:v>
      </x:c>
      <x:c r="P77" s="22" t="str">
        <x:v>M-0323</x:v>
      </x:c>
      <x:c r="Q77" s="22" t="str">
        <x:f>IF(B77="","",IF(C77="","Falta ID venta",IF(D77="ID no encontrado","ID venta inválido",IF(COUNTIFS('PAGOS'!$A$5:$A$504,A77,'PAGOS'!$B$5:$B$504,"&gt;0")&gt;1,"ID duplicado",IF(AND(L77&lt;&gt;"",COUNTIFS('PAGOS'!$L$5:$L$504,L77,'PAGOS'!$B$5:$B$504,B77,'PAGOS'!$F$5:$F$504,F77)&gt;1),"Referencia repetida",IF(N77&lt;&gt;"Incluir",N77,IF(NOT(ISNUMBER(K77)),"Falta equivalente","Aplicar")))))))</x:f>
        <x:v>Aplicar</x:v>
      </x:c>
    </x:row>
    <x:row r="78" ht="25" customHeight="1">
      <x:c r="A78" s="22" t="str">
        <x:v>P-074</x:v>
      </x:c>
      <x:c r="B78" s="25" t="n">
        <x:v>46275</x:v>
      </x:c>
      <x:c r="C78" s="26" t="str">
        <x:v>V-059</x:v>
      </x:c>
      <x:c r="D78" s="22" t="str">
        <x:f>IF(C78="","",IF(COUNTIFS('VENTAS'!$A$5:$A$254,C78,'VENTAS'!$C$5:$C$254,"&lt;&gt;")=1,INDEX('VENTAS'!$C$5:$C$254,MATCH(C78,'VENTAS'!$A$5:$A$254,0)),"ID no encontrado"))</x:f>
        <x:v>Landaeta</x:v>
      </x:c>
      <x:c r="E78" s="22" t="str">
        <x:f>IF(C78="","",IF(COUNTIFS('VENTAS'!$A$5:$A$254,C78,'VENTAS'!$C$5:$C$254,"&lt;&gt;")=1,INDEX('VENTAS'!$D$5:$D$254,MATCH(C78,'VENTAS'!$A$5:$A$254,0)),"ID no encontrado"))</x:f>
        <x:v>Cloud</x:v>
      </x:c>
      <x:c r="F78" s="26" t="str">
        <x:v>Pago móvil</x:v>
      </x:c>
      <x:c r="G78" s="27" t="str"/>
      <x:c r="H78" s="27" t="n">
        <x:v>13</x:v>
      </x:c>
      <x:c r="I78" s="26" t="str">
        <x:v>BCV</x:v>
      </x:c>
      <x:c r="J78" s="30" t="str"/>
      <x:c r="K78" s="28" t="n">
        <x:f>IF(B78="","",IF(ISNUMBER(H78),H78,IF(AND(ISNUMBER(G78),ISNUMBER(J78),J78&gt;0),ROUND(G78/J78,2),"")))</x:f>
        <x:v>13</x:v>
      </x:c>
      <x:c r="L78" s="31" t="str"/>
      <x:c r="M78" s="26" t="str">
        <x:v>Inicial</x:v>
      </x:c>
      <x:c r="N78" s="26" t="str">
        <x:v>Incluir</x:v>
      </x:c>
      <x:c r="O78" s="22" t="str">
        <x:v>Inicial explícita en ficha de venta; no existe cobro coincidente.</x:v>
      </x:c>
      <x:c r="P78" s="22" t="str">
        <x:v>M-0325</x:v>
      </x:c>
      <x:c r="Q78" s="22" t="str">
        <x:f>IF(B78="","",IF(C78="","Falta ID venta",IF(D78="ID no encontrado","ID venta inválido",IF(COUNTIFS('PAGOS'!$A$5:$A$504,A78,'PAGOS'!$B$5:$B$504,"&gt;0")&gt;1,"ID duplicado",IF(AND(L78&lt;&gt;"",COUNTIFS('PAGOS'!$L$5:$L$504,L78,'PAGOS'!$B$5:$B$504,B78,'PAGOS'!$F$5:$F$504,F78)&gt;1),"Referencia repetida",IF(N78&lt;&gt;"Incluir",N78,IF(NOT(ISNUMBER(K78)),"Falta equivalente","Aplicar")))))))</x:f>
        <x:v>Aplicar</x:v>
      </x:c>
    </x:row>
    <x:row r="79" ht="25" customHeight="1">
      <x:c r="A79" s="22" t="str">
        <x:v>P-075</x:v>
      </x:c>
      <x:c r="B79" s="25" t="n">
        <x:v>46258</x:v>
      </x:c>
      <x:c r="C79" s="26" t="str">
        <x:v>V-045</x:v>
      </x:c>
      <x:c r="D79" s="22" t="str">
        <x:f>IF(C79="","",IF(COUNTIFS('VENTAS'!$A$5:$A$254,C79,'VENTAS'!$C$5:$C$254,"&lt;&gt;")=1,INDEX('VENTAS'!$C$5:$C$254,MATCH(C79,'VENTAS'!$A$5:$A$254,0)),"ID no encontrado"))</x:f>
        <x:v>Deiner</x:v>
      </x:c>
      <x:c r="E79" s="22" t="str">
        <x:f>IF(C79="","",IF(COUNTIFS('VENTAS'!$A$5:$A$254,C79,'VENTAS'!$C$5:$C$254,"&lt;&gt;")=1,INDEX('VENTAS'!$D$5:$D$254,MATCH(C79,'VENTAS'!$A$5:$A$254,0)),"ID no encontrado"))</x:f>
        <x:v>Scandal</x:v>
      </x:c>
      <x:c r="F79" s="26" t="str">
        <x:v>Sin confirmar</x:v>
      </x:c>
      <x:c r="G79" s="27" t="str"/>
      <x:c r="H79" s="27" t="n">
        <x:v>10</x:v>
      </x:c>
      <x:c r="I79" s="26" t="str">
        <x:v>BCV</x:v>
      </x:c>
      <x:c r="J79" s="30" t="str"/>
      <x:c r="K79" s="28" t="n">
        <x:f>IF(B79="","",IF(ISNUMBER(H79),H79,IF(AND(ISNUMBER(G79),ISNUMBER(J79),J79&gt;0),ROUND(G79/J79,2),"")))</x:f>
        <x:v>10</x:v>
      </x:c>
      <x:c r="L79" s="31" t="str"/>
      <x:c r="M79" s="26" t="str">
        <x:v>Abono</x:v>
      </x:c>
      <x:c r="N79" s="26" t="str">
        <x:v>Incluir</x:v>
      </x:c>
      <x:c r="O79" s="22" t="str">
        <x:v>Aviso 10$ de Deiner. Única venta Scandal vigente; el pago final 14$ completa 24$.</x:v>
      </x:c>
      <x:c r="P79" s="22" t="str">
        <x:v>M-0273</x:v>
      </x:c>
      <x:c r="Q79" s="22" t="str">
        <x:f>IF(B79="","",IF(C79="","Falta ID venta",IF(D79="ID no encontrado","ID venta inválido",IF(COUNTIFS('PAGOS'!$A$5:$A$504,A79,'PAGOS'!$B$5:$B$504,"&gt;0")&gt;1,"ID duplicado",IF(AND(L79&lt;&gt;"",COUNTIFS('PAGOS'!$L$5:$L$504,L79,'PAGOS'!$B$5:$B$504,B79,'PAGOS'!$F$5:$F$504,F79)&gt;1),"Referencia repetida",IF(N79&lt;&gt;"Incluir",N79,IF(NOT(ISNUMBER(K79)),"Falta equivalente","Aplicar")))))))</x:f>
        <x:v>Aplicar</x:v>
      </x:c>
    </x:row>
    <x:row r="80" ht="25" customHeight="1">
      <x:c r="A80" s="22" t="str">
        <x:v>P-076</x:v>
      </x:c>
      <x:c r="B80" s="25" t="n">
        <x:v>46281</x:v>
      </x:c>
      <x:c r="C80" s="26" t="str"/>
      <x:c r="D80" s="22" t="str">
        <x:f>IF(C80="","",IF(COUNTIFS('VENTAS'!$A$5:$A$254,C80,'VENTAS'!$C$5:$C$254,"&lt;&gt;")=1,INDEX('VENTAS'!$C$5:$C$254,MATCH(C80,'VENTAS'!$A$5:$A$254,0)),"ID no encontrado"))</x:f>
      </x:c>
      <x:c r="E80" s="22" t="str">
        <x:f>IF(C80="","",IF(COUNTIFS('VENTAS'!$A$5:$A$254,C80,'VENTAS'!$C$5:$C$254,"&lt;&gt;")=1,INDEX('VENTAS'!$D$5:$D$254,MATCH(C80,'VENTAS'!$A$5:$A$254,0)),"ID no encontrado"))</x:f>
      </x:c>
      <x:c r="F80" s="26" t="str">
        <x:v>Sin confirmar</x:v>
      </x:c>
      <x:c r="G80" s="27" t="str"/>
      <x:c r="H80" s="27" t="n">
        <x:v>7</x:v>
      </x:c>
      <x:c r="I80" s="26" t="str">
        <x:v>BCV</x:v>
      </x:c>
      <x:c r="J80" s="30" t="str"/>
      <x:c r="K80" s="28" t="n">
        <x:f>IF(B80="","",IF(ISNUMBER(H80),H80,IF(AND(ISNUMBER(G80),ISNUMBER(J80),J80&gt;0),ROUND(G80/J80,2),"")))</x:f>
        <x:v>7</x:v>
      </x:c>
      <x:c r="L80" s="31" t="str"/>
      <x:c r="M80" s="26" t="str">
        <x:v>Abono</x:v>
      </x:c>
      <x:c r="N80" s="26" t="str">
        <x:v>Revisar</x:v>
      </x:c>
      <x:c r="O80" s="22" t="str">
        <x:v>Anderson: Aviso con monto. Falta producto: Acqua di Gio o Yara Tous.</x:v>
      </x:c>
      <x:c r="P80" s="22" t="str">
        <x:v>M-0358</x:v>
      </x:c>
      <x:c r="Q80" s="22" t="str">
        <x:f>IF(B80="","",IF(C80="","Falta ID venta",IF(D80="ID no encontrado","ID venta inválido",IF(COUNTIFS('PAGOS'!$A$5:$A$504,A80,'PAGOS'!$B$5:$B$504,"&gt;0")&gt;1,"ID duplicado",IF(AND(L80&lt;&gt;"",COUNTIFS('PAGOS'!$L$5:$L$504,L80,'PAGOS'!$B$5:$B$504,B80,'PAGOS'!$F$5:$F$504,F80)&gt;1),"Referencia repetida",IF(N80&lt;&gt;"Incluir",N80,IF(NOT(ISNUMBER(K80)),"Falta equivalente","Aplicar")))))))</x:f>
        <x:v>Falta ID venta</x:v>
      </x:c>
    </x:row>
    <x:row r="81" ht="25" customHeight="1">
      <x:c r="A81" s="22" t="str">
        <x:v>P-077</x:v>
      </x:c>
      <x:c r="B81" s="25" t="n">
        <x:v>46284</x:v>
      </x:c>
      <x:c r="C81" s="26" t="str"/>
      <x:c r="D81" s="22" t="str">
        <x:f>IF(C81="","",IF(COUNTIFS('VENTAS'!$A$5:$A$254,C81,'VENTAS'!$C$5:$C$254,"&lt;&gt;")=1,INDEX('VENTAS'!$C$5:$C$254,MATCH(C81,'VENTAS'!$A$5:$A$254,0)),"ID no encontrado"))</x:f>
      </x:c>
      <x:c r="E81" s="22" t="str">
        <x:f>IF(C81="","",IF(COUNTIFS('VENTAS'!$A$5:$A$254,C81,'VENTAS'!$C$5:$C$254,"&lt;&gt;")=1,INDEX('VENTAS'!$D$5:$D$254,MATCH(C81,'VENTAS'!$A$5:$A$254,0)),"ID no encontrado"))</x:f>
      </x:c>
      <x:c r="F81" s="26" t="str">
        <x:v>Sin confirmar</x:v>
      </x:c>
      <x:c r="G81" s="27" t="str"/>
      <x:c r="H81" s="27" t="n">
        <x:v>10</x:v>
      </x:c>
      <x:c r="I81" s="26" t="str">
        <x:v>BCV</x:v>
      </x:c>
      <x:c r="J81" s="30" t="str"/>
      <x:c r="K81" s="28" t="n">
        <x:f>IF(B81="","",IF(ISNUMBER(H81),H81,IF(AND(ISNUMBER(G81),ISNUMBER(J81),J81&gt;0),ROUND(G81/J81,2),"")))</x:f>
        <x:v>10</x:v>
      </x:c>
      <x:c r="L81" s="31" t="str"/>
      <x:c r="M81" s="26" t="str">
        <x:v>Abono</x:v>
      </x:c>
      <x:c r="N81" s="26" t="str">
        <x:v>Revisar</x:v>
      </x:c>
      <x:c r="O81" s="22" t="str">
        <x:v>Ricardo: Aviso con importe y cliente; falta identificar operación. Ricardo 10$</x:v>
      </x:c>
      <x:c r="P81" s="22" t="str">
        <x:v>M-0385</x:v>
      </x:c>
      <x:c r="Q81" s="22" t="str">
        <x:f>IF(B81="","",IF(C81="","Falta ID venta",IF(D81="ID no encontrado","ID venta inválido",IF(COUNTIFS('PAGOS'!$A$5:$A$504,A81,'PAGOS'!$B$5:$B$504,"&gt;0")&gt;1,"ID duplicado",IF(AND(L81&lt;&gt;"",COUNTIFS('PAGOS'!$L$5:$L$504,L81,'PAGOS'!$B$5:$B$504,B81,'PAGOS'!$F$5:$F$504,F81)&gt;1),"Referencia repetida",IF(N81&lt;&gt;"Incluir",N81,IF(NOT(ISNUMBER(K81)),"Falta equivalente","Aplicar")))))))</x:f>
        <x:v>Falta ID venta</x:v>
      </x:c>
    </x:row>
    <x:row r="82" ht="25" customHeight="1">
      <x:c r="A82" s="22" t="str">
        <x:v>P-078</x:v>
      </x:c>
      <x:c r="B82" s="25" t="str"/>
      <x:c r="C82" s="26" t="str"/>
      <x:c r="D82" s="22" t="str">
        <x:f>IF(C82="","",IF(COUNTIFS('VENTAS'!$A$5:$A$254,C82,'VENTAS'!$C$5:$C$254,"&lt;&gt;")=1,INDEX('VENTAS'!$C$5:$C$254,MATCH(C82,'VENTAS'!$A$5:$A$254,0)),"ID no encontrado"))</x:f>
      </x:c>
      <x:c r="E82" s="22" t="str">
        <x:f>IF(C82="","",IF(COUNTIFS('VENTAS'!$A$5:$A$254,C82,'VENTAS'!$C$5:$C$254,"&lt;&gt;")=1,INDEX('VENTAS'!$D$5:$D$254,MATCH(C82,'VENTAS'!$A$5:$A$254,0)),"ID no encontrado"))</x:f>
      </x:c>
      <x:c r="F82" s="26" t="str"/>
      <x:c r="G82" s="27" t="str"/>
      <x:c r="H82" s="27" t="str"/>
      <x:c r="I82" s="26" t="str"/>
      <x:c r="J82" s="30" t="str"/>
      <x:c r="K82" s="28" t="str">
        <x:f>IF(B82="","",IF(ISNUMBER(H82),H82,IF(AND(ISNUMBER(G82),ISNUMBER(J82),J82&gt;0),ROUND(G82/J82,2),"")))</x:f>
      </x:c>
      <x:c r="L82" s="31" t="str"/>
      <x:c r="M82" s="26" t="str"/>
      <x:c r="N82" s="26" t="str">
        <x:v>Incluir</x:v>
      </x:c>
      <x:c r="O82" s="22" t="str"/>
      <x:c r="P82" s="22" t="str"/>
      <x:c r="Q82" s="22" t="str">
        <x:f>IF(B82="","",IF(C82="","Falta ID venta",IF(D82="ID no encontrado","ID venta inválido",IF(COUNTIFS('PAGOS'!$A$5:$A$504,A82,'PAGOS'!$B$5:$B$504,"&gt;0")&gt;1,"ID duplicado",IF(AND(L82&lt;&gt;"",COUNTIFS('PAGOS'!$L$5:$L$504,L82,'PAGOS'!$B$5:$B$504,B82,'PAGOS'!$F$5:$F$504,F82)&gt;1),"Referencia repetida",IF(N82&lt;&gt;"Incluir",N82,IF(NOT(ISNUMBER(K82)),"Falta equivalente","Aplicar")))))))</x:f>
      </x:c>
    </x:row>
    <x:row r="83" ht="25" customHeight="1">
      <x:c r="A83" s="22" t="str">
        <x:v>P-079</x:v>
      </x:c>
      <x:c r="B83" s="25" t="str"/>
      <x:c r="C83" s="26" t="str"/>
      <x:c r="D83" s="22" t="str">
        <x:f>IF(C83="","",IF(COUNTIFS('VENTAS'!$A$5:$A$254,C83,'VENTAS'!$C$5:$C$254,"&lt;&gt;")=1,INDEX('VENTAS'!$C$5:$C$254,MATCH(C83,'VENTAS'!$A$5:$A$254,0)),"ID no encontrado"))</x:f>
      </x:c>
      <x:c r="E83" s="22" t="str">
        <x:f>IF(C83="","",IF(COUNTIFS('VENTAS'!$A$5:$A$254,C83,'VENTAS'!$C$5:$C$254,"&lt;&gt;")=1,INDEX('VENTAS'!$D$5:$D$254,MATCH(C83,'VENTAS'!$A$5:$A$254,0)),"ID no encontrado"))</x:f>
      </x:c>
      <x:c r="F83" s="26" t="str"/>
      <x:c r="G83" s="27" t="str"/>
      <x:c r="H83" s="27" t="str"/>
      <x:c r="I83" s="26" t="str"/>
      <x:c r="J83" s="30" t="str"/>
      <x:c r="K83" s="28" t="str">
        <x:f>IF(B83="","",IF(ISNUMBER(H83),H83,IF(AND(ISNUMBER(G83),ISNUMBER(J83),J83&gt;0),ROUND(G83/J83,2),"")))</x:f>
      </x:c>
      <x:c r="L83" s="31" t="str"/>
      <x:c r="M83" s="26" t="str"/>
      <x:c r="N83" s="26" t="str">
        <x:v>Incluir</x:v>
      </x:c>
      <x:c r="O83" s="22" t="str"/>
      <x:c r="P83" s="22" t="str"/>
      <x:c r="Q83" s="22" t="str">
        <x:f>IF(B83="","",IF(C83="","Falta ID venta",IF(D83="ID no encontrado","ID venta inválido",IF(COUNTIFS('PAGOS'!$A$5:$A$504,A83,'PAGOS'!$B$5:$B$504,"&gt;0")&gt;1,"ID duplicado",IF(AND(L83&lt;&gt;"",COUNTIFS('PAGOS'!$L$5:$L$504,L83,'PAGOS'!$B$5:$B$504,B83,'PAGOS'!$F$5:$F$504,F83)&gt;1),"Referencia repetida",IF(N83&lt;&gt;"Incluir",N83,IF(NOT(ISNUMBER(K83)),"Falta equivalente","Aplicar")))))))</x:f>
      </x:c>
    </x:row>
    <x:row r="84" ht="25" customHeight="1">
      <x:c r="A84" s="22" t="str">
        <x:v>P-080</x:v>
      </x:c>
      <x:c r="B84" s="25" t="str"/>
      <x:c r="C84" s="26" t="str"/>
      <x:c r="D84" s="22" t="str">
        <x:f>IF(C84="","",IF(COUNTIFS('VENTAS'!$A$5:$A$254,C84,'VENTAS'!$C$5:$C$254,"&lt;&gt;")=1,INDEX('VENTAS'!$C$5:$C$254,MATCH(C84,'VENTAS'!$A$5:$A$254,0)),"ID no encontrado"))</x:f>
      </x:c>
      <x:c r="E84" s="22" t="str">
        <x:f>IF(C84="","",IF(COUNTIFS('VENTAS'!$A$5:$A$254,C84,'VENTAS'!$C$5:$C$254,"&lt;&gt;")=1,INDEX('VENTAS'!$D$5:$D$254,MATCH(C84,'VENTAS'!$A$5:$A$254,0)),"ID no encontrado"))</x:f>
      </x:c>
      <x:c r="F84" s="26" t="str"/>
      <x:c r="G84" s="27" t="str"/>
      <x:c r="H84" s="27" t="str"/>
      <x:c r="I84" s="26" t="str"/>
      <x:c r="J84" s="30" t="str"/>
      <x:c r="K84" s="28" t="str">
        <x:f>IF(B84="","",IF(ISNUMBER(H84),H84,IF(AND(ISNUMBER(G84),ISNUMBER(J84),J84&gt;0),ROUND(G84/J84,2),"")))</x:f>
      </x:c>
      <x:c r="L84" s="31" t="str"/>
      <x:c r="M84" s="26" t="str"/>
      <x:c r="N84" s="26" t="str">
        <x:v>Incluir</x:v>
      </x:c>
      <x:c r="O84" s="22" t="str"/>
      <x:c r="P84" s="22" t="str"/>
      <x:c r="Q84" s="22" t="str">
        <x:f>IF(B84="","",IF(C84="","Falta ID venta",IF(D84="ID no encontrado","ID venta inválido",IF(COUNTIFS('PAGOS'!$A$5:$A$504,A84,'PAGOS'!$B$5:$B$504,"&gt;0")&gt;1,"ID duplicado",IF(AND(L84&lt;&gt;"",COUNTIFS('PAGOS'!$L$5:$L$504,L84,'PAGOS'!$B$5:$B$504,B84,'PAGOS'!$F$5:$F$504,F84)&gt;1),"Referencia repetida",IF(N84&lt;&gt;"Incluir",N84,IF(NOT(ISNUMBER(K84)),"Falta equivalente","Aplicar")))))))</x:f>
      </x:c>
    </x:row>
    <x:row r="85" ht="25" customHeight="1">
      <x:c r="A85" s="22" t="str">
        <x:v>P-081</x:v>
      </x:c>
      <x:c r="B85" s="25" t="str"/>
      <x:c r="C85" s="26" t="str"/>
      <x:c r="D85" s="22" t="str">
        <x:f>IF(C85="","",IF(COUNTIFS('VENTAS'!$A$5:$A$254,C85,'VENTAS'!$C$5:$C$254,"&lt;&gt;")=1,INDEX('VENTAS'!$C$5:$C$254,MATCH(C85,'VENTAS'!$A$5:$A$254,0)),"ID no encontrado"))</x:f>
      </x:c>
      <x:c r="E85" s="22" t="str">
        <x:f>IF(C85="","",IF(COUNTIFS('VENTAS'!$A$5:$A$254,C85,'VENTAS'!$C$5:$C$254,"&lt;&gt;")=1,INDEX('VENTAS'!$D$5:$D$254,MATCH(C85,'VENTAS'!$A$5:$A$254,0)),"ID no encontrado"))</x:f>
      </x:c>
      <x:c r="F85" s="26" t="str"/>
      <x:c r="G85" s="27" t="str"/>
      <x:c r="H85" s="27" t="str"/>
      <x:c r="I85" s="26" t="str"/>
      <x:c r="J85" s="30" t="str"/>
      <x:c r="K85" s="28" t="str">
        <x:f>IF(B85="","",IF(ISNUMBER(H85),H85,IF(AND(ISNUMBER(G85),ISNUMBER(J85),J85&gt;0),ROUND(G85/J85,2),"")))</x:f>
      </x:c>
      <x:c r="L85" s="31" t="str"/>
      <x:c r="M85" s="26" t="str"/>
      <x:c r="N85" s="26" t="str">
        <x:v>Incluir</x:v>
      </x:c>
      <x:c r="O85" s="22" t="str"/>
      <x:c r="P85" s="22" t="str"/>
      <x:c r="Q85" s="22" t="str">
        <x:f>IF(B85="","",IF(C85="","Falta ID venta",IF(D85="ID no encontrado","ID venta inválido",IF(COUNTIFS('PAGOS'!$A$5:$A$504,A85,'PAGOS'!$B$5:$B$504,"&gt;0")&gt;1,"ID duplicado",IF(AND(L85&lt;&gt;"",COUNTIFS('PAGOS'!$L$5:$L$504,L85,'PAGOS'!$B$5:$B$504,B85,'PAGOS'!$F$5:$F$504,F85)&gt;1),"Referencia repetida",IF(N85&lt;&gt;"Incluir",N85,IF(NOT(ISNUMBER(K85)),"Falta equivalente","Aplicar")))))))</x:f>
      </x:c>
    </x:row>
    <x:row r="86" ht="25" customHeight="1">
      <x:c r="A86" s="22" t="str">
        <x:v>P-082</x:v>
      </x:c>
      <x:c r="B86" s="25" t="str"/>
      <x:c r="C86" s="26" t="str"/>
      <x:c r="D86" s="22" t="str">
        <x:f>IF(C86="","",IF(COUNTIFS('VENTAS'!$A$5:$A$254,C86,'VENTAS'!$C$5:$C$254,"&lt;&gt;")=1,INDEX('VENTAS'!$C$5:$C$254,MATCH(C86,'VENTAS'!$A$5:$A$254,0)),"ID no encontrado"))</x:f>
      </x:c>
      <x:c r="E86" s="22" t="str">
        <x:f>IF(C86="","",IF(COUNTIFS('VENTAS'!$A$5:$A$254,C86,'VENTAS'!$C$5:$C$254,"&lt;&gt;")=1,INDEX('VENTAS'!$D$5:$D$254,MATCH(C86,'VENTAS'!$A$5:$A$254,0)),"ID no encontrado"))</x:f>
      </x:c>
      <x:c r="F86" s="26" t="str"/>
      <x:c r="G86" s="27" t="str"/>
      <x:c r="H86" s="27" t="str"/>
      <x:c r="I86" s="26" t="str"/>
      <x:c r="J86" s="30" t="str"/>
      <x:c r="K86" s="28" t="str">
        <x:f>IF(B86="","",IF(ISNUMBER(H86),H86,IF(AND(ISNUMBER(G86),ISNUMBER(J86),J86&gt;0),ROUND(G86/J86,2),"")))</x:f>
      </x:c>
      <x:c r="L86" s="31" t="str"/>
      <x:c r="M86" s="26" t="str"/>
      <x:c r="N86" s="26" t="str">
        <x:v>Incluir</x:v>
      </x:c>
      <x:c r="O86" s="22" t="str"/>
      <x:c r="P86" s="22" t="str"/>
      <x:c r="Q86" s="22" t="str">
        <x:f>IF(B86="","",IF(C86="","Falta ID venta",IF(D86="ID no encontrado","ID venta inválido",IF(COUNTIFS('PAGOS'!$A$5:$A$504,A86,'PAGOS'!$B$5:$B$504,"&gt;0")&gt;1,"ID duplicado",IF(AND(L86&lt;&gt;"",COUNTIFS('PAGOS'!$L$5:$L$504,L86,'PAGOS'!$B$5:$B$504,B86,'PAGOS'!$F$5:$F$504,F86)&gt;1),"Referencia repetida",IF(N86&lt;&gt;"Incluir",N86,IF(NOT(ISNUMBER(K86)),"Falta equivalente","Aplicar")))))))</x:f>
      </x:c>
    </x:row>
    <x:row r="87" ht="25" customHeight="1">
      <x:c r="A87" s="22" t="str">
        <x:v>P-083</x:v>
      </x:c>
      <x:c r="B87" s="25" t="str"/>
      <x:c r="C87" s="26" t="str"/>
      <x:c r="D87" s="22" t="str">
        <x:f>IF(C87="","",IF(COUNTIFS('VENTAS'!$A$5:$A$254,C87,'VENTAS'!$C$5:$C$254,"&lt;&gt;")=1,INDEX('VENTAS'!$C$5:$C$254,MATCH(C87,'VENTAS'!$A$5:$A$254,0)),"ID no encontrado"))</x:f>
      </x:c>
      <x:c r="E87" s="22" t="str">
        <x:f>IF(C87="","",IF(COUNTIFS('VENTAS'!$A$5:$A$254,C87,'VENTAS'!$C$5:$C$254,"&lt;&gt;")=1,INDEX('VENTAS'!$D$5:$D$254,MATCH(C87,'VENTAS'!$A$5:$A$254,0)),"ID no encontrado"))</x:f>
      </x:c>
      <x:c r="F87" s="26" t="str"/>
      <x:c r="G87" s="27" t="str"/>
      <x:c r="H87" s="27" t="str"/>
      <x:c r="I87" s="26" t="str"/>
      <x:c r="J87" s="30" t="str"/>
      <x:c r="K87" s="28" t="str">
        <x:f>IF(B87="","",IF(ISNUMBER(H87),H87,IF(AND(ISNUMBER(G87),ISNUMBER(J87),J87&gt;0),ROUND(G87/J87,2),"")))</x:f>
      </x:c>
      <x:c r="L87" s="31" t="str"/>
      <x:c r="M87" s="26" t="str"/>
      <x:c r="N87" s="26" t="str">
        <x:v>Incluir</x:v>
      </x:c>
      <x:c r="O87" s="22" t="str"/>
      <x:c r="P87" s="22" t="str"/>
      <x:c r="Q87" s="22" t="str">
        <x:f>IF(B87="","",IF(C87="","Falta ID venta",IF(D87="ID no encontrado","ID venta inválido",IF(COUNTIFS('PAGOS'!$A$5:$A$504,A87,'PAGOS'!$B$5:$B$504,"&gt;0")&gt;1,"ID duplicado",IF(AND(L87&lt;&gt;"",COUNTIFS('PAGOS'!$L$5:$L$504,L87,'PAGOS'!$B$5:$B$504,B87,'PAGOS'!$F$5:$F$504,F87)&gt;1),"Referencia repetida",IF(N87&lt;&gt;"Incluir",N87,IF(NOT(ISNUMBER(K87)),"Falta equivalente","Aplicar")))))))</x:f>
      </x:c>
    </x:row>
    <x:row r="88" ht="25" customHeight="1">
      <x:c r="A88" s="22" t="str">
        <x:v>P-084</x:v>
      </x:c>
      <x:c r="B88" s="25" t="str"/>
      <x:c r="C88" s="26" t="str"/>
      <x:c r="D88" s="22" t="str">
        <x:f>IF(C88="","",IF(COUNTIFS('VENTAS'!$A$5:$A$254,C88,'VENTAS'!$C$5:$C$254,"&lt;&gt;")=1,INDEX('VENTAS'!$C$5:$C$254,MATCH(C88,'VENTAS'!$A$5:$A$254,0)),"ID no encontrado"))</x:f>
      </x:c>
      <x:c r="E88" s="22" t="str">
        <x:f>IF(C88="","",IF(COUNTIFS('VENTAS'!$A$5:$A$254,C88,'VENTAS'!$C$5:$C$254,"&lt;&gt;")=1,INDEX('VENTAS'!$D$5:$D$254,MATCH(C88,'VENTAS'!$A$5:$A$254,0)),"ID no encontrado"))</x:f>
      </x:c>
      <x:c r="F88" s="26" t="str"/>
      <x:c r="G88" s="27" t="str"/>
      <x:c r="H88" s="27" t="str"/>
      <x:c r="I88" s="26" t="str"/>
      <x:c r="J88" s="30" t="str"/>
      <x:c r="K88" s="28" t="str">
        <x:f>IF(B88="","",IF(ISNUMBER(H88),H88,IF(AND(ISNUMBER(G88),ISNUMBER(J88),J88&gt;0),ROUND(G88/J88,2),"")))</x:f>
      </x:c>
      <x:c r="L88" s="31" t="str"/>
      <x:c r="M88" s="26" t="str"/>
      <x:c r="N88" s="26" t="str">
        <x:v>Incluir</x:v>
      </x:c>
      <x:c r="O88" s="22" t="str"/>
      <x:c r="P88" s="22" t="str"/>
      <x:c r="Q88" s="22" t="str">
        <x:f>IF(B88="","",IF(C88="","Falta ID venta",IF(D88="ID no encontrado","ID venta inválido",IF(COUNTIFS('PAGOS'!$A$5:$A$504,A88,'PAGOS'!$B$5:$B$504,"&gt;0")&gt;1,"ID duplicado",IF(AND(L88&lt;&gt;"",COUNTIFS('PAGOS'!$L$5:$L$504,L88,'PAGOS'!$B$5:$B$504,B88,'PAGOS'!$F$5:$F$504,F88)&gt;1),"Referencia repetida",IF(N88&lt;&gt;"Incluir",N88,IF(NOT(ISNUMBER(K88)),"Falta equivalente","Aplicar")))))))</x:f>
      </x:c>
    </x:row>
    <x:row r="89" ht="25" customHeight="1">
      <x:c r="A89" s="22" t="str">
        <x:v>P-085</x:v>
      </x:c>
      <x:c r="B89" s="25" t="str"/>
      <x:c r="C89" s="26" t="str"/>
      <x:c r="D89" s="22" t="str">
        <x:f>IF(C89="","",IF(COUNTIFS('VENTAS'!$A$5:$A$254,C89,'VENTAS'!$C$5:$C$254,"&lt;&gt;")=1,INDEX('VENTAS'!$C$5:$C$254,MATCH(C89,'VENTAS'!$A$5:$A$254,0)),"ID no encontrado"))</x:f>
      </x:c>
      <x:c r="E89" s="22" t="str">
        <x:f>IF(C89="","",IF(COUNTIFS('VENTAS'!$A$5:$A$254,C89,'VENTAS'!$C$5:$C$254,"&lt;&gt;")=1,INDEX('VENTAS'!$D$5:$D$254,MATCH(C89,'VENTAS'!$A$5:$A$254,0)),"ID no encontrado"))</x:f>
      </x:c>
      <x:c r="F89" s="26" t="str"/>
      <x:c r="G89" s="27" t="str"/>
      <x:c r="H89" s="27" t="str"/>
      <x:c r="I89" s="26" t="str"/>
      <x:c r="J89" s="30" t="str"/>
      <x:c r="K89" s="28" t="str">
        <x:f>IF(B89="","",IF(ISNUMBER(H89),H89,IF(AND(ISNUMBER(G89),ISNUMBER(J89),J89&gt;0),ROUND(G89/J89,2),"")))</x:f>
      </x:c>
      <x:c r="L89" s="31" t="str"/>
      <x:c r="M89" s="26" t="str"/>
      <x:c r="N89" s="26" t="str">
        <x:v>Incluir</x:v>
      </x:c>
      <x:c r="O89" s="22" t="str"/>
      <x:c r="P89" s="22" t="str"/>
      <x:c r="Q89" s="22" t="str">
        <x:f>IF(B89="","",IF(C89="","Falta ID venta",IF(D89="ID no encontrado","ID venta inválido",IF(COUNTIFS('PAGOS'!$A$5:$A$504,A89,'PAGOS'!$B$5:$B$504,"&gt;0")&gt;1,"ID duplicado",IF(AND(L89&lt;&gt;"",COUNTIFS('PAGOS'!$L$5:$L$504,L89,'PAGOS'!$B$5:$B$504,B89,'PAGOS'!$F$5:$F$504,F89)&gt;1),"Referencia repetida",IF(N89&lt;&gt;"Incluir",N89,IF(NOT(ISNUMBER(K89)),"Falta equivalente","Aplicar")))))))</x:f>
      </x:c>
    </x:row>
    <x:row r="90" ht="25" customHeight="1">
      <x:c r="A90" s="22" t="str">
        <x:v>P-086</x:v>
      </x:c>
      <x:c r="B90" s="25" t="str"/>
      <x:c r="C90" s="26" t="str"/>
      <x:c r="D90" s="22" t="str">
        <x:f>IF(C90="","",IF(COUNTIFS('VENTAS'!$A$5:$A$254,C90,'VENTAS'!$C$5:$C$254,"&lt;&gt;")=1,INDEX('VENTAS'!$C$5:$C$254,MATCH(C90,'VENTAS'!$A$5:$A$254,0)),"ID no encontrado"))</x:f>
      </x:c>
      <x:c r="E90" s="22" t="str">
        <x:f>IF(C90="","",IF(COUNTIFS('VENTAS'!$A$5:$A$254,C90,'VENTAS'!$C$5:$C$254,"&lt;&gt;")=1,INDEX('VENTAS'!$D$5:$D$254,MATCH(C90,'VENTAS'!$A$5:$A$254,0)),"ID no encontrado"))</x:f>
      </x:c>
      <x:c r="F90" s="26" t="str"/>
      <x:c r="G90" s="27" t="str"/>
      <x:c r="H90" s="27" t="str"/>
      <x:c r="I90" s="26" t="str"/>
      <x:c r="J90" s="30" t="str"/>
      <x:c r="K90" s="28" t="str">
        <x:f>IF(B90="","",IF(ISNUMBER(H90),H90,IF(AND(ISNUMBER(G90),ISNUMBER(J90),J90&gt;0),ROUND(G90/J90,2),"")))</x:f>
      </x:c>
      <x:c r="L90" s="31" t="str"/>
      <x:c r="M90" s="26" t="str"/>
      <x:c r="N90" s="26" t="str">
        <x:v>Incluir</x:v>
      </x:c>
      <x:c r="O90" s="22" t="str"/>
      <x:c r="P90" s="22" t="str"/>
      <x:c r="Q90" s="22" t="str">
        <x:f>IF(B90="","",IF(C90="","Falta ID venta",IF(D90="ID no encontrado","ID venta inválido",IF(COUNTIFS('PAGOS'!$A$5:$A$504,A90,'PAGOS'!$B$5:$B$504,"&gt;0")&gt;1,"ID duplicado",IF(AND(L90&lt;&gt;"",COUNTIFS('PAGOS'!$L$5:$L$504,L90,'PAGOS'!$B$5:$B$504,B90,'PAGOS'!$F$5:$F$504,F90)&gt;1),"Referencia repetida",IF(N90&lt;&gt;"Incluir",N90,IF(NOT(ISNUMBER(K90)),"Falta equivalente","Aplicar")))))))</x:f>
      </x:c>
    </x:row>
    <x:row r="91" ht="25" customHeight="1">
      <x:c r="A91" s="22" t="str">
        <x:v>P-087</x:v>
      </x:c>
      <x:c r="B91" s="25" t="str"/>
      <x:c r="C91" s="26" t="str"/>
      <x:c r="D91" s="22" t="str">
        <x:f>IF(C91="","",IF(COUNTIFS('VENTAS'!$A$5:$A$254,C91,'VENTAS'!$C$5:$C$254,"&lt;&gt;")=1,INDEX('VENTAS'!$C$5:$C$254,MATCH(C91,'VENTAS'!$A$5:$A$254,0)),"ID no encontrado"))</x:f>
      </x:c>
      <x:c r="E91" s="22" t="str">
        <x:f>IF(C91="","",IF(COUNTIFS('VENTAS'!$A$5:$A$254,C91,'VENTAS'!$C$5:$C$254,"&lt;&gt;")=1,INDEX('VENTAS'!$D$5:$D$254,MATCH(C91,'VENTAS'!$A$5:$A$254,0)),"ID no encontrado"))</x:f>
      </x:c>
      <x:c r="F91" s="26" t="str"/>
      <x:c r="G91" s="27" t="str"/>
      <x:c r="H91" s="27" t="str"/>
      <x:c r="I91" s="26" t="str"/>
      <x:c r="J91" s="30" t="str"/>
      <x:c r="K91" s="28" t="str">
        <x:f>IF(B91="","",IF(ISNUMBER(H91),H91,IF(AND(ISNUMBER(G91),ISNUMBER(J91),J91&gt;0),ROUND(G91/J91,2),"")))</x:f>
      </x:c>
      <x:c r="L91" s="31" t="str"/>
      <x:c r="M91" s="26" t="str"/>
      <x:c r="N91" s="26" t="str">
        <x:v>Incluir</x:v>
      </x:c>
      <x:c r="O91" s="22" t="str"/>
      <x:c r="P91" s="22" t="str"/>
      <x:c r="Q91" s="22" t="str">
        <x:f>IF(B91="","",IF(C91="","Falta ID venta",IF(D91="ID no encontrado","ID venta inválido",IF(COUNTIFS('PAGOS'!$A$5:$A$504,A91,'PAGOS'!$B$5:$B$504,"&gt;0")&gt;1,"ID duplicado",IF(AND(L91&lt;&gt;"",COUNTIFS('PAGOS'!$L$5:$L$504,L91,'PAGOS'!$B$5:$B$504,B91,'PAGOS'!$F$5:$F$504,F91)&gt;1),"Referencia repetida",IF(N91&lt;&gt;"Incluir",N91,IF(NOT(ISNUMBER(K91)),"Falta equivalente","Aplicar")))))))</x:f>
      </x:c>
    </x:row>
    <x:row r="92" ht="25" customHeight="1">
      <x:c r="A92" s="22" t="str">
        <x:v>P-088</x:v>
      </x:c>
      <x:c r="B92" s="25" t="str"/>
      <x:c r="C92" s="26" t="str"/>
      <x:c r="D92" s="22" t="str">
        <x:f>IF(C92="","",IF(COUNTIFS('VENTAS'!$A$5:$A$254,C92,'VENTAS'!$C$5:$C$254,"&lt;&gt;")=1,INDEX('VENTAS'!$C$5:$C$254,MATCH(C92,'VENTAS'!$A$5:$A$254,0)),"ID no encontrado"))</x:f>
      </x:c>
      <x:c r="E92" s="22" t="str">
        <x:f>IF(C92="","",IF(COUNTIFS('VENTAS'!$A$5:$A$254,C92,'VENTAS'!$C$5:$C$254,"&lt;&gt;")=1,INDEX('VENTAS'!$D$5:$D$254,MATCH(C92,'VENTAS'!$A$5:$A$254,0)),"ID no encontrado"))</x:f>
      </x:c>
      <x:c r="F92" s="26" t="str"/>
      <x:c r="G92" s="27" t="str"/>
      <x:c r="H92" s="27" t="str"/>
      <x:c r="I92" s="26" t="str"/>
      <x:c r="J92" s="30" t="str"/>
      <x:c r="K92" s="28" t="str">
        <x:f>IF(B92="","",IF(ISNUMBER(H92),H92,IF(AND(ISNUMBER(G92),ISNUMBER(J92),J92&gt;0),ROUND(G92/J92,2),"")))</x:f>
      </x:c>
      <x:c r="L92" s="31" t="str"/>
      <x:c r="M92" s="26" t="str"/>
      <x:c r="N92" s="26" t="str">
        <x:v>Incluir</x:v>
      </x:c>
      <x:c r="O92" s="22" t="str"/>
      <x:c r="P92" s="22" t="str"/>
      <x:c r="Q92" s="22" t="str">
        <x:f>IF(B92="","",IF(C92="","Falta ID venta",IF(D92="ID no encontrado","ID venta inválido",IF(COUNTIFS('PAGOS'!$A$5:$A$504,A92,'PAGOS'!$B$5:$B$504,"&gt;0")&gt;1,"ID duplicado",IF(AND(L92&lt;&gt;"",COUNTIFS('PAGOS'!$L$5:$L$504,L92,'PAGOS'!$B$5:$B$504,B92,'PAGOS'!$F$5:$F$504,F92)&gt;1),"Referencia repetida",IF(N92&lt;&gt;"Incluir",N92,IF(NOT(ISNUMBER(K92)),"Falta equivalente","Aplicar")))))))</x:f>
      </x:c>
    </x:row>
    <x:row r="93" ht="25" customHeight="1">
      <x:c r="A93" s="22" t="str">
        <x:v>P-089</x:v>
      </x:c>
      <x:c r="B93" s="25" t="str"/>
      <x:c r="C93" s="26" t="str"/>
      <x:c r="D93" s="22" t="str">
        <x:f>IF(C93="","",IF(COUNTIFS('VENTAS'!$A$5:$A$254,C93,'VENTAS'!$C$5:$C$254,"&lt;&gt;")=1,INDEX('VENTAS'!$C$5:$C$254,MATCH(C93,'VENTAS'!$A$5:$A$254,0)),"ID no encontrado"))</x:f>
      </x:c>
      <x:c r="E93" s="22" t="str">
        <x:f>IF(C93="","",IF(COUNTIFS('VENTAS'!$A$5:$A$254,C93,'VENTAS'!$C$5:$C$254,"&lt;&gt;")=1,INDEX('VENTAS'!$D$5:$D$254,MATCH(C93,'VENTAS'!$A$5:$A$254,0)),"ID no encontrado"))</x:f>
      </x:c>
      <x:c r="F93" s="26" t="str"/>
      <x:c r="G93" s="27" t="str"/>
      <x:c r="H93" s="27" t="str"/>
      <x:c r="I93" s="26" t="str"/>
      <x:c r="J93" s="30" t="str"/>
      <x:c r="K93" s="28" t="str">
        <x:f>IF(B93="","",IF(ISNUMBER(H93),H93,IF(AND(ISNUMBER(G93),ISNUMBER(J93),J93&gt;0),ROUND(G93/J93,2),"")))</x:f>
      </x:c>
      <x:c r="L93" s="31" t="str"/>
      <x:c r="M93" s="26" t="str"/>
      <x:c r="N93" s="26" t="str">
        <x:v>Incluir</x:v>
      </x:c>
      <x:c r="O93" s="22" t="str"/>
      <x:c r="P93" s="22" t="str"/>
      <x:c r="Q93" s="22" t="str">
        <x:f>IF(B93="","",IF(C93="","Falta ID venta",IF(D93="ID no encontrado","ID venta inválido",IF(COUNTIFS('PAGOS'!$A$5:$A$504,A93,'PAGOS'!$B$5:$B$504,"&gt;0")&gt;1,"ID duplicado",IF(AND(L93&lt;&gt;"",COUNTIFS('PAGOS'!$L$5:$L$504,L93,'PAGOS'!$B$5:$B$504,B93,'PAGOS'!$F$5:$F$504,F93)&gt;1),"Referencia repetida",IF(N93&lt;&gt;"Incluir",N93,IF(NOT(ISNUMBER(K93)),"Falta equivalente","Aplicar")))))))</x:f>
      </x:c>
    </x:row>
    <x:row r="94" ht="25" customHeight="1">
      <x:c r="A94" s="22" t="str">
        <x:v>P-090</x:v>
      </x:c>
      <x:c r="B94" s="25" t="str"/>
      <x:c r="C94" s="26" t="str"/>
      <x:c r="D94" s="22" t="str">
        <x:f>IF(C94="","",IF(COUNTIFS('VENTAS'!$A$5:$A$254,C94,'VENTAS'!$C$5:$C$254,"&lt;&gt;")=1,INDEX('VENTAS'!$C$5:$C$254,MATCH(C94,'VENTAS'!$A$5:$A$254,0)),"ID no encontrado"))</x:f>
      </x:c>
      <x:c r="E94" s="22" t="str">
        <x:f>IF(C94="","",IF(COUNTIFS('VENTAS'!$A$5:$A$254,C94,'VENTAS'!$C$5:$C$254,"&lt;&gt;")=1,INDEX('VENTAS'!$D$5:$D$254,MATCH(C94,'VENTAS'!$A$5:$A$254,0)),"ID no encontrado"))</x:f>
      </x:c>
      <x:c r="F94" s="26" t="str"/>
      <x:c r="G94" s="27" t="str"/>
      <x:c r="H94" s="27" t="str"/>
      <x:c r="I94" s="26" t="str"/>
      <x:c r="J94" s="30" t="str"/>
      <x:c r="K94" s="28" t="str">
        <x:f>IF(B94="","",IF(ISNUMBER(H94),H94,IF(AND(ISNUMBER(G94),ISNUMBER(J94),J94&gt;0),ROUND(G94/J94,2),"")))</x:f>
      </x:c>
      <x:c r="L94" s="31" t="str"/>
      <x:c r="M94" s="26" t="str"/>
      <x:c r="N94" s="26" t="str">
        <x:v>Incluir</x:v>
      </x:c>
      <x:c r="O94" s="22" t="str"/>
      <x:c r="P94" s="22" t="str"/>
      <x:c r="Q94" s="22" t="str">
        <x:f>IF(B94="","",IF(C94="","Falta ID venta",IF(D94="ID no encontrado","ID venta inválido",IF(COUNTIFS('PAGOS'!$A$5:$A$504,A94,'PAGOS'!$B$5:$B$504,"&gt;0")&gt;1,"ID duplicado",IF(AND(L94&lt;&gt;"",COUNTIFS('PAGOS'!$L$5:$L$504,L94,'PAGOS'!$B$5:$B$504,B94,'PAGOS'!$F$5:$F$504,F94)&gt;1),"Referencia repetida",IF(N94&lt;&gt;"Incluir",N94,IF(NOT(ISNUMBER(K94)),"Falta equivalente","Aplicar")))))))</x:f>
      </x:c>
    </x:row>
    <x:row r="95" ht="25" customHeight="1">
      <x:c r="A95" s="22" t="str">
        <x:v>P-091</x:v>
      </x:c>
      <x:c r="B95" s="25" t="str"/>
      <x:c r="C95" s="26" t="str"/>
      <x:c r="D95" s="22" t="str">
        <x:f>IF(C95="","",IF(COUNTIFS('VENTAS'!$A$5:$A$254,C95,'VENTAS'!$C$5:$C$254,"&lt;&gt;")=1,INDEX('VENTAS'!$C$5:$C$254,MATCH(C95,'VENTAS'!$A$5:$A$254,0)),"ID no encontrado"))</x:f>
      </x:c>
      <x:c r="E95" s="22" t="str">
        <x:f>IF(C95="","",IF(COUNTIFS('VENTAS'!$A$5:$A$254,C95,'VENTAS'!$C$5:$C$254,"&lt;&gt;")=1,INDEX('VENTAS'!$D$5:$D$254,MATCH(C95,'VENTAS'!$A$5:$A$254,0)),"ID no encontrado"))</x:f>
      </x:c>
      <x:c r="F95" s="26" t="str"/>
      <x:c r="G95" s="27" t="str"/>
      <x:c r="H95" s="27" t="str"/>
      <x:c r="I95" s="26" t="str"/>
      <x:c r="J95" s="30" t="str"/>
      <x:c r="K95" s="28" t="str">
        <x:f>IF(B95="","",IF(ISNUMBER(H95),H95,IF(AND(ISNUMBER(G95),ISNUMBER(J95),J95&gt;0),ROUND(G95/J95,2),"")))</x:f>
      </x:c>
      <x:c r="L95" s="31" t="str"/>
      <x:c r="M95" s="26" t="str"/>
      <x:c r="N95" s="26" t="str">
        <x:v>Incluir</x:v>
      </x:c>
      <x:c r="O95" s="22" t="str"/>
      <x:c r="P95" s="22" t="str"/>
      <x:c r="Q95" s="22" t="str">
        <x:f>IF(B95="","",IF(C95="","Falta ID venta",IF(D95="ID no encontrado","ID venta inválido",IF(COUNTIFS('PAGOS'!$A$5:$A$504,A95,'PAGOS'!$B$5:$B$504,"&gt;0")&gt;1,"ID duplicado",IF(AND(L95&lt;&gt;"",COUNTIFS('PAGOS'!$L$5:$L$504,L95,'PAGOS'!$B$5:$B$504,B95,'PAGOS'!$F$5:$F$504,F95)&gt;1),"Referencia repetida",IF(N95&lt;&gt;"Incluir",N95,IF(NOT(ISNUMBER(K95)),"Falta equivalente","Aplicar")))))))</x:f>
      </x:c>
    </x:row>
    <x:row r="96" ht="25" customHeight="1">
      <x:c r="A96" s="22" t="str">
        <x:v>P-092</x:v>
      </x:c>
      <x:c r="B96" s="25" t="str"/>
      <x:c r="C96" s="26" t="str"/>
      <x:c r="D96" s="22" t="str">
        <x:f>IF(C96="","",IF(COUNTIFS('VENTAS'!$A$5:$A$254,C96,'VENTAS'!$C$5:$C$254,"&lt;&gt;")=1,INDEX('VENTAS'!$C$5:$C$254,MATCH(C96,'VENTAS'!$A$5:$A$254,0)),"ID no encontrado"))</x:f>
      </x:c>
      <x:c r="E96" s="22" t="str">
        <x:f>IF(C96="","",IF(COUNTIFS('VENTAS'!$A$5:$A$254,C96,'VENTAS'!$C$5:$C$254,"&lt;&gt;")=1,INDEX('VENTAS'!$D$5:$D$254,MATCH(C96,'VENTAS'!$A$5:$A$254,0)),"ID no encontrado"))</x:f>
      </x:c>
      <x:c r="F96" s="26" t="str"/>
      <x:c r="G96" s="27" t="str"/>
      <x:c r="H96" s="27" t="str"/>
      <x:c r="I96" s="26" t="str"/>
      <x:c r="J96" s="30" t="str"/>
      <x:c r="K96" s="28" t="str">
        <x:f>IF(B96="","",IF(ISNUMBER(H96),H96,IF(AND(ISNUMBER(G96),ISNUMBER(J96),J96&gt;0),ROUND(G96/J96,2),"")))</x:f>
      </x:c>
      <x:c r="L96" s="31" t="str"/>
      <x:c r="M96" s="26" t="str"/>
      <x:c r="N96" s="26" t="str">
        <x:v>Incluir</x:v>
      </x:c>
      <x:c r="O96" s="22" t="str"/>
      <x:c r="P96" s="22" t="str"/>
      <x:c r="Q96" s="22" t="str">
        <x:f>IF(B96="","",IF(C96="","Falta ID venta",IF(D96="ID no encontrado","ID venta inválido",IF(COUNTIFS('PAGOS'!$A$5:$A$504,A96,'PAGOS'!$B$5:$B$504,"&gt;0")&gt;1,"ID duplicado",IF(AND(L96&lt;&gt;"",COUNTIFS('PAGOS'!$L$5:$L$504,L96,'PAGOS'!$B$5:$B$504,B96,'PAGOS'!$F$5:$F$504,F96)&gt;1),"Referencia repetida",IF(N96&lt;&gt;"Incluir",N96,IF(NOT(ISNUMBER(K96)),"Falta equivalente","Aplicar")))))))</x:f>
      </x:c>
    </x:row>
    <x:row r="97" ht="25" customHeight="1">
      <x:c r="A97" s="22" t="str">
        <x:v>P-093</x:v>
      </x:c>
      <x:c r="B97" s="25" t="str"/>
      <x:c r="C97" s="26" t="str"/>
      <x:c r="D97" s="22" t="str">
        <x:f>IF(C97="","",IF(COUNTIFS('VENTAS'!$A$5:$A$254,C97,'VENTAS'!$C$5:$C$254,"&lt;&gt;")=1,INDEX('VENTAS'!$C$5:$C$254,MATCH(C97,'VENTAS'!$A$5:$A$254,0)),"ID no encontrado"))</x:f>
      </x:c>
      <x:c r="E97" s="22" t="str">
        <x:f>IF(C97="","",IF(COUNTIFS('VENTAS'!$A$5:$A$254,C97,'VENTAS'!$C$5:$C$254,"&lt;&gt;")=1,INDEX('VENTAS'!$D$5:$D$254,MATCH(C97,'VENTAS'!$A$5:$A$254,0)),"ID no encontrado"))</x:f>
      </x:c>
      <x:c r="F97" s="26" t="str"/>
      <x:c r="G97" s="27" t="str"/>
      <x:c r="H97" s="27" t="str"/>
      <x:c r="I97" s="26" t="str"/>
      <x:c r="J97" s="30" t="str"/>
      <x:c r="K97" s="28" t="str">
        <x:f>IF(B97="","",IF(ISNUMBER(H97),H97,IF(AND(ISNUMBER(G97),ISNUMBER(J97),J97&gt;0),ROUND(G97/J97,2),"")))</x:f>
      </x:c>
      <x:c r="L97" s="31" t="str"/>
      <x:c r="M97" s="26" t="str"/>
      <x:c r="N97" s="26" t="str">
        <x:v>Incluir</x:v>
      </x:c>
      <x:c r="O97" s="22" t="str"/>
      <x:c r="P97" s="22" t="str"/>
      <x:c r="Q97" s="22" t="str">
        <x:f>IF(B97="","",IF(C97="","Falta ID venta",IF(D97="ID no encontrado","ID venta inválido",IF(COUNTIFS('PAGOS'!$A$5:$A$504,A97,'PAGOS'!$B$5:$B$504,"&gt;0")&gt;1,"ID duplicado",IF(AND(L97&lt;&gt;"",COUNTIFS('PAGOS'!$L$5:$L$504,L97,'PAGOS'!$B$5:$B$504,B97,'PAGOS'!$F$5:$F$504,F97)&gt;1),"Referencia repetida",IF(N97&lt;&gt;"Incluir",N97,IF(NOT(ISNUMBER(K97)),"Falta equivalente","Aplicar")))))))</x:f>
      </x:c>
    </x:row>
    <x:row r="98" ht="25" customHeight="1">
      <x:c r="A98" s="22" t="str">
        <x:v>P-094</x:v>
      </x:c>
      <x:c r="B98" s="25" t="str"/>
      <x:c r="C98" s="26" t="str"/>
      <x:c r="D98" s="22" t="str">
        <x:f>IF(C98="","",IF(COUNTIFS('VENTAS'!$A$5:$A$254,C98,'VENTAS'!$C$5:$C$254,"&lt;&gt;")=1,INDEX('VENTAS'!$C$5:$C$254,MATCH(C98,'VENTAS'!$A$5:$A$254,0)),"ID no encontrado"))</x:f>
      </x:c>
      <x:c r="E98" s="22" t="str">
        <x:f>IF(C98="","",IF(COUNTIFS('VENTAS'!$A$5:$A$254,C98,'VENTAS'!$C$5:$C$254,"&lt;&gt;")=1,INDEX('VENTAS'!$D$5:$D$254,MATCH(C98,'VENTAS'!$A$5:$A$254,0)),"ID no encontrado"))</x:f>
      </x:c>
      <x:c r="F98" s="26" t="str"/>
      <x:c r="G98" s="27" t="str"/>
      <x:c r="H98" s="27" t="str"/>
      <x:c r="I98" s="26" t="str"/>
      <x:c r="J98" s="30" t="str"/>
      <x:c r="K98" s="28" t="str">
        <x:f>IF(B98="","",IF(ISNUMBER(H98),H98,IF(AND(ISNUMBER(G98),ISNUMBER(J98),J98&gt;0),ROUND(G98/J98,2),"")))</x:f>
      </x:c>
      <x:c r="L98" s="31" t="str"/>
      <x:c r="M98" s="26" t="str"/>
      <x:c r="N98" s="26" t="str">
        <x:v>Incluir</x:v>
      </x:c>
      <x:c r="O98" s="22" t="str"/>
      <x:c r="P98" s="22" t="str"/>
      <x:c r="Q98" s="22" t="str">
        <x:f>IF(B98="","",IF(C98="","Falta ID venta",IF(D98="ID no encontrado","ID venta inválido",IF(COUNTIFS('PAGOS'!$A$5:$A$504,A98,'PAGOS'!$B$5:$B$504,"&gt;0")&gt;1,"ID duplicado",IF(AND(L98&lt;&gt;"",COUNTIFS('PAGOS'!$L$5:$L$504,L98,'PAGOS'!$B$5:$B$504,B98,'PAGOS'!$F$5:$F$504,F98)&gt;1),"Referencia repetida",IF(N98&lt;&gt;"Incluir",N98,IF(NOT(ISNUMBER(K98)),"Falta equivalente","Aplicar")))))))</x:f>
      </x:c>
    </x:row>
    <x:row r="99" ht="25" customHeight="1">
      <x:c r="A99" s="22" t="str">
        <x:v>P-095</x:v>
      </x:c>
      <x:c r="B99" s="25" t="str"/>
      <x:c r="C99" s="26" t="str"/>
      <x:c r="D99" s="22" t="str">
        <x:f>IF(C99="","",IF(COUNTIFS('VENTAS'!$A$5:$A$254,C99,'VENTAS'!$C$5:$C$254,"&lt;&gt;")=1,INDEX('VENTAS'!$C$5:$C$254,MATCH(C99,'VENTAS'!$A$5:$A$254,0)),"ID no encontrado"))</x:f>
      </x:c>
      <x:c r="E99" s="22" t="str">
        <x:f>IF(C99="","",IF(COUNTIFS('VENTAS'!$A$5:$A$254,C99,'VENTAS'!$C$5:$C$254,"&lt;&gt;")=1,INDEX('VENTAS'!$D$5:$D$254,MATCH(C99,'VENTAS'!$A$5:$A$254,0)),"ID no encontrado"))</x:f>
      </x:c>
      <x:c r="F99" s="26" t="str"/>
      <x:c r="G99" s="27" t="str"/>
      <x:c r="H99" s="27" t="str"/>
      <x:c r="I99" s="26" t="str"/>
      <x:c r="J99" s="30" t="str"/>
      <x:c r="K99" s="28" t="str">
        <x:f>IF(B99="","",IF(ISNUMBER(H99),H99,IF(AND(ISNUMBER(G99),ISNUMBER(J99),J99&gt;0),ROUND(G99/J99,2),"")))</x:f>
      </x:c>
      <x:c r="L99" s="31" t="str"/>
      <x:c r="M99" s="26" t="str"/>
      <x:c r="N99" s="26" t="str">
        <x:v>Incluir</x:v>
      </x:c>
      <x:c r="O99" s="22" t="str"/>
      <x:c r="P99" s="22" t="str"/>
      <x:c r="Q99" s="22" t="str">
        <x:f>IF(B99="","",IF(C99="","Falta ID venta",IF(D99="ID no encontrado","ID venta inválido",IF(COUNTIFS('PAGOS'!$A$5:$A$504,A99,'PAGOS'!$B$5:$B$504,"&gt;0")&gt;1,"ID duplicado",IF(AND(L99&lt;&gt;"",COUNTIFS('PAGOS'!$L$5:$L$504,L99,'PAGOS'!$B$5:$B$504,B99,'PAGOS'!$F$5:$F$504,F99)&gt;1),"Referencia repetida",IF(N99&lt;&gt;"Incluir",N99,IF(NOT(ISNUMBER(K99)),"Falta equivalente","Aplicar")))))))</x:f>
      </x:c>
    </x:row>
    <x:row r="100" ht="25" customHeight="1">
      <x:c r="A100" s="22" t="str">
        <x:v>P-096</x:v>
      </x:c>
      <x:c r="B100" s="25" t="str"/>
      <x:c r="C100" s="26" t="str"/>
      <x:c r="D100" s="22" t="str">
        <x:f>IF(C100="","",IF(COUNTIFS('VENTAS'!$A$5:$A$254,C100,'VENTAS'!$C$5:$C$254,"&lt;&gt;")=1,INDEX('VENTAS'!$C$5:$C$254,MATCH(C100,'VENTAS'!$A$5:$A$254,0)),"ID no encontrado"))</x:f>
      </x:c>
      <x:c r="E100" s="22" t="str">
        <x:f>IF(C100="","",IF(COUNTIFS('VENTAS'!$A$5:$A$254,C100,'VENTAS'!$C$5:$C$254,"&lt;&gt;")=1,INDEX('VENTAS'!$D$5:$D$254,MATCH(C100,'VENTAS'!$A$5:$A$254,0)),"ID no encontrado"))</x:f>
      </x:c>
      <x:c r="F100" s="26" t="str"/>
      <x:c r="G100" s="27" t="str"/>
      <x:c r="H100" s="27" t="str"/>
      <x:c r="I100" s="26" t="str"/>
      <x:c r="J100" s="30" t="str"/>
      <x:c r="K100" s="28" t="str">
        <x:f>IF(B100="","",IF(ISNUMBER(H100),H100,IF(AND(ISNUMBER(G100),ISNUMBER(J100),J100&gt;0),ROUND(G100/J100,2),"")))</x:f>
      </x:c>
      <x:c r="L100" s="31" t="str"/>
      <x:c r="M100" s="26" t="str"/>
      <x:c r="N100" s="26" t="str">
        <x:v>Incluir</x:v>
      </x:c>
      <x:c r="O100" s="22" t="str"/>
      <x:c r="P100" s="22" t="str"/>
      <x:c r="Q100" s="22" t="str">
        <x:f>IF(B100="","",IF(C100="","Falta ID venta",IF(D100="ID no encontrado","ID venta inválido",IF(COUNTIFS('PAGOS'!$A$5:$A$504,A100,'PAGOS'!$B$5:$B$504,"&gt;0")&gt;1,"ID duplicado",IF(AND(L100&lt;&gt;"",COUNTIFS('PAGOS'!$L$5:$L$504,L100,'PAGOS'!$B$5:$B$504,B100,'PAGOS'!$F$5:$F$504,F100)&gt;1),"Referencia repetida",IF(N100&lt;&gt;"Incluir",N100,IF(NOT(ISNUMBER(K100)),"Falta equivalente","Aplicar")))))))</x:f>
      </x:c>
    </x:row>
    <x:row r="101" ht="25" customHeight="1">
      <x:c r="A101" s="22" t="str">
        <x:v>P-097</x:v>
      </x:c>
      <x:c r="B101" s="25" t="str"/>
      <x:c r="C101" s="26" t="str"/>
      <x:c r="D101" s="22" t="str">
        <x:f>IF(C101="","",IF(COUNTIFS('VENTAS'!$A$5:$A$254,C101,'VENTAS'!$C$5:$C$254,"&lt;&gt;")=1,INDEX('VENTAS'!$C$5:$C$254,MATCH(C101,'VENTAS'!$A$5:$A$254,0)),"ID no encontrado"))</x:f>
      </x:c>
      <x:c r="E101" s="22" t="str">
        <x:f>IF(C101="","",IF(COUNTIFS('VENTAS'!$A$5:$A$254,C101,'VENTAS'!$C$5:$C$254,"&lt;&gt;")=1,INDEX('VENTAS'!$D$5:$D$254,MATCH(C101,'VENTAS'!$A$5:$A$254,0)),"ID no encontrado"))</x:f>
      </x:c>
      <x:c r="F101" s="26" t="str"/>
      <x:c r="G101" s="27" t="str"/>
      <x:c r="H101" s="27" t="str"/>
      <x:c r="I101" s="26" t="str"/>
      <x:c r="J101" s="30" t="str"/>
      <x:c r="K101" s="28" t="str">
        <x:f>IF(B101="","",IF(ISNUMBER(H101),H101,IF(AND(ISNUMBER(G101),ISNUMBER(J101),J101&gt;0),ROUND(G101/J101,2),"")))</x:f>
      </x:c>
      <x:c r="L101" s="31" t="str"/>
      <x:c r="M101" s="26" t="str"/>
      <x:c r="N101" s="26" t="str">
        <x:v>Incluir</x:v>
      </x:c>
      <x:c r="O101" s="22" t="str"/>
      <x:c r="P101" s="22" t="str"/>
      <x:c r="Q101" s="22" t="str">
        <x:f>IF(B101="","",IF(C101="","Falta ID venta",IF(D101="ID no encontrado","ID venta inválido",IF(COUNTIFS('PAGOS'!$A$5:$A$504,A101,'PAGOS'!$B$5:$B$504,"&gt;0")&gt;1,"ID duplicado",IF(AND(L101&lt;&gt;"",COUNTIFS('PAGOS'!$L$5:$L$504,L101,'PAGOS'!$B$5:$B$504,B101,'PAGOS'!$F$5:$F$504,F101)&gt;1),"Referencia repetida",IF(N101&lt;&gt;"Incluir",N101,IF(NOT(ISNUMBER(K101)),"Falta equivalente","Aplicar")))))))</x:f>
      </x:c>
    </x:row>
    <x:row r="102" ht="25" customHeight="1">
      <x:c r="A102" s="22" t="str">
        <x:v>P-098</x:v>
      </x:c>
      <x:c r="B102" s="25" t="str"/>
      <x:c r="C102" s="26" t="str"/>
      <x:c r="D102" s="22" t="str">
        <x:f>IF(C102="","",IF(COUNTIFS('VENTAS'!$A$5:$A$254,C102,'VENTAS'!$C$5:$C$254,"&lt;&gt;")=1,INDEX('VENTAS'!$C$5:$C$254,MATCH(C102,'VENTAS'!$A$5:$A$254,0)),"ID no encontrado"))</x:f>
      </x:c>
      <x:c r="E102" s="22" t="str">
        <x:f>IF(C102="","",IF(COUNTIFS('VENTAS'!$A$5:$A$254,C102,'VENTAS'!$C$5:$C$254,"&lt;&gt;")=1,INDEX('VENTAS'!$D$5:$D$254,MATCH(C102,'VENTAS'!$A$5:$A$254,0)),"ID no encontrado"))</x:f>
      </x:c>
      <x:c r="F102" s="26" t="str"/>
      <x:c r="G102" s="27" t="str"/>
      <x:c r="H102" s="27" t="str"/>
      <x:c r="I102" s="26" t="str"/>
      <x:c r="J102" s="30" t="str"/>
      <x:c r="K102" s="28" t="str">
        <x:f>IF(B102="","",IF(ISNUMBER(H102),H102,IF(AND(ISNUMBER(G102),ISNUMBER(J102),J102&gt;0),ROUND(G102/J102,2),"")))</x:f>
      </x:c>
      <x:c r="L102" s="31" t="str"/>
      <x:c r="M102" s="26" t="str"/>
      <x:c r="N102" s="26" t="str">
        <x:v>Incluir</x:v>
      </x:c>
      <x:c r="O102" s="22" t="str"/>
      <x:c r="P102" s="22" t="str"/>
      <x:c r="Q102" s="22" t="str">
        <x:f>IF(B102="","",IF(C102="","Falta ID venta",IF(D102="ID no encontrado","ID venta inválido",IF(COUNTIFS('PAGOS'!$A$5:$A$504,A102,'PAGOS'!$B$5:$B$504,"&gt;0")&gt;1,"ID duplicado",IF(AND(L102&lt;&gt;"",COUNTIFS('PAGOS'!$L$5:$L$504,L102,'PAGOS'!$B$5:$B$504,B102,'PAGOS'!$F$5:$F$504,F102)&gt;1),"Referencia repetida",IF(N102&lt;&gt;"Incluir",N102,IF(NOT(ISNUMBER(K102)),"Falta equivalente","Aplicar")))))))</x:f>
      </x:c>
    </x:row>
    <x:row r="103" ht="25" customHeight="1">
      <x:c r="A103" s="22" t="str">
        <x:v>P-099</x:v>
      </x:c>
      <x:c r="B103" s="25" t="str"/>
      <x:c r="C103" s="26" t="str"/>
      <x:c r="D103" s="22" t="str">
        <x:f>IF(C103="","",IF(COUNTIFS('VENTAS'!$A$5:$A$254,C103,'VENTAS'!$C$5:$C$254,"&lt;&gt;")=1,INDEX('VENTAS'!$C$5:$C$254,MATCH(C103,'VENTAS'!$A$5:$A$254,0)),"ID no encontrado"))</x:f>
      </x:c>
      <x:c r="E103" s="22" t="str">
        <x:f>IF(C103="","",IF(COUNTIFS('VENTAS'!$A$5:$A$254,C103,'VENTAS'!$C$5:$C$254,"&lt;&gt;")=1,INDEX('VENTAS'!$D$5:$D$254,MATCH(C103,'VENTAS'!$A$5:$A$254,0)),"ID no encontrado"))</x:f>
      </x:c>
      <x:c r="F103" s="26" t="str"/>
      <x:c r="G103" s="27" t="str"/>
      <x:c r="H103" s="27" t="str"/>
      <x:c r="I103" s="26" t="str"/>
      <x:c r="J103" s="30" t="str"/>
      <x:c r="K103" s="28" t="str">
        <x:f>IF(B103="","",IF(ISNUMBER(H103),H103,IF(AND(ISNUMBER(G103),ISNUMBER(J103),J103&gt;0),ROUND(G103/J103,2),"")))</x:f>
      </x:c>
      <x:c r="L103" s="31" t="str"/>
      <x:c r="M103" s="26" t="str"/>
      <x:c r="N103" s="26" t="str">
        <x:v>Incluir</x:v>
      </x:c>
      <x:c r="O103" s="22" t="str"/>
      <x:c r="P103" s="22" t="str"/>
      <x:c r="Q103" s="22" t="str">
        <x:f>IF(B103="","",IF(C103="","Falta ID venta",IF(D103="ID no encontrado","ID venta inválido",IF(COUNTIFS('PAGOS'!$A$5:$A$504,A103,'PAGOS'!$B$5:$B$504,"&gt;0")&gt;1,"ID duplicado",IF(AND(L103&lt;&gt;"",COUNTIFS('PAGOS'!$L$5:$L$504,L103,'PAGOS'!$B$5:$B$504,B103,'PAGOS'!$F$5:$F$504,F103)&gt;1),"Referencia repetida",IF(N103&lt;&gt;"Incluir",N103,IF(NOT(ISNUMBER(K103)),"Falta equivalente","Aplicar")))))))</x:f>
      </x:c>
    </x:row>
    <x:row r="104" ht="25" customHeight="1">
      <x:c r="A104" s="22" t="str">
        <x:v>P-100</x:v>
      </x:c>
      <x:c r="B104" s="25" t="str"/>
      <x:c r="C104" s="26" t="str"/>
      <x:c r="D104" s="22" t="str">
        <x:f>IF(C104="","",IF(COUNTIFS('VENTAS'!$A$5:$A$254,C104,'VENTAS'!$C$5:$C$254,"&lt;&gt;")=1,INDEX('VENTAS'!$C$5:$C$254,MATCH(C104,'VENTAS'!$A$5:$A$254,0)),"ID no encontrado"))</x:f>
      </x:c>
      <x:c r="E104" s="22" t="str">
        <x:f>IF(C104="","",IF(COUNTIFS('VENTAS'!$A$5:$A$254,C104,'VENTAS'!$C$5:$C$254,"&lt;&gt;")=1,INDEX('VENTAS'!$D$5:$D$254,MATCH(C104,'VENTAS'!$A$5:$A$254,0)),"ID no encontrado"))</x:f>
      </x:c>
      <x:c r="F104" s="26" t="str"/>
      <x:c r="G104" s="27" t="str"/>
      <x:c r="H104" s="27" t="str"/>
      <x:c r="I104" s="26" t="str"/>
      <x:c r="J104" s="30" t="str"/>
      <x:c r="K104" s="28" t="str">
        <x:f>IF(B104="","",IF(ISNUMBER(H104),H104,IF(AND(ISNUMBER(G104),ISNUMBER(J104),J104&gt;0),ROUND(G104/J104,2),"")))</x:f>
      </x:c>
      <x:c r="L104" s="31" t="str"/>
      <x:c r="M104" s="26" t="str"/>
      <x:c r="N104" s="26" t="str">
        <x:v>Incluir</x:v>
      </x:c>
      <x:c r="O104" s="22" t="str"/>
      <x:c r="P104" s="22" t="str"/>
      <x:c r="Q104" s="22" t="str">
        <x:f>IF(B104="","",IF(C104="","Falta ID venta",IF(D104="ID no encontrado","ID venta inválido",IF(COUNTIFS('PAGOS'!$A$5:$A$504,A104,'PAGOS'!$B$5:$B$504,"&gt;0")&gt;1,"ID duplicado",IF(AND(L104&lt;&gt;"",COUNTIFS('PAGOS'!$L$5:$L$504,L104,'PAGOS'!$B$5:$B$504,B104,'PAGOS'!$F$5:$F$504,F104)&gt;1),"Referencia repetida",IF(N104&lt;&gt;"Incluir",N104,IF(NOT(ISNUMBER(K104)),"Falta equivalente","Aplicar")))))))</x:f>
      </x:c>
    </x:row>
    <x:row r="105" ht="25" customHeight="1">
      <x:c r="A105" s="22" t="str">
        <x:v>P-101</x:v>
      </x:c>
      <x:c r="B105" s="25" t="str"/>
      <x:c r="C105" s="26" t="str"/>
      <x:c r="D105" s="22" t="str">
        <x:f>IF(C105="","",IF(COUNTIFS('VENTAS'!$A$5:$A$254,C105,'VENTAS'!$C$5:$C$254,"&lt;&gt;")=1,INDEX('VENTAS'!$C$5:$C$254,MATCH(C105,'VENTAS'!$A$5:$A$254,0)),"ID no encontrado"))</x:f>
      </x:c>
      <x:c r="E105" s="22" t="str">
        <x:f>IF(C105="","",IF(COUNTIFS('VENTAS'!$A$5:$A$254,C105,'VENTAS'!$C$5:$C$254,"&lt;&gt;")=1,INDEX('VENTAS'!$D$5:$D$254,MATCH(C105,'VENTAS'!$A$5:$A$254,0)),"ID no encontrado"))</x:f>
      </x:c>
      <x:c r="F105" s="26" t="str"/>
      <x:c r="G105" s="27" t="str"/>
      <x:c r="H105" s="27" t="str"/>
      <x:c r="I105" s="26" t="str"/>
      <x:c r="J105" s="30" t="str"/>
      <x:c r="K105" s="28" t="str">
        <x:f>IF(B105="","",IF(ISNUMBER(H105),H105,IF(AND(ISNUMBER(G105),ISNUMBER(J105),J105&gt;0),ROUND(G105/J105,2),"")))</x:f>
      </x:c>
      <x:c r="L105" s="31" t="str"/>
      <x:c r="M105" s="26" t="str"/>
      <x:c r="N105" s="26" t="str">
        <x:v>Incluir</x:v>
      </x:c>
      <x:c r="O105" s="22" t="str"/>
      <x:c r="P105" s="22" t="str"/>
      <x:c r="Q105" s="22" t="str">
        <x:f>IF(B105="","",IF(C105="","Falta ID venta",IF(D105="ID no encontrado","ID venta inválido",IF(COUNTIFS('PAGOS'!$A$5:$A$504,A105,'PAGOS'!$B$5:$B$504,"&gt;0")&gt;1,"ID duplicado",IF(AND(L105&lt;&gt;"",COUNTIFS('PAGOS'!$L$5:$L$504,L105,'PAGOS'!$B$5:$B$504,B105,'PAGOS'!$F$5:$F$504,F105)&gt;1),"Referencia repetida",IF(N105&lt;&gt;"Incluir",N105,IF(NOT(ISNUMBER(K105)),"Falta equivalente","Aplicar")))))))</x:f>
      </x:c>
    </x:row>
    <x:row r="106" ht="25" customHeight="1">
      <x:c r="A106" s="22" t="str">
        <x:v>P-102</x:v>
      </x:c>
      <x:c r="B106" s="25" t="str"/>
      <x:c r="C106" s="26" t="str"/>
      <x:c r="D106" s="22" t="str">
        <x:f>IF(C106="","",IF(COUNTIFS('VENTAS'!$A$5:$A$254,C106,'VENTAS'!$C$5:$C$254,"&lt;&gt;")=1,INDEX('VENTAS'!$C$5:$C$254,MATCH(C106,'VENTAS'!$A$5:$A$254,0)),"ID no encontrado"))</x:f>
      </x:c>
      <x:c r="E106" s="22" t="str">
        <x:f>IF(C106="","",IF(COUNTIFS('VENTAS'!$A$5:$A$254,C106,'VENTAS'!$C$5:$C$254,"&lt;&gt;")=1,INDEX('VENTAS'!$D$5:$D$254,MATCH(C106,'VENTAS'!$A$5:$A$254,0)),"ID no encontrado"))</x:f>
      </x:c>
      <x:c r="F106" s="26" t="str"/>
      <x:c r="G106" s="27" t="str"/>
      <x:c r="H106" s="27" t="str"/>
      <x:c r="I106" s="26" t="str"/>
      <x:c r="J106" s="30" t="str"/>
      <x:c r="K106" s="28" t="str">
        <x:f>IF(B106="","",IF(ISNUMBER(H106),H106,IF(AND(ISNUMBER(G106),ISNUMBER(J106),J106&gt;0),ROUND(G106/J106,2),"")))</x:f>
      </x:c>
      <x:c r="L106" s="31" t="str"/>
      <x:c r="M106" s="26" t="str"/>
      <x:c r="N106" s="26" t="str">
        <x:v>Incluir</x:v>
      </x:c>
      <x:c r="O106" s="22" t="str"/>
      <x:c r="P106" s="22" t="str"/>
      <x:c r="Q106" s="22" t="str">
        <x:f>IF(B106="","",IF(C106="","Falta ID venta",IF(D106="ID no encontrado","ID venta inválido",IF(COUNTIFS('PAGOS'!$A$5:$A$504,A106,'PAGOS'!$B$5:$B$504,"&gt;0")&gt;1,"ID duplicado",IF(AND(L106&lt;&gt;"",COUNTIFS('PAGOS'!$L$5:$L$504,L106,'PAGOS'!$B$5:$B$504,B106,'PAGOS'!$F$5:$F$504,F106)&gt;1),"Referencia repetida",IF(N106&lt;&gt;"Incluir",N106,IF(NOT(ISNUMBER(K106)),"Falta equivalente","Aplicar")))))))</x:f>
      </x:c>
    </x:row>
    <x:row r="107" ht="25" customHeight="1">
      <x:c r="A107" s="22" t="str">
        <x:v>P-103</x:v>
      </x:c>
      <x:c r="B107" s="25" t="str"/>
      <x:c r="C107" s="26" t="str"/>
      <x:c r="D107" s="22" t="str">
        <x:f>IF(C107="","",IF(COUNTIFS('VENTAS'!$A$5:$A$254,C107,'VENTAS'!$C$5:$C$254,"&lt;&gt;")=1,INDEX('VENTAS'!$C$5:$C$254,MATCH(C107,'VENTAS'!$A$5:$A$254,0)),"ID no encontrado"))</x:f>
      </x:c>
      <x:c r="E107" s="22" t="str">
        <x:f>IF(C107="","",IF(COUNTIFS('VENTAS'!$A$5:$A$254,C107,'VENTAS'!$C$5:$C$254,"&lt;&gt;")=1,INDEX('VENTAS'!$D$5:$D$254,MATCH(C107,'VENTAS'!$A$5:$A$254,0)),"ID no encontrado"))</x:f>
      </x:c>
      <x:c r="F107" s="26" t="str"/>
      <x:c r="G107" s="27" t="str"/>
      <x:c r="H107" s="27" t="str"/>
      <x:c r="I107" s="26" t="str"/>
      <x:c r="J107" s="30" t="str"/>
      <x:c r="K107" s="28" t="str">
        <x:f>IF(B107="","",IF(ISNUMBER(H107),H107,IF(AND(ISNUMBER(G107),ISNUMBER(J107),J107&gt;0),ROUND(G107/J107,2),"")))</x:f>
      </x:c>
      <x:c r="L107" s="31" t="str"/>
      <x:c r="M107" s="26" t="str"/>
      <x:c r="N107" s="26" t="str">
        <x:v>Incluir</x:v>
      </x:c>
      <x:c r="O107" s="22" t="str"/>
      <x:c r="P107" s="22" t="str"/>
      <x:c r="Q107" s="22" t="str">
        <x:f>IF(B107="","",IF(C107="","Falta ID venta",IF(D107="ID no encontrado","ID venta inválido",IF(COUNTIFS('PAGOS'!$A$5:$A$504,A107,'PAGOS'!$B$5:$B$504,"&gt;0")&gt;1,"ID duplicado",IF(AND(L107&lt;&gt;"",COUNTIFS('PAGOS'!$L$5:$L$504,L107,'PAGOS'!$B$5:$B$504,B107,'PAGOS'!$F$5:$F$504,F107)&gt;1),"Referencia repetida",IF(N107&lt;&gt;"Incluir",N107,IF(NOT(ISNUMBER(K107)),"Falta equivalente","Aplicar")))))))</x:f>
      </x:c>
    </x:row>
    <x:row r="108" ht="25" customHeight="1">
      <x:c r="A108" s="22" t="str">
        <x:v>P-104</x:v>
      </x:c>
      <x:c r="B108" s="25" t="str"/>
      <x:c r="C108" s="26" t="str"/>
      <x:c r="D108" s="22" t="str">
        <x:f>IF(C108="","",IF(COUNTIFS('VENTAS'!$A$5:$A$254,C108,'VENTAS'!$C$5:$C$254,"&lt;&gt;")=1,INDEX('VENTAS'!$C$5:$C$254,MATCH(C108,'VENTAS'!$A$5:$A$254,0)),"ID no encontrado"))</x:f>
      </x:c>
      <x:c r="E108" s="22" t="str">
        <x:f>IF(C108="","",IF(COUNTIFS('VENTAS'!$A$5:$A$254,C108,'VENTAS'!$C$5:$C$254,"&lt;&gt;")=1,INDEX('VENTAS'!$D$5:$D$254,MATCH(C108,'VENTAS'!$A$5:$A$254,0)),"ID no encontrado"))</x:f>
      </x:c>
      <x:c r="F108" s="26" t="str"/>
      <x:c r="G108" s="27" t="str"/>
      <x:c r="H108" s="27" t="str"/>
      <x:c r="I108" s="26" t="str"/>
      <x:c r="J108" s="30" t="str"/>
      <x:c r="K108" s="28" t="str">
        <x:f>IF(B108="","",IF(ISNUMBER(H108),H108,IF(AND(ISNUMBER(G108),ISNUMBER(J108),J108&gt;0),ROUND(G108/J108,2),"")))</x:f>
      </x:c>
      <x:c r="L108" s="31" t="str"/>
      <x:c r="M108" s="26" t="str"/>
      <x:c r="N108" s="26" t="str">
        <x:v>Incluir</x:v>
      </x:c>
      <x:c r="O108" s="22" t="str"/>
      <x:c r="P108" s="22" t="str"/>
      <x:c r="Q108" s="22" t="str">
        <x:f>IF(B108="","",IF(C108="","Falta ID venta",IF(D108="ID no encontrado","ID venta inválido",IF(COUNTIFS('PAGOS'!$A$5:$A$504,A108,'PAGOS'!$B$5:$B$504,"&gt;0")&gt;1,"ID duplicado",IF(AND(L108&lt;&gt;"",COUNTIFS('PAGOS'!$L$5:$L$504,L108,'PAGOS'!$B$5:$B$504,B108,'PAGOS'!$F$5:$F$504,F108)&gt;1),"Referencia repetida",IF(N108&lt;&gt;"Incluir",N108,IF(NOT(ISNUMBER(K108)),"Falta equivalente","Aplicar")))))))</x:f>
      </x:c>
    </x:row>
    <x:row r="109" ht="25" customHeight="1">
      <x:c r="A109" s="22" t="str">
        <x:v>P-105</x:v>
      </x:c>
      <x:c r="B109" s="25" t="str"/>
      <x:c r="C109" s="26" t="str"/>
      <x:c r="D109" s="22" t="str">
        <x:f>IF(C109="","",IF(COUNTIFS('VENTAS'!$A$5:$A$254,C109,'VENTAS'!$C$5:$C$254,"&lt;&gt;")=1,INDEX('VENTAS'!$C$5:$C$254,MATCH(C109,'VENTAS'!$A$5:$A$254,0)),"ID no encontrado"))</x:f>
      </x:c>
      <x:c r="E109" s="22" t="str">
        <x:f>IF(C109="","",IF(COUNTIFS('VENTAS'!$A$5:$A$254,C109,'VENTAS'!$C$5:$C$254,"&lt;&gt;")=1,INDEX('VENTAS'!$D$5:$D$254,MATCH(C109,'VENTAS'!$A$5:$A$254,0)),"ID no encontrado"))</x:f>
      </x:c>
      <x:c r="F109" s="26" t="str"/>
      <x:c r="G109" s="27" t="str"/>
      <x:c r="H109" s="27" t="str"/>
      <x:c r="I109" s="26" t="str"/>
      <x:c r="J109" s="30" t="str"/>
      <x:c r="K109" s="28" t="str">
        <x:f>IF(B109="","",IF(ISNUMBER(H109),H109,IF(AND(ISNUMBER(G109),ISNUMBER(J109),J109&gt;0),ROUND(G109/J109,2),"")))</x:f>
      </x:c>
      <x:c r="L109" s="31" t="str"/>
      <x:c r="M109" s="26" t="str"/>
      <x:c r="N109" s="26" t="str">
        <x:v>Incluir</x:v>
      </x:c>
      <x:c r="O109" s="22" t="str"/>
      <x:c r="P109" s="22" t="str"/>
      <x:c r="Q109" s="22" t="str">
        <x:f>IF(B109="","",IF(C109="","Falta ID venta",IF(D109="ID no encontrado","ID venta inválido",IF(COUNTIFS('PAGOS'!$A$5:$A$504,A109,'PAGOS'!$B$5:$B$504,"&gt;0")&gt;1,"ID duplicado",IF(AND(L109&lt;&gt;"",COUNTIFS('PAGOS'!$L$5:$L$504,L109,'PAGOS'!$B$5:$B$504,B109,'PAGOS'!$F$5:$F$504,F109)&gt;1),"Referencia repetida",IF(N109&lt;&gt;"Incluir",N109,IF(NOT(ISNUMBER(K109)),"Falta equivalente","Aplicar")))))))</x:f>
      </x:c>
    </x:row>
    <x:row r="110" ht="25" customHeight="1">
      <x:c r="A110" s="22" t="str">
        <x:v>P-106</x:v>
      </x:c>
      <x:c r="B110" s="25" t="str"/>
      <x:c r="C110" s="26" t="str"/>
      <x:c r="D110" s="22" t="str">
        <x:f>IF(C110="","",IF(COUNTIFS('VENTAS'!$A$5:$A$254,C110,'VENTAS'!$C$5:$C$254,"&lt;&gt;")=1,INDEX('VENTAS'!$C$5:$C$254,MATCH(C110,'VENTAS'!$A$5:$A$254,0)),"ID no encontrado"))</x:f>
      </x:c>
      <x:c r="E110" s="22" t="str">
        <x:f>IF(C110="","",IF(COUNTIFS('VENTAS'!$A$5:$A$254,C110,'VENTAS'!$C$5:$C$254,"&lt;&gt;")=1,INDEX('VENTAS'!$D$5:$D$254,MATCH(C110,'VENTAS'!$A$5:$A$254,0)),"ID no encontrado"))</x:f>
      </x:c>
      <x:c r="F110" s="26" t="str"/>
      <x:c r="G110" s="27" t="str"/>
      <x:c r="H110" s="27" t="str"/>
      <x:c r="I110" s="26" t="str"/>
      <x:c r="J110" s="30" t="str"/>
      <x:c r="K110" s="28" t="str">
        <x:f>IF(B110="","",IF(ISNUMBER(H110),H110,IF(AND(ISNUMBER(G110),ISNUMBER(J110),J110&gt;0),ROUND(G110/J110,2),"")))</x:f>
      </x:c>
      <x:c r="L110" s="31" t="str"/>
      <x:c r="M110" s="26" t="str"/>
      <x:c r="N110" s="26" t="str">
        <x:v>Incluir</x:v>
      </x:c>
      <x:c r="O110" s="22" t="str"/>
      <x:c r="P110" s="22" t="str"/>
      <x:c r="Q110" s="22" t="str">
        <x:f>IF(B110="","",IF(C110="","Falta ID venta",IF(D110="ID no encontrado","ID venta inválido",IF(COUNTIFS('PAGOS'!$A$5:$A$504,A110,'PAGOS'!$B$5:$B$504,"&gt;0")&gt;1,"ID duplicado",IF(AND(L110&lt;&gt;"",COUNTIFS('PAGOS'!$L$5:$L$504,L110,'PAGOS'!$B$5:$B$504,B110,'PAGOS'!$F$5:$F$504,F110)&gt;1),"Referencia repetida",IF(N110&lt;&gt;"Incluir",N110,IF(NOT(ISNUMBER(K110)),"Falta equivalente","Aplicar")))))))</x:f>
      </x:c>
    </x:row>
    <x:row r="111" ht="25" customHeight="1">
      <x:c r="A111" s="22" t="str">
        <x:v>P-107</x:v>
      </x:c>
      <x:c r="B111" s="25" t="str"/>
      <x:c r="C111" s="26" t="str"/>
      <x:c r="D111" s="22" t="str">
        <x:f>IF(C111="","",IF(COUNTIFS('VENTAS'!$A$5:$A$254,C111,'VENTAS'!$C$5:$C$254,"&lt;&gt;")=1,INDEX('VENTAS'!$C$5:$C$254,MATCH(C111,'VENTAS'!$A$5:$A$254,0)),"ID no encontrado"))</x:f>
      </x:c>
      <x:c r="E111" s="22" t="str">
        <x:f>IF(C111="","",IF(COUNTIFS('VENTAS'!$A$5:$A$254,C111,'VENTAS'!$C$5:$C$254,"&lt;&gt;")=1,INDEX('VENTAS'!$D$5:$D$254,MATCH(C111,'VENTAS'!$A$5:$A$254,0)),"ID no encontrado"))</x:f>
      </x:c>
      <x:c r="F111" s="26" t="str"/>
      <x:c r="G111" s="27" t="str"/>
      <x:c r="H111" s="27" t="str"/>
      <x:c r="I111" s="26" t="str"/>
      <x:c r="J111" s="30" t="str"/>
      <x:c r="K111" s="28" t="str">
        <x:f>IF(B111="","",IF(ISNUMBER(H111),H111,IF(AND(ISNUMBER(G111),ISNUMBER(J111),J111&gt;0),ROUND(G111/J111,2),"")))</x:f>
      </x:c>
      <x:c r="L111" s="31" t="str"/>
      <x:c r="M111" s="26" t="str"/>
      <x:c r="N111" s="26" t="str">
        <x:v>Incluir</x:v>
      </x:c>
      <x:c r="O111" s="22" t="str"/>
      <x:c r="P111" s="22" t="str"/>
      <x:c r="Q111" s="22" t="str">
        <x:f>IF(B111="","",IF(C111="","Falta ID venta",IF(D111="ID no encontrado","ID venta inválido",IF(COUNTIFS('PAGOS'!$A$5:$A$504,A111,'PAGOS'!$B$5:$B$504,"&gt;0")&gt;1,"ID duplicado",IF(AND(L111&lt;&gt;"",COUNTIFS('PAGOS'!$L$5:$L$504,L111,'PAGOS'!$B$5:$B$504,B111,'PAGOS'!$F$5:$F$504,F111)&gt;1),"Referencia repetida",IF(N111&lt;&gt;"Incluir",N111,IF(NOT(ISNUMBER(K111)),"Falta equivalente","Aplicar")))))))</x:f>
      </x:c>
    </x:row>
    <x:row r="112" ht="25" customHeight="1">
      <x:c r="A112" s="22" t="str">
        <x:v>P-108</x:v>
      </x:c>
      <x:c r="B112" s="25" t="str"/>
      <x:c r="C112" s="26" t="str"/>
      <x:c r="D112" s="22" t="str">
        <x:f>IF(C112="","",IF(COUNTIFS('VENTAS'!$A$5:$A$254,C112,'VENTAS'!$C$5:$C$254,"&lt;&gt;")=1,INDEX('VENTAS'!$C$5:$C$254,MATCH(C112,'VENTAS'!$A$5:$A$254,0)),"ID no encontrado"))</x:f>
      </x:c>
      <x:c r="E112" s="22" t="str">
        <x:f>IF(C112="","",IF(COUNTIFS('VENTAS'!$A$5:$A$254,C112,'VENTAS'!$C$5:$C$254,"&lt;&gt;")=1,INDEX('VENTAS'!$D$5:$D$254,MATCH(C112,'VENTAS'!$A$5:$A$254,0)),"ID no encontrado"))</x:f>
      </x:c>
      <x:c r="F112" s="26" t="str"/>
      <x:c r="G112" s="27" t="str"/>
      <x:c r="H112" s="27" t="str"/>
      <x:c r="I112" s="26" t="str"/>
      <x:c r="J112" s="30" t="str"/>
      <x:c r="K112" s="28" t="str">
        <x:f>IF(B112="","",IF(ISNUMBER(H112),H112,IF(AND(ISNUMBER(G112),ISNUMBER(J112),J112&gt;0),ROUND(G112/J112,2),"")))</x:f>
      </x:c>
      <x:c r="L112" s="31" t="str"/>
      <x:c r="M112" s="26" t="str"/>
      <x:c r="N112" s="26" t="str">
        <x:v>Incluir</x:v>
      </x:c>
      <x:c r="O112" s="22" t="str"/>
      <x:c r="P112" s="22" t="str"/>
      <x:c r="Q112" s="22" t="str">
        <x:f>IF(B112="","",IF(C112="","Falta ID venta",IF(D112="ID no encontrado","ID venta inválido",IF(COUNTIFS('PAGOS'!$A$5:$A$504,A112,'PAGOS'!$B$5:$B$504,"&gt;0")&gt;1,"ID duplicado",IF(AND(L112&lt;&gt;"",COUNTIFS('PAGOS'!$L$5:$L$504,L112,'PAGOS'!$B$5:$B$504,B112,'PAGOS'!$F$5:$F$504,F112)&gt;1),"Referencia repetida",IF(N112&lt;&gt;"Incluir",N112,IF(NOT(ISNUMBER(K112)),"Falta equivalente","Aplicar")))))))</x:f>
      </x:c>
    </x:row>
    <x:row r="113" ht="25" customHeight="1">
      <x:c r="A113" s="22" t="str">
        <x:v>P-109</x:v>
      </x:c>
      <x:c r="B113" s="25" t="str"/>
      <x:c r="C113" s="26" t="str"/>
      <x:c r="D113" s="22" t="str">
        <x:f>IF(C113="","",IF(COUNTIFS('VENTAS'!$A$5:$A$254,C113,'VENTAS'!$C$5:$C$254,"&lt;&gt;")=1,INDEX('VENTAS'!$C$5:$C$254,MATCH(C113,'VENTAS'!$A$5:$A$254,0)),"ID no encontrado"))</x:f>
      </x:c>
      <x:c r="E113" s="22" t="str">
        <x:f>IF(C113="","",IF(COUNTIFS('VENTAS'!$A$5:$A$254,C113,'VENTAS'!$C$5:$C$254,"&lt;&gt;")=1,INDEX('VENTAS'!$D$5:$D$254,MATCH(C113,'VENTAS'!$A$5:$A$254,0)),"ID no encontrado"))</x:f>
      </x:c>
      <x:c r="F113" s="26" t="str"/>
      <x:c r="G113" s="27" t="str"/>
      <x:c r="H113" s="27" t="str"/>
      <x:c r="I113" s="26" t="str"/>
      <x:c r="J113" s="30" t="str"/>
      <x:c r="K113" s="28" t="str">
        <x:f>IF(B113="","",IF(ISNUMBER(H113),H113,IF(AND(ISNUMBER(G113),ISNUMBER(J113),J113&gt;0),ROUND(G113/J113,2),"")))</x:f>
      </x:c>
      <x:c r="L113" s="31" t="str"/>
      <x:c r="M113" s="26" t="str"/>
      <x:c r="N113" s="26" t="str">
        <x:v>Incluir</x:v>
      </x:c>
      <x:c r="O113" s="22" t="str"/>
      <x:c r="P113" s="22" t="str"/>
      <x:c r="Q113" s="22" t="str">
        <x:f>IF(B113="","",IF(C113="","Falta ID venta",IF(D113="ID no encontrado","ID venta inválido",IF(COUNTIFS('PAGOS'!$A$5:$A$504,A113,'PAGOS'!$B$5:$B$504,"&gt;0")&gt;1,"ID duplicado",IF(AND(L113&lt;&gt;"",COUNTIFS('PAGOS'!$L$5:$L$504,L113,'PAGOS'!$B$5:$B$504,B113,'PAGOS'!$F$5:$F$504,F113)&gt;1),"Referencia repetida",IF(N113&lt;&gt;"Incluir",N113,IF(NOT(ISNUMBER(K113)),"Falta equivalente","Aplicar")))))))</x:f>
      </x:c>
    </x:row>
    <x:row r="114" ht="25" customHeight="1">
      <x:c r="A114" s="22" t="str">
        <x:v>P-110</x:v>
      </x:c>
      <x:c r="B114" s="25" t="str"/>
      <x:c r="C114" s="26" t="str"/>
      <x:c r="D114" s="22" t="str">
        <x:f>IF(C114="","",IF(COUNTIFS('VENTAS'!$A$5:$A$254,C114,'VENTAS'!$C$5:$C$254,"&lt;&gt;")=1,INDEX('VENTAS'!$C$5:$C$254,MATCH(C114,'VENTAS'!$A$5:$A$254,0)),"ID no encontrado"))</x:f>
      </x:c>
      <x:c r="E114" s="22" t="str">
        <x:f>IF(C114="","",IF(COUNTIFS('VENTAS'!$A$5:$A$254,C114,'VENTAS'!$C$5:$C$254,"&lt;&gt;")=1,INDEX('VENTAS'!$D$5:$D$254,MATCH(C114,'VENTAS'!$A$5:$A$254,0)),"ID no encontrado"))</x:f>
      </x:c>
      <x:c r="F114" s="26" t="str"/>
      <x:c r="G114" s="27" t="str"/>
      <x:c r="H114" s="27" t="str"/>
      <x:c r="I114" s="26" t="str"/>
      <x:c r="J114" s="30" t="str"/>
      <x:c r="K114" s="28" t="str">
        <x:f>IF(B114="","",IF(ISNUMBER(H114),H114,IF(AND(ISNUMBER(G114),ISNUMBER(J114),J114&gt;0),ROUND(G114/J114,2),"")))</x:f>
      </x:c>
      <x:c r="L114" s="31" t="str"/>
      <x:c r="M114" s="26" t="str"/>
      <x:c r="N114" s="26" t="str">
        <x:v>Incluir</x:v>
      </x:c>
      <x:c r="O114" s="22" t="str"/>
      <x:c r="P114" s="22" t="str"/>
      <x:c r="Q114" s="22" t="str">
        <x:f>IF(B114="","",IF(C114="","Falta ID venta",IF(D114="ID no encontrado","ID venta inválido",IF(COUNTIFS('PAGOS'!$A$5:$A$504,A114,'PAGOS'!$B$5:$B$504,"&gt;0")&gt;1,"ID duplicado",IF(AND(L114&lt;&gt;"",COUNTIFS('PAGOS'!$L$5:$L$504,L114,'PAGOS'!$B$5:$B$504,B114,'PAGOS'!$F$5:$F$504,F114)&gt;1),"Referencia repetida",IF(N114&lt;&gt;"Incluir",N114,IF(NOT(ISNUMBER(K114)),"Falta equivalente","Aplicar")))))))</x:f>
      </x:c>
    </x:row>
    <x:row r="115" ht="25" customHeight="1">
      <x:c r="A115" s="22" t="str">
        <x:v>P-111</x:v>
      </x:c>
      <x:c r="B115" s="25" t="str"/>
      <x:c r="C115" s="26" t="str"/>
      <x:c r="D115" s="22" t="str">
        <x:f>IF(C115="","",IF(COUNTIFS('VENTAS'!$A$5:$A$254,C115,'VENTAS'!$C$5:$C$254,"&lt;&gt;")=1,INDEX('VENTAS'!$C$5:$C$254,MATCH(C115,'VENTAS'!$A$5:$A$254,0)),"ID no encontrado"))</x:f>
      </x:c>
      <x:c r="E115" s="22" t="str">
        <x:f>IF(C115="","",IF(COUNTIFS('VENTAS'!$A$5:$A$254,C115,'VENTAS'!$C$5:$C$254,"&lt;&gt;")=1,INDEX('VENTAS'!$D$5:$D$254,MATCH(C115,'VENTAS'!$A$5:$A$254,0)),"ID no encontrado"))</x:f>
      </x:c>
      <x:c r="F115" s="26" t="str"/>
      <x:c r="G115" s="27" t="str"/>
      <x:c r="H115" s="27" t="str"/>
      <x:c r="I115" s="26" t="str"/>
      <x:c r="J115" s="30" t="str"/>
      <x:c r="K115" s="28" t="str">
        <x:f>IF(B115="","",IF(ISNUMBER(H115),H115,IF(AND(ISNUMBER(G115),ISNUMBER(J115),J115&gt;0),ROUND(G115/J115,2),"")))</x:f>
      </x:c>
      <x:c r="L115" s="31" t="str"/>
      <x:c r="M115" s="26" t="str"/>
      <x:c r="N115" s="26" t="str">
        <x:v>Incluir</x:v>
      </x:c>
      <x:c r="O115" s="22" t="str"/>
      <x:c r="P115" s="22" t="str"/>
      <x:c r="Q115" s="22" t="str">
        <x:f>IF(B115="","",IF(C115="","Falta ID venta",IF(D115="ID no encontrado","ID venta inválido",IF(COUNTIFS('PAGOS'!$A$5:$A$504,A115,'PAGOS'!$B$5:$B$504,"&gt;0")&gt;1,"ID duplicado",IF(AND(L115&lt;&gt;"",COUNTIFS('PAGOS'!$L$5:$L$504,L115,'PAGOS'!$B$5:$B$504,B115,'PAGOS'!$F$5:$F$504,F115)&gt;1),"Referencia repetida",IF(N115&lt;&gt;"Incluir",N115,IF(NOT(ISNUMBER(K115)),"Falta equivalente","Aplicar")))))))</x:f>
      </x:c>
    </x:row>
    <x:row r="116" ht="25" customHeight="1">
      <x:c r="A116" s="22" t="str">
        <x:v>P-112</x:v>
      </x:c>
      <x:c r="B116" s="25" t="str"/>
      <x:c r="C116" s="26" t="str"/>
      <x:c r="D116" s="22" t="str">
        <x:f>IF(C116="","",IF(COUNTIFS('VENTAS'!$A$5:$A$254,C116,'VENTAS'!$C$5:$C$254,"&lt;&gt;")=1,INDEX('VENTAS'!$C$5:$C$254,MATCH(C116,'VENTAS'!$A$5:$A$254,0)),"ID no encontrado"))</x:f>
      </x:c>
      <x:c r="E116" s="22" t="str">
        <x:f>IF(C116="","",IF(COUNTIFS('VENTAS'!$A$5:$A$254,C116,'VENTAS'!$C$5:$C$254,"&lt;&gt;")=1,INDEX('VENTAS'!$D$5:$D$254,MATCH(C116,'VENTAS'!$A$5:$A$254,0)),"ID no encontrado"))</x:f>
      </x:c>
      <x:c r="F116" s="26" t="str"/>
      <x:c r="G116" s="27" t="str"/>
      <x:c r="H116" s="27" t="str"/>
      <x:c r="I116" s="26" t="str"/>
      <x:c r="J116" s="30" t="str"/>
      <x:c r="K116" s="28" t="str">
        <x:f>IF(B116="","",IF(ISNUMBER(H116),H116,IF(AND(ISNUMBER(G116),ISNUMBER(J116),J116&gt;0),ROUND(G116/J116,2),"")))</x:f>
      </x:c>
      <x:c r="L116" s="31" t="str"/>
      <x:c r="M116" s="26" t="str"/>
      <x:c r="N116" s="26" t="str">
        <x:v>Incluir</x:v>
      </x:c>
      <x:c r="O116" s="22" t="str"/>
      <x:c r="P116" s="22" t="str"/>
      <x:c r="Q116" s="22" t="str">
        <x:f>IF(B116="","",IF(C116="","Falta ID venta",IF(D116="ID no encontrado","ID venta inválido",IF(COUNTIFS('PAGOS'!$A$5:$A$504,A116,'PAGOS'!$B$5:$B$504,"&gt;0")&gt;1,"ID duplicado",IF(AND(L116&lt;&gt;"",COUNTIFS('PAGOS'!$L$5:$L$504,L116,'PAGOS'!$B$5:$B$504,B116,'PAGOS'!$F$5:$F$504,F116)&gt;1),"Referencia repetida",IF(N116&lt;&gt;"Incluir",N116,IF(NOT(ISNUMBER(K116)),"Falta equivalente","Aplicar")))))))</x:f>
      </x:c>
    </x:row>
    <x:row r="117" ht="25" customHeight="1">
      <x:c r="A117" s="22" t="str">
        <x:v>P-113</x:v>
      </x:c>
      <x:c r="B117" s="25" t="str"/>
      <x:c r="C117" s="26" t="str"/>
      <x:c r="D117" s="22" t="str">
        <x:f>IF(C117="","",IF(COUNTIFS('VENTAS'!$A$5:$A$254,C117,'VENTAS'!$C$5:$C$254,"&lt;&gt;")=1,INDEX('VENTAS'!$C$5:$C$254,MATCH(C117,'VENTAS'!$A$5:$A$254,0)),"ID no encontrado"))</x:f>
      </x:c>
      <x:c r="E117" s="22" t="str">
        <x:f>IF(C117="","",IF(COUNTIFS('VENTAS'!$A$5:$A$254,C117,'VENTAS'!$C$5:$C$254,"&lt;&gt;")=1,INDEX('VENTAS'!$D$5:$D$254,MATCH(C117,'VENTAS'!$A$5:$A$254,0)),"ID no encontrado"))</x:f>
      </x:c>
      <x:c r="F117" s="26" t="str"/>
      <x:c r="G117" s="27" t="str"/>
      <x:c r="H117" s="27" t="str"/>
      <x:c r="I117" s="26" t="str"/>
      <x:c r="J117" s="30" t="str"/>
      <x:c r="K117" s="28" t="str">
        <x:f>IF(B117="","",IF(ISNUMBER(H117),H117,IF(AND(ISNUMBER(G117),ISNUMBER(J117),J117&gt;0),ROUND(G117/J117,2),"")))</x:f>
      </x:c>
      <x:c r="L117" s="31" t="str"/>
      <x:c r="M117" s="26" t="str"/>
      <x:c r="N117" s="26" t="str">
        <x:v>Incluir</x:v>
      </x:c>
      <x:c r="O117" s="22" t="str"/>
      <x:c r="P117" s="22" t="str"/>
      <x:c r="Q117" s="22" t="str">
        <x:f>IF(B117="","",IF(C117="","Falta ID venta",IF(D117="ID no encontrado","ID venta inválido",IF(COUNTIFS('PAGOS'!$A$5:$A$504,A117,'PAGOS'!$B$5:$B$504,"&gt;0")&gt;1,"ID duplicado",IF(AND(L117&lt;&gt;"",COUNTIFS('PAGOS'!$L$5:$L$504,L117,'PAGOS'!$B$5:$B$504,B117,'PAGOS'!$F$5:$F$504,F117)&gt;1),"Referencia repetida",IF(N117&lt;&gt;"Incluir",N117,IF(NOT(ISNUMBER(K117)),"Falta equivalente","Aplicar")))))))</x:f>
      </x:c>
    </x:row>
    <x:row r="118" ht="25" customHeight="1">
      <x:c r="A118" s="22" t="str">
        <x:v>P-114</x:v>
      </x:c>
      <x:c r="B118" s="25" t="str"/>
      <x:c r="C118" s="26" t="str"/>
      <x:c r="D118" s="22" t="str">
        <x:f>IF(C118="","",IF(COUNTIFS('VENTAS'!$A$5:$A$254,C118,'VENTAS'!$C$5:$C$254,"&lt;&gt;")=1,INDEX('VENTAS'!$C$5:$C$254,MATCH(C118,'VENTAS'!$A$5:$A$254,0)),"ID no encontrado"))</x:f>
      </x:c>
      <x:c r="E118" s="22" t="str">
        <x:f>IF(C118="","",IF(COUNTIFS('VENTAS'!$A$5:$A$254,C118,'VENTAS'!$C$5:$C$254,"&lt;&gt;")=1,INDEX('VENTAS'!$D$5:$D$254,MATCH(C118,'VENTAS'!$A$5:$A$254,0)),"ID no encontrado"))</x:f>
      </x:c>
      <x:c r="F118" s="26" t="str"/>
      <x:c r="G118" s="27" t="str"/>
      <x:c r="H118" s="27" t="str"/>
      <x:c r="I118" s="26" t="str"/>
      <x:c r="J118" s="30" t="str"/>
      <x:c r="K118" s="28" t="str">
        <x:f>IF(B118="","",IF(ISNUMBER(H118),H118,IF(AND(ISNUMBER(G118),ISNUMBER(J118),J118&gt;0),ROUND(G118/J118,2),"")))</x:f>
      </x:c>
      <x:c r="L118" s="31" t="str"/>
      <x:c r="M118" s="26" t="str"/>
      <x:c r="N118" s="26" t="str">
        <x:v>Incluir</x:v>
      </x:c>
      <x:c r="O118" s="22" t="str"/>
      <x:c r="P118" s="22" t="str"/>
      <x:c r="Q118" s="22" t="str">
        <x:f>IF(B118="","",IF(C118="","Falta ID venta",IF(D118="ID no encontrado","ID venta inválido",IF(COUNTIFS('PAGOS'!$A$5:$A$504,A118,'PAGOS'!$B$5:$B$504,"&gt;0")&gt;1,"ID duplicado",IF(AND(L118&lt;&gt;"",COUNTIFS('PAGOS'!$L$5:$L$504,L118,'PAGOS'!$B$5:$B$504,B118,'PAGOS'!$F$5:$F$504,F118)&gt;1),"Referencia repetida",IF(N118&lt;&gt;"Incluir",N118,IF(NOT(ISNUMBER(K118)),"Falta equivalente","Aplicar")))))))</x:f>
      </x:c>
    </x:row>
    <x:row r="119" ht="25" customHeight="1">
      <x:c r="A119" s="22" t="str">
        <x:v>P-115</x:v>
      </x:c>
      <x:c r="B119" s="25" t="str"/>
      <x:c r="C119" s="26" t="str"/>
      <x:c r="D119" s="22" t="str">
        <x:f>IF(C119="","",IF(COUNTIFS('VENTAS'!$A$5:$A$254,C119,'VENTAS'!$C$5:$C$254,"&lt;&gt;")=1,INDEX('VENTAS'!$C$5:$C$254,MATCH(C119,'VENTAS'!$A$5:$A$254,0)),"ID no encontrado"))</x:f>
      </x:c>
      <x:c r="E119" s="22" t="str">
        <x:f>IF(C119="","",IF(COUNTIFS('VENTAS'!$A$5:$A$254,C119,'VENTAS'!$C$5:$C$254,"&lt;&gt;")=1,INDEX('VENTAS'!$D$5:$D$254,MATCH(C119,'VENTAS'!$A$5:$A$254,0)),"ID no encontrado"))</x:f>
      </x:c>
      <x:c r="F119" s="26" t="str"/>
      <x:c r="G119" s="27" t="str"/>
      <x:c r="H119" s="27" t="str"/>
      <x:c r="I119" s="26" t="str"/>
      <x:c r="J119" s="30" t="str"/>
      <x:c r="K119" s="28" t="str">
        <x:f>IF(B119="","",IF(ISNUMBER(H119),H119,IF(AND(ISNUMBER(G119),ISNUMBER(J119),J119&gt;0),ROUND(G119/J119,2),"")))</x:f>
      </x:c>
      <x:c r="L119" s="31" t="str"/>
      <x:c r="M119" s="26" t="str"/>
      <x:c r="N119" s="26" t="str">
        <x:v>Incluir</x:v>
      </x:c>
      <x:c r="O119" s="22" t="str"/>
      <x:c r="P119" s="22" t="str"/>
      <x:c r="Q119" s="22" t="str">
        <x:f>IF(B119="","",IF(C119="","Falta ID venta",IF(D119="ID no encontrado","ID venta inválido",IF(COUNTIFS('PAGOS'!$A$5:$A$504,A119,'PAGOS'!$B$5:$B$504,"&gt;0")&gt;1,"ID duplicado",IF(AND(L119&lt;&gt;"",COUNTIFS('PAGOS'!$L$5:$L$504,L119,'PAGOS'!$B$5:$B$504,B119,'PAGOS'!$F$5:$F$504,F119)&gt;1),"Referencia repetida",IF(N119&lt;&gt;"Incluir",N119,IF(NOT(ISNUMBER(K119)),"Falta equivalente","Aplicar")))))))</x:f>
      </x:c>
    </x:row>
    <x:row r="120" ht="25" customHeight="1">
      <x:c r="A120" s="22" t="str">
        <x:v>P-116</x:v>
      </x:c>
      <x:c r="B120" s="25" t="str"/>
      <x:c r="C120" s="26" t="str"/>
      <x:c r="D120" s="22" t="str">
        <x:f>IF(C120="","",IF(COUNTIFS('VENTAS'!$A$5:$A$254,C120,'VENTAS'!$C$5:$C$254,"&lt;&gt;")=1,INDEX('VENTAS'!$C$5:$C$254,MATCH(C120,'VENTAS'!$A$5:$A$254,0)),"ID no encontrado"))</x:f>
      </x:c>
      <x:c r="E120" s="22" t="str">
        <x:f>IF(C120="","",IF(COUNTIFS('VENTAS'!$A$5:$A$254,C120,'VENTAS'!$C$5:$C$254,"&lt;&gt;")=1,INDEX('VENTAS'!$D$5:$D$254,MATCH(C120,'VENTAS'!$A$5:$A$254,0)),"ID no encontrado"))</x:f>
      </x:c>
      <x:c r="F120" s="26" t="str"/>
      <x:c r="G120" s="27" t="str"/>
      <x:c r="H120" s="27" t="str"/>
      <x:c r="I120" s="26" t="str"/>
      <x:c r="J120" s="30" t="str"/>
      <x:c r="K120" s="28" t="str">
        <x:f>IF(B120="","",IF(ISNUMBER(H120),H120,IF(AND(ISNUMBER(G120),ISNUMBER(J120),J120&gt;0),ROUND(G120/J120,2),"")))</x:f>
      </x:c>
      <x:c r="L120" s="31" t="str"/>
      <x:c r="M120" s="26" t="str"/>
      <x:c r="N120" s="26" t="str">
        <x:v>Incluir</x:v>
      </x:c>
      <x:c r="O120" s="22" t="str"/>
      <x:c r="P120" s="22" t="str"/>
      <x:c r="Q120" s="22" t="str">
        <x:f>IF(B120="","",IF(C120="","Falta ID venta",IF(D120="ID no encontrado","ID venta inválido",IF(COUNTIFS('PAGOS'!$A$5:$A$504,A120,'PAGOS'!$B$5:$B$504,"&gt;0")&gt;1,"ID duplicado",IF(AND(L120&lt;&gt;"",COUNTIFS('PAGOS'!$L$5:$L$504,L120,'PAGOS'!$B$5:$B$504,B120,'PAGOS'!$F$5:$F$504,F120)&gt;1),"Referencia repetida",IF(N120&lt;&gt;"Incluir",N120,IF(NOT(ISNUMBER(K120)),"Falta equivalente","Aplicar")))))))</x:f>
      </x:c>
    </x:row>
    <x:row r="121" ht="25" customHeight="1">
      <x:c r="A121" s="22" t="str">
        <x:v>P-117</x:v>
      </x:c>
      <x:c r="B121" s="25" t="str"/>
      <x:c r="C121" s="26" t="str"/>
      <x:c r="D121" s="22" t="str">
        <x:f>IF(C121="","",IF(COUNTIFS('VENTAS'!$A$5:$A$254,C121,'VENTAS'!$C$5:$C$254,"&lt;&gt;")=1,INDEX('VENTAS'!$C$5:$C$254,MATCH(C121,'VENTAS'!$A$5:$A$254,0)),"ID no encontrado"))</x:f>
      </x:c>
      <x:c r="E121" s="22" t="str">
        <x:f>IF(C121="","",IF(COUNTIFS('VENTAS'!$A$5:$A$254,C121,'VENTAS'!$C$5:$C$254,"&lt;&gt;")=1,INDEX('VENTAS'!$D$5:$D$254,MATCH(C121,'VENTAS'!$A$5:$A$254,0)),"ID no encontrado"))</x:f>
      </x:c>
      <x:c r="F121" s="26" t="str"/>
      <x:c r="G121" s="27" t="str"/>
      <x:c r="H121" s="27" t="str"/>
      <x:c r="I121" s="26" t="str"/>
      <x:c r="J121" s="30" t="str"/>
      <x:c r="K121" s="28" t="str">
        <x:f>IF(B121="","",IF(ISNUMBER(H121),H121,IF(AND(ISNUMBER(G121),ISNUMBER(J121),J121&gt;0),ROUND(G121/J121,2),"")))</x:f>
      </x:c>
      <x:c r="L121" s="31" t="str"/>
      <x:c r="M121" s="26" t="str"/>
      <x:c r="N121" s="26" t="str">
        <x:v>Incluir</x:v>
      </x:c>
      <x:c r="O121" s="22" t="str"/>
      <x:c r="P121" s="22" t="str"/>
      <x:c r="Q121" s="22" t="str">
        <x:f>IF(B121="","",IF(C121="","Falta ID venta",IF(D121="ID no encontrado","ID venta inválido",IF(COUNTIFS('PAGOS'!$A$5:$A$504,A121,'PAGOS'!$B$5:$B$504,"&gt;0")&gt;1,"ID duplicado",IF(AND(L121&lt;&gt;"",COUNTIFS('PAGOS'!$L$5:$L$504,L121,'PAGOS'!$B$5:$B$504,B121,'PAGOS'!$F$5:$F$504,F121)&gt;1),"Referencia repetida",IF(N121&lt;&gt;"Incluir",N121,IF(NOT(ISNUMBER(K121)),"Falta equivalente","Aplicar")))))))</x:f>
      </x:c>
    </x:row>
    <x:row r="122" ht="25" customHeight="1">
      <x:c r="A122" s="22" t="str">
        <x:v>P-118</x:v>
      </x:c>
      <x:c r="B122" s="25" t="str"/>
      <x:c r="C122" s="26" t="str"/>
      <x:c r="D122" s="22" t="str">
        <x:f>IF(C122="","",IF(COUNTIFS('VENTAS'!$A$5:$A$254,C122,'VENTAS'!$C$5:$C$254,"&lt;&gt;")=1,INDEX('VENTAS'!$C$5:$C$254,MATCH(C122,'VENTAS'!$A$5:$A$254,0)),"ID no encontrado"))</x:f>
      </x:c>
      <x:c r="E122" s="22" t="str">
        <x:f>IF(C122="","",IF(COUNTIFS('VENTAS'!$A$5:$A$254,C122,'VENTAS'!$C$5:$C$254,"&lt;&gt;")=1,INDEX('VENTAS'!$D$5:$D$254,MATCH(C122,'VENTAS'!$A$5:$A$254,0)),"ID no encontrado"))</x:f>
      </x:c>
      <x:c r="F122" s="26" t="str"/>
      <x:c r="G122" s="27" t="str"/>
      <x:c r="H122" s="27" t="str"/>
      <x:c r="I122" s="26" t="str"/>
      <x:c r="J122" s="30" t="str"/>
      <x:c r="K122" s="28" t="str">
        <x:f>IF(B122="","",IF(ISNUMBER(H122),H122,IF(AND(ISNUMBER(G122),ISNUMBER(J122),J122&gt;0),ROUND(G122/J122,2),"")))</x:f>
      </x:c>
      <x:c r="L122" s="31" t="str"/>
      <x:c r="M122" s="26" t="str"/>
      <x:c r="N122" s="26" t="str">
        <x:v>Incluir</x:v>
      </x:c>
      <x:c r="O122" s="22" t="str"/>
      <x:c r="P122" s="22" t="str"/>
      <x:c r="Q122" s="22" t="str">
        <x:f>IF(B122="","",IF(C122="","Falta ID venta",IF(D122="ID no encontrado","ID venta inválido",IF(COUNTIFS('PAGOS'!$A$5:$A$504,A122,'PAGOS'!$B$5:$B$504,"&gt;0")&gt;1,"ID duplicado",IF(AND(L122&lt;&gt;"",COUNTIFS('PAGOS'!$L$5:$L$504,L122,'PAGOS'!$B$5:$B$504,B122,'PAGOS'!$F$5:$F$504,F122)&gt;1),"Referencia repetida",IF(N122&lt;&gt;"Incluir",N122,IF(NOT(ISNUMBER(K122)),"Falta equivalente","Aplicar")))))))</x:f>
      </x:c>
    </x:row>
    <x:row r="123" ht="25" customHeight="1">
      <x:c r="A123" s="22" t="str">
        <x:v>P-119</x:v>
      </x:c>
      <x:c r="B123" s="25" t="str"/>
      <x:c r="C123" s="26" t="str"/>
      <x:c r="D123" s="22" t="str">
        <x:f>IF(C123="","",IF(COUNTIFS('VENTAS'!$A$5:$A$254,C123,'VENTAS'!$C$5:$C$254,"&lt;&gt;")=1,INDEX('VENTAS'!$C$5:$C$254,MATCH(C123,'VENTAS'!$A$5:$A$254,0)),"ID no encontrado"))</x:f>
      </x:c>
      <x:c r="E123" s="22" t="str">
        <x:f>IF(C123="","",IF(COUNTIFS('VENTAS'!$A$5:$A$254,C123,'VENTAS'!$C$5:$C$254,"&lt;&gt;")=1,INDEX('VENTAS'!$D$5:$D$254,MATCH(C123,'VENTAS'!$A$5:$A$254,0)),"ID no encontrado"))</x:f>
      </x:c>
      <x:c r="F123" s="26" t="str"/>
      <x:c r="G123" s="27" t="str"/>
      <x:c r="H123" s="27" t="str"/>
      <x:c r="I123" s="26" t="str"/>
      <x:c r="J123" s="30" t="str"/>
      <x:c r="K123" s="28" t="str">
        <x:f>IF(B123="","",IF(ISNUMBER(H123),H123,IF(AND(ISNUMBER(G123),ISNUMBER(J123),J123&gt;0),ROUND(G123/J123,2),"")))</x:f>
      </x:c>
      <x:c r="L123" s="31" t="str"/>
      <x:c r="M123" s="26" t="str"/>
      <x:c r="N123" s="26" t="str">
        <x:v>Incluir</x:v>
      </x:c>
      <x:c r="O123" s="22" t="str"/>
      <x:c r="P123" s="22" t="str"/>
      <x:c r="Q123" s="22" t="str">
        <x:f>IF(B123="","",IF(C123="","Falta ID venta",IF(D123="ID no encontrado","ID venta inválido",IF(COUNTIFS('PAGOS'!$A$5:$A$504,A123,'PAGOS'!$B$5:$B$504,"&gt;0")&gt;1,"ID duplicado",IF(AND(L123&lt;&gt;"",COUNTIFS('PAGOS'!$L$5:$L$504,L123,'PAGOS'!$B$5:$B$504,B123,'PAGOS'!$F$5:$F$504,F123)&gt;1),"Referencia repetida",IF(N123&lt;&gt;"Incluir",N123,IF(NOT(ISNUMBER(K123)),"Falta equivalente","Aplicar")))))))</x:f>
      </x:c>
    </x:row>
    <x:row r="124" ht="25" customHeight="1">
      <x:c r="A124" s="22" t="str">
        <x:v>P-120</x:v>
      </x:c>
      <x:c r="B124" s="25" t="str"/>
      <x:c r="C124" s="26" t="str"/>
      <x:c r="D124" s="22" t="str">
        <x:f>IF(C124="","",IF(COUNTIFS('VENTAS'!$A$5:$A$254,C124,'VENTAS'!$C$5:$C$254,"&lt;&gt;")=1,INDEX('VENTAS'!$C$5:$C$254,MATCH(C124,'VENTAS'!$A$5:$A$254,0)),"ID no encontrado"))</x:f>
      </x:c>
      <x:c r="E124" s="22" t="str">
        <x:f>IF(C124="","",IF(COUNTIFS('VENTAS'!$A$5:$A$254,C124,'VENTAS'!$C$5:$C$254,"&lt;&gt;")=1,INDEX('VENTAS'!$D$5:$D$254,MATCH(C124,'VENTAS'!$A$5:$A$254,0)),"ID no encontrado"))</x:f>
      </x:c>
      <x:c r="F124" s="26" t="str"/>
      <x:c r="G124" s="27" t="str"/>
      <x:c r="H124" s="27" t="str"/>
      <x:c r="I124" s="26" t="str"/>
      <x:c r="J124" s="30" t="str"/>
      <x:c r="K124" s="28" t="str">
        <x:f>IF(B124="","",IF(ISNUMBER(H124),H124,IF(AND(ISNUMBER(G124),ISNUMBER(J124),J124&gt;0),ROUND(G124/J124,2),"")))</x:f>
      </x:c>
      <x:c r="L124" s="31" t="str"/>
      <x:c r="M124" s="26" t="str"/>
      <x:c r="N124" s="26" t="str">
        <x:v>Incluir</x:v>
      </x:c>
      <x:c r="O124" s="22" t="str"/>
      <x:c r="P124" s="22" t="str"/>
      <x:c r="Q124" s="22" t="str">
        <x:f>IF(B124="","",IF(C124="","Falta ID venta",IF(D124="ID no encontrado","ID venta inválido",IF(COUNTIFS('PAGOS'!$A$5:$A$504,A124,'PAGOS'!$B$5:$B$504,"&gt;0")&gt;1,"ID duplicado",IF(AND(L124&lt;&gt;"",COUNTIFS('PAGOS'!$L$5:$L$504,L124,'PAGOS'!$B$5:$B$504,B124,'PAGOS'!$F$5:$F$504,F124)&gt;1),"Referencia repetida",IF(N124&lt;&gt;"Incluir",N124,IF(NOT(ISNUMBER(K124)),"Falta equivalente","Aplicar")))))))</x:f>
      </x:c>
    </x:row>
    <x:row r="125" ht="25" customHeight="1">
      <x:c r="A125" s="22" t="str">
        <x:v>P-121</x:v>
      </x:c>
      <x:c r="B125" s="25" t="str"/>
      <x:c r="C125" s="26" t="str"/>
      <x:c r="D125" s="22" t="str">
        <x:f>IF(C125="","",IF(COUNTIFS('VENTAS'!$A$5:$A$254,C125,'VENTAS'!$C$5:$C$254,"&lt;&gt;")=1,INDEX('VENTAS'!$C$5:$C$254,MATCH(C125,'VENTAS'!$A$5:$A$254,0)),"ID no encontrado"))</x:f>
      </x:c>
      <x:c r="E125" s="22" t="str">
        <x:f>IF(C125="","",IF(COUNTIFS('VENTAS'!$A$5:$A$254,C125,'VENTAS'!$C$5:$C$254,"&lt;&gt;")=1,INDEX('VENTAS'!$D$5:$D$254,MATCH(C125,'VENTAS'!$A$5:$A$254,0)),"ID no encontrado"))</x:f>
      </x:c>
      <x:c r="F125" s="26" t="str"/>
      <x:c r="G125" s="27" t="str"/>
      <x:c r="H125" s="27" t="str"/>
      <x:c r="I125" s="26" t="str"/>
      <x:c r="J125" s="30" t="str"/>
      <x:c r="K125" s="28" t="str">
        <x:f>IF(B125="","",IF(ISNUMBER(H125),H125,IF(AND(ISNUMBER(G125),ISNUMBER(J125),J125&gt;0),ROUND(G125/J125,2),"")))</x:f>
      </x:c>
      <x:c r="L125" s="31" t="str"/>
      <x:c r="M125" s="26" t="str"/>
      <x:c r="N125" s="26" t="str">
        <x:v>Incluir</x:v>
      </x:c>
      <x:c r="O125" s="22" t="str"/>
      <x:c r="P125" s="22" t="str"/>
      <x:c r="Q125" s="22" t="str">
        <x:f>IF(B125="","",IF(C125="","Falta ID venta",IF(D125="ID no encontrado","ID venta inválido",IF(COUNTIFS('PAGOS'!$A$5:$A$504,A125,'PAGOS'!$B$5:$B$504,"&gt;0")&gt;1,"ID duplicado",IF(AND(L125&lt;&gt;"",COUNTIFS('PAGOS'!$L$5:$L$504,L125,'PAGOS'!$B$5:$B$504,B125,'PAGOS'!$F$5:$F$504,F125)&gt;1),"Referencia repetida",IF(N125&lt;&gt;"Incluir",N125,IF(NOT(ISNUMBER(K125)),"Falta equivalente","Aplicar")))))))</x:f>
      </x:c>
    </x:row>
    <x:row r="126" ht="25" customHeight="1">
      <x:c r="A126" s="22" t="str">
        <x:v>P-122</x:v>
      </x:c>
      <x:c r="B126" s="25" t="str"/>
      <x:c r="C126" s="26" t="str"/>
      <x:c r="D126" s="22" t="str">
        <x:f>IF(C126="","",IF(COUNTIFS('VENTAS'!$A$5:$A$254,C126,'VENTAS'!$C$5:$C$254,"&lt;&gt;")=1,INDEX('VENTAS'!$C$5:$C$254,MATCH(C126,'VENTAS'!$A$5:$A$254,0)),"ID no encontrado"))</x:f>
      </x:c>
      <x:c r="E126" s="22" t="str">
        <x:f>IF(C126="","",IF(COUNTIFS('VENTAS'!$A$5:$A$254,C126,'VENTAS'!$C$5:$C$254,"&lt;&gt;")=1,INDEX('VENTAS'!$D$5:$D$254,MATCH(C126,'VENTAS'!$A$5:$A$254,0)),"ID no encontrado"))</x:f>
      </x:c>
      <x:c r="F126" s="26" t="str"/>
      <x:c r="G126" s="27" t="str"/>
      <x:c r="H126" s="27" t="str"/>
      <x:c r="I126" s="26" t="str"/>
      <x:c r="J126" s="30" t="str"/>
      <x:c r="K126" s="28" t="str">
        <x:f>IF(B126="","",IF(ISNUMBER(H126),H126,IF(AND(ISNUMBER(G126),ISNUMBER(J126),J126&gt;0),ROUND(G126/J126,2),"")))</x:f>
      </x:c>
      <x:c r="L126" s="31" t="str"/>
      <x:c r="M126" s="26" t="str"/>
      <x:c r="N126" s="26" t="str">
        <x:v>Incluir</x:v>
      </x:c>
      <x:c r="O126" s="22" t="str"/>
      <x:c r="P126" s="22" t="str"/>
      <x:c r="Q126" s="22" t="str">
        <x:f>IF(B126="","",IF(C126="","Falta ID venta",IF(D126="ID no encontrado","ID venta inválido",IF(COUNTIFS('PAGOS'!$A$5:$A$504,A126,'PAGOS'!$B$5:$B$504,"&gt;0")&gt;1,"ID duplicado",IF(AND(L126&lt;&gt;"",COUNTIFS('PAGOS'!$L$5:$L$504,L126,'PAGOS'!$B$5:$B$504,B126,'PAGOS'!$F$5:$F$504,F126)&gt;1),"Referencia repetida",IF(N126&lt;&gt;"Incluir",N126,IF(NOT(ISNUMBER(K126)),"Falta equivalente","Aplicar")))))))</x:f>
      </x:c>
    </x:row>
    <x:row r="127" ht="25" customHeight="1">
      <x:c r="A127" s="22" t="str">
        <x:v>P-123</x:v>
      </x:c>
      <x:c r="B127" s="25" t="str"/>
      <x:c r="C127" s="26" t="str"/>
      <x:c r="D127" s="22" t="str">
        <x:f>IF(C127="","",IF(COUNTIFS('VENTAS'!$A$5:$A$254,C127,'VENTAS'!$C$5:$C$254,"&lt;&gt;")=1,INDEX('VENTAS'!$C$5:$C$254,MATCH(C127,'VENTAS'!$A$5:$A$254,0)),"ID no encontrado"))</x:f>
      </x:c>
      <x:c r="E127" s="22" t="str">
        <x:f>IF(C127="","",IF(COUNTIFS('VENTAS'!$A$5:$A$254,C127,'VENTAS'!$C$5:$C$254,"&lt;&gt;")=1,INDEX('VENTAS'!$D$5:$D$254,MATCH(C127,'VENTAS'!$A$5:$A$254,0)),"ID no encontrado"))</x:f>
      </x:c>
      <x:c r="F127" s="26" t="str"/>
      <x:c r="G127" s="27" t="str"/>
      <x:c r="H127" s="27" t="str"/>
      <x:c r="I127" s="26" t="str"/>
      <x:c r="J127" s="30" t="str"/>
      <x:c r="K127" s="28" t="str">
        <x:f>IF(B127="","",IF(ISNUMBER(H127),H127,IF(AND(ISNUMBER(G127),ISNUMBER(J127),J127&gt;0),ROUND(G127/J127,2),"")))</x:f>
      </x:c>
      <x:c r="L127" s="31" t="str"/>
      <x:c r="M127" s="26" t="str"/>
      <x:c r="N127" s="26" t="str">
        <x:v>Incluir</x:v>
      </x:c>
      <x:c r="O127" s="22" t="str"/>
      <x:c r="P127" s="22" t="str"/>
      <x:c r="Q127" s="22" t="str">
        <x:f>IF(B127="","",IF(C127="","Falta ID venta",IF(D127="ID no encontrado","ID venta inválido",IF(COUNTIFS('PAGOS'!$A$5:$A$504,A127,'PAGOS'!$B$5:$B$504,"&gt;0")&gt;1,"ID duplicado",IF(AND(L127&lt;&gt;"",COUNTIFS('PAGOS'!$L$5:$L$504,L127,'PAGOS'!$B$5:$B$504,B127,'PAGOS'!$F$5:$F$504,F127)&gt;1),"Referencia repetida",IF(N127&lt;&gt;"Incluir",N127,IF(NOT(ISNUMBER(K127)),"Falta equivalente","Aplicar")))))))</x:f>
      </x:c>
    </x:row>
    <x:row r="128" ht="25" customHeight="1">
      <x:c r="A128" s="22" t="str">
        <x:v>P-124</x:v>
      </x:c>
      <x:c r="B128" s="25" t="str"/>
      <x:c r="C128" s="26" t="str"/>
      <x:c r="D128" s="22" t="str">
        <x:f>IF(C128="","",IF(COUNTIFS('VENTAS'!$A$5:$A$254,C128,'VENTAS'!$C$5:$C$254,"&lt;&gt;")=1,INDEX('VENTAS'!$C$5:$C$254,MATCH(C128,'VENTAS'!$A$5:$A$254,0)),"ID no encontrado"))</x:f>
      </x:c>
      <x:c r="E128" s="22" t="str">
        <x:f>IF(C128="","",IF(COUNTIFS('VENTAS'!$A$5:$A$254,C128,'VENTAS'!$C$5:$C$254,"&lt;&gt;")=1,INDEX('VENTAS'!$D$5:$D$254,MATCH(C128,'VENTAS'!$A$5:$A$254,0)),"ID no encontrado"))</x:f>
      </x:c>
      <x:c r="F128" s="26" t="str"/>
      <x:c r="G128" s="27" t="str"/>
      <x:c r="H128" s="27" t="str"/>
      <x:c r="I128" s="26" t="str"/>
      <x:c r="J128" s="30" t="str"/>
      <x:c r="K128" s="28" t="str">
        <x:f>IF(B128="","",IF(ISNUMBER(H128),H128,IF(AND(ISNUMBER(G128),ISNUMBER(J128),J128&gt;0),ROUND(G128/J128,2),"")))</x:f>
      </x:c>
      <x:c r="L128" s="31" t="str"/>
      <x:c r="M128" s="26" t="str"/>
      <x:c r="N128" s="26" t="str">
        <x:v>Incluir</x:v>
      </x:c>
      <x:c r="O128" s="22" t="str"/>
      <x:c r="P128" s="22" t="str"/>
      <x:c r="Q128" s="22" t="str">
        <x:f>IF(B128="","",IF(C128="","Falta ID venta",IF(D128="ID no encontrado","ID venta inválido",IF(COUNTIFS('PAGOS'!$A$5:$A$504,A128,'PAGOS'!$B$5:$B$504,"&gt;0")&gt;1,"ID duplicado",IF(AND(L128&lt;&gt;"",COUNTIFS('PAGOS'!$L$5:$L$504,L128,'PAGOS'!$B$5:$B$504,B128,'PAGOS'!$F$5:$F$504,F128)&gt;1),"Referencia repetida",IF(N128&lt;&gt;"Incluir",N128,IF(NOT(ISNUMBER(K128)),"Falta equivalente","Aplicar")))))))</x:f>
      </x:c>
    </x:row>
    <x:row r="129" ht="25" customHeight="1">
      <x:c r="A129" s="22" t="str">
        <x:v>P-125</x:v>
      </x:c>
      <x:c r="B129" s="25" t="str"/>
      <x:c r="C129" s="26" t="str"/>
      <x:c r="D129" s="22" t="str">
        <x:f>IF(C129="","",IF(COUNTIFS('VENTAS'!$A$5:$A$254,C129,'VENTAS'!$C$5:$C$254,"&lt;&gt;")=1,INDEX('VENTAS'!$C$5:$C$254,MATCH(C129,'VENTAS'!$A$5:$A$254,0)),"ID no encontrado"))</x:f>
      </x:c>
      <x:c r="E129" s="22" t="str">
        <x:f>IF(C129="","",IF(COUNTIFS('VENTAS'!$A$5:$A$254,C129,'VENTAS'!$C$5:$C$254,"&lt;&gt;")=1,INDEX('VENTAS'!$D$5:$D$254,MATCH(C129,'VENTAS'!$A$5:$A$254,0)),"ID no encontrado"))</x:f>
      </x:c>
      <x:c r="F129" s="26" t="str"/>
      <x:c r="G129" s="27" t="str"/>
      <x:c r="H129" s="27" t="str"/>
      <x:c r="I129" s="26" t="str"/>
      <x:c r="J129" s="30" t="str"/>
      <x:c r="K129" s="28" t="str">
        <x:f>IF(B129="","",IF(ISNUMBER(H129),H129,IF(AND(ISNUMBER(G129),ISNUMBER(J129),J129&gt;0),ROUND(G129/J129,2),"")))</x:f>
      </x:c>
      <x:c r="L129" s="31" t="str"/>
      <x:c r="M129" s="26" t="str"/>
      <x:c r="N129" s="26" t="str">
        <x:v>Incluir</x:v>
      </x:c>
      <x:c r="O129" s="22" t="str"/>
      <x:c r="P129" s="22" t="str"/>
      <x:c r="Q129" s="22" t="str">
        <x:f>IF(B129="","",IF(C129="","Falta ID venta",IF(D129="ID no encontrado","ID venta inválido",IF(COUNTIFS('PAGOS'!$A$5:$A$504,A129,'PAGOS'!$B$5:$B$504,"&gt;0")&gt;1,"ID duplicado",IF(AND(L129&lt;&gt;"",COUNTIFS('PAGOS'!$L$5:$L$504,L129,'PAGOS'!$B$5:$B$504,B129,'PAGOS'!$F$5:$F$504,F129)&gt;1),"Referencia repetida",IF(N129&lt;&gt;"Incluir",N129,IF(NOT(ISNUMBER(K129)),"Falta equivalente","Aplicar")))))))</x:f>
      </x:c>
    </x:row>
    <x:row r="130" ht="25" customHeight="1">
      <x:c r="A130" s="22" t="str">
        <x:v>P-126</x:v>
      </x:c>
      <x:c r="B130" s="25" t="str"/>
      <x:c r="C130" s="26" t="str"/>
      <x:c r="D130" s="22" t="str">
        <x:f>IF(C130="","",IF(COUNTIFS('VENTAS'!$A$5:$A$254,C130,'VENTAS'!$C$5:$C$254,"&lt;&gt;")=1,INDEX('VENTAS'!$C$5:$C$254,MATCH(C130,'VENTAS'!$A$5:$A$254,0)),"ID no encontrado"))</x:f>
      </x:c>
      <x:c r="E130" s="22" t="str">
        <x:f>IF(C130="","",IF(COUNTIFS('VENTAS'!$A$5:$A$254,C130,'VENTAS'!$C$5:$C$254,"&lt;&gt;")=1,INDEX('VENTAS'!$D$5:$D$254,MATCH(C130,'VENTAS'!$A$5:$A$254,0)),"ID no encontrado"))</x:f>
      </x:c>
      <x:c r="F130" s="26" t="str"/>
      <x:c r="G130" s="27" t="str"/>
      <x:c r="H130" s="27" t="str"/>
      <x:c r="I130" s="26" t="str"/>
      <x:c r="J130" s="30" t="str"/>
      <x:c r="K130" s="28" t="str">
        <x:f>IF(B130="","",IF(ISNUMBER(H130),H130,IF(AND(ISNUMBER(G130),ISNUMBER(J130),J130&gt;0),ROUND(G130/J130,2),"")))</x:f>
      </x:c>
      <x:c r="L130" s="31" t="str"/>
      <x:c r="M130" s="26" t="str"/>
      <x:c r="N130" s="26" t="str">
        <x:v>Incluir</x:v>
      </x:c>
      <x:c r="O130" s="22" t="str"/>
      <x:c r="P130" s="22" t="str"/>
      <x:c r="Q130" s="22" t="str">
        <x:f>IF(B130="","",IF(C130="","Falta ID venta",IF(D130="ID no encontrado","ID venta inválido",IF(COUNTIFS('PAGOS'!$A$5:$A$504,A130,'PAGOS'!$B$5:$B$504,"&gt;0")&gt;1,"ID duplicado",IF(AND(L130&lt;&gt;"",COUNTIFS('PAGOS'!$L$5:$L$504,L130,'PAGOS'!$B$5:$B$504,B130,'PAGOS'!$F$5:$F$504,F130)&gt;1),"Referencia repetida",IF(N130&lt;&gt;"Incluir",N130,IF(NOT(ISNUMBER(K130)),"Falta equivalente","Aplicar")))))))</x:f>
      </x:c>
    </x:row>
    <x:row r="131" ht="25" customHeight="1">
      <x:c r="A131" s="22" t="str">
        <x:v>P-127</x:v>
      </x:c>
      <x:c r="B131" s="25" t="str"/>
      <x:c r="C131" s="26" t="str"/>
      <x:c r="D131" s="22" t="str">
        <x:f>IF(C131="","",IF(COUNTIFS('VENTAS'!$A$5:$A$254,C131,'VENTAS'!$C$5:$C$254,"&lt;&gt;")=1,INDEX('VENTAS'!$C$5:$C$254,MATCH(C131,'VENTAS'!$A$5:$A$254,0)),"ID no encontrado"))</x:f>
      </x:c>
      <x:c r="E131" s="22" t="str">
        <x:f>IF(C131="","",IF(COUNTIFS('VENTAS'!$A$5:$A$254,C131,'VENTAS'!$C$5:$C$254,"&lt;&gt;")=1,INDEX('VENTAS'!$D$5:$D$254,MATCH(C131,'VENTAS'!$A$5:$A$254,0)),"ID no encontrado"))</x:f>
      </x:c>
      <x:c r="F131" s="26" t="str"/>
      <x:c r="G131" s="27" t="str"/>
      <x:c r="H131" s="27" t="str"/>
      <x:c r="I131" s="26" t="str"/>
      <x:c r="J131" s="30" t="str"/>
      <x:c r="K131" s="28" t="str">
        <x:f>IF(B131="","",IF(ISNUMBER(H131),H131,IF(AND(ISNUMBER(G131),ISNUMBER(J131),J131&gt;0),ROUND(G131/J131,2),"")))</x:f>
      </x:c>
      <x:c r="L131" s="31" t="str"/>
      <x:c r="M131" s="26" t="str"/>
      <x:c r="N131" s="26" t="str">
        <x:v>Incluir</x:v>
      </x:c>
      <x:c r="O131" s="22" t="str"/>
      <x:c r="P131" s="22" t="str"/>
      <x:c r="Q131" s="22" t="str">
        <x:f>IF(B131="","",IF(C131="","Falta ID venta",IF(D131="ID no encontrado","ID venta inválido",IF(COUNTIFS('PAGOS'!$A$5:$A$504,A131,'PAGOS'!$B$5:$B$504,"&gt;0")&gt;1,"ID duplicado",IF(AND(L131&lt;&gt;"",COUNTIFS('PAGOS'!$L$5:$L$504,L131,'PAGOS'!$B$5:$B$504,B131,'PAGOS'!$F$5:$F$504,F131)&gt;1),"Referencia repetida",IF(N131&lt;&gt;"Incluir",N131,IF(NOT(ISNUMBER(K131)),"Falta equivalente","Aplicar")))))))</x:f>
      </x:c>
    </x:row>
    <x:row r="132" ht="25" customHeight="1">
      <x:c r="A132" s="22" t="str">
        <x:v>P-128</x:v>
      </x:c>
      <x:c r="B132" s="25" t="str"/>
      <x:c r="C132" s="26" t="str"/>
      <x:c r="D132" s="22" t="str">
        <x:f>IF(C132="","",IF(COUNTIFS('VENTAS'!$A$5:$A$254,C132,'VENTAS'!$C$5:$C$254,"&lt;&gt;")=1,INDEX('VENTAS'!$C$5:$C$254,MATCH(C132,'VENTAS'!$A$5:$A$254,0)),"ID no encontrado"))</x:f>
      </x:c>
      <x:c r="E132" s="22" t="str">
        <x:f>IF(C132="","",IF(COUNTIFS('VENTAS'!$A$5:$A$254,C132,'VENTAS'!$C$5:$C$254,"&lt;&gt;")=1,INDEX('VENTAS'!$D$5:$D$254,MATCH(C132,'VENTAS'!$A$5:$A$254,0)),"ID no encontrado"))</x:f>
      </x:c>
      <x:c r="F132" s="26" t="str"/>
      <x:c r="G132" s="27" t="str"/>
      <x:c r="H132" s="27" t="str"/>
      <x:c r="I132" s="26" t="str"/>
      <x:c r="J132" s="30" t="str"/>
      <x:c r="K132" s="28" t="str">
        <x:f>IF(B132="","",IF(ISNUMBER(H132),H132,IF(AND(ISNUMBER(G132),ISNUMBER(J132),J132&gt;0),ROUND(G132/J132,2),"")))</x:f>
      </x:c>
      <x:c r="L132" s="31" t="str"/>
      <x:c r="M132" s="26" t="str"/>
      <x:c r="N132" s="26" t="str">
        <x:v>Incluir</x:v>
      </x:c>
      <x:c r="O132" s="22" t="str"/>
      <x:c r="P132" s="22" t="str"/>
      <x:c r="Q132" s="22" t="str">
        <x:f>IF(B132="","",IF(C132="","Falta ID venta",IF(D132="ID no encontrado","ID venta inválido",IF(COUNTIFS('PAGOS'!$A$5:$A$504,A132,'PAGOS'!$B$5:$B$504,"&gt;0")&gt;1,"ID duplicado",IF(AND(L132&lt;&gt;"",COUNTIFS('PAGOS'!$L$5:$L$504,L132,'PAGOS'!$B$5:$B$504,B132,'PAGOS'!$F$5:$F$504,F132)&gt;1),"Referencia repetida",IF(N132&lt;&gt;"Incluir",N132,IF(NOT(ISNUMBER(K132)),"Falta equivalente","Aplicar")))))))</x:f>
      </x:c>
    </x:row>
    <x:row r="133" ht="25" customHeight="1">
      <x:c r="A133" s="22" t="str">
        <x:v>P-129</x:v>
      </x:c>
      <x:c r="B133" s="25" t="str"/>
      <x:c r="C133" s="26" t="str"/>
      <x:c r="D133" s="22" t="str">
        <x:f>IF(C133="","",IF(COUNTIFS('VENTAS'!$A$5:$A$254,C133,'VENTAS'!$C$5:$C$254,"&lt;&gt;")=1,INDEX('VENTAS'!$C$5:$C$254,MATCH(C133,'VENTAS'!$A$5:$A$254,0)),"ID no encontrado"))</x:f>
      </x:c>
      <x:c r="E133" s="22" t="str">
        <x:f>IF(C133="","",IF(COUNTIFS('VENTAS'!$A$5:$A$254,C133,'VENTAS'!$C$5:$C$254,"&lt;&gt;")=1,INDEX('VENTAS'!$D$5:$D$254,MATCH(C133,'VENTAS'!$A$5:$A$254,0)),"ID no encontrado"))</x:f>
      </x:c>
      <x:c r="F133" s="26" t="str"/>
      <x:c r="G133" s="27" t="str"/>
      <x:c r="H133" s="27" t="str"/>
      <x:c r="I133" s="26" t="str"/>
      <x:c r="J133" s="30" t="str"/>
      <x:c r="K133" s="28" t="str">
        <x:f>IF(B133="","",IF(ISNUMBER(H133),H133,IF(AND(ISNUMBER(G133),ISNUMBER(J133),J133&gt;0),ROUND(G133/J133,2),"")))</x:f>
      </x:c>
      <x:c r="L133" s="31" t="str"/>
      <x:c r="M133" s="26" t="str"/>
      <x:c r="N133" s="26" t="str">
        <x:v>Incluir</x:v>
      </x:c>
      <x:c r="O133" s="22" t="str"/>
      <x:c r="P133" s="22" t="str"/>
      <x:c r="Q133" s="22" t="str">
        <x:f>IF(B133="","",IF(C133="","Falta ID venta",IF(D133="ID no encontrado","ID venta inválido",IF(COUNTIFS('PAGOS'!$A$5:$A$504,A133,'PAGOS'!$B$5:$B$504,"&gt;0")&gt;1,"ID duplicado",IF(AND(L133&lt;&gt;"",COUNTIFS('PAGOS'!$L$5:$L$504,L133,'PAGOS'!$B$5:$B$504,B133,'PAGOS'!$F$5:$F$504,F133)&gt;1),"Referencia repetida",IF(N133&lt;&gt;"Incluir",N133,IF(NOT(ISNUMBER(K133)),"Falta equivalente","Aplicar")))))))</x:f>
      </x:c>
    </x:row>
    <x:row r="134" ht="25" customHeight="1">
      <x:c r="A134" s="22" t="str">
        <x:v>P-130</x:v>
      </x:c>
      <x:c r="B134" s="25" t="str"/>
      <x:c r="C134" s="26" t="str"/>
      <x:c r="D134" s="22" t="str">
        <x:f>IF(C134="","",IF(COUNTIFS('VENTAS'!$A$5:$A$254,C134,'VENTAS'!$C$5:$C$254,"&lt;&gt;")=1,INDEX('VENTAS'!$C$5:$C$254,MATCH(C134,'VENTAS'!$A$5:$A$254,0)),"ID no encontrado"))</x:f>
      </x:c>
      <x:c r="E134" s="22" t="str">
        <x:f>IF(C134="","",IF(COUNTIFS('VENTAS'!$A$5:$A$254,C134,'VENTAS'!$C$5:$C$254,"&lt;&gt;")=1,INDEX('VENTAS'!$D$5:$D$254,MATCH(C134,'VENTAS'!$A$5:$A$254,0)),"ID no encontrado"))</x:f>
      </x:c>
      <x:c r="F134" s="26" t="str"/>
      <x:c r="G134" s="27" t="str"/>
      <x:c r="H134" s="27" t="str"/>
      <x:c r="I134" s="26" t="str"/>
      <x:c r="J134" s="30" t="str"/>
      <x:c r="K134" s="28" t="str">
        <x:f>IF(B134="","",IF(ISNUMBER(H134),H134,IF(AND(ISNUMBER(G134),ISNUMBER(J134),J134&gt;0),ROUND(G134/J134,2),"")))</x:f>
      </x:c>
      <x:c r="L134" s="31" t="str"/>
      <x:c r="M134" s="26" t="str"/>
      <x:c r="N134" s="26" t="str">
        <x:v>Incluir</x:v>
      </x:c>
      <x:c r="O134" s="22" t="str"/>
      <x:c r="P134" s="22" t="str"/>
      <x:c r="Q134" s="22" t="str">
        <x:f>IF(B134="","",IF(C134="","Falta ID venta",IF(D134="ID no encontrado","ID venta inválido",IF(COUNTIFS('PAGOS'!$A$5:$A$504,A134,'PAGOS'!$B$5:$B$504,"&gt;0")&gt;1,"ID duplicado",IF(AND(L134&lt;&gt;"",COUNTIFS('PAGOS'!$L$5:$L$504,L134,'PAGOS'!$B$5:$B$504,B134,'PAGOS'!$F$5:$F$504,F134)&gt;1),"Referencia repetida",IF(N134&lt;&gt;"Incluir",N134,IF(NOT(ISNUMBER(K134)),"Falta equivalente","Aplicar")))))))</x:f>
      </x:c>
    </x:row>
    <x:row r="135" ht="25" customHeight="1">
      <x:c r="A135" s="22" t="str">
        <x:v>P-131</x:v>
      </x:c>
      <x:c r="B135" s="25" t="str"/>
      <x:c r="C135" s="26" t="str"/>
      <x:c r="D135" s="22" t="str">
        <x:f>IF(C135="","",IF(COUNTIFS('VENTAS'!$A$5:$A$254,C135,'VENTAS'!$C$5:$C$254,"&lt;&gt;")=1,INDEX('VENTAS'!$C$5:$C$254,MATCH(C135,'VENTAS'!$A$5:$A$254,0)),"ID no encontrado"))</x:f>
      </x:c>
      <x:c r="E135" s="22" t="str">
        <x:f>IF(C135="","",IF(COUNTIFS('VENTAS'!$A$5:$A$254,C135,'VENTAS'!$C$5:$C$254,"&lt;&gt;")=1,INDEX('VENTAS'!$D$5:$D$254,MATCH(C135,'VENTAS'!$A$5:$A$254,0)),"ID no encontrado"))</x:f>
      </x:c>
      <x:c r="F135" s="26" t="str"/>
      <x:c r="G135" s="27" t="str"/>
      <x:c r="H135" s="27" t="str"/>
      <x:c r="I135" s="26" t="str"/>
      <x:c r="J135" s="30" t="str"/>
      <x:c r="K135" s="28" t="str">
        <x:f>IF(B135="","",IF(ISNUMBER(H135),H135,IF(AND(ISNUMBER(G135),ISNUMBER(J135),J135&gt;0),ROUND(G135/J135,2),"")))</x:f>
      </x:c>
      <x:c r="L135" s="31" t="str"/>
      <x:c r="M135" s="26" t="str"/>
      <x:c r="N135" s="26" t="str">
        <x:v>Incluir</x:v>
      </x:c>
      <x:c r="O135" s="22" t="str"/>
      <x:c r="P135" s="22" t="str"/>
      <x:c r="Q135" s="22" t="str">
        <x:f>IF(B135="","",IF(C135="","Falta ID venta",IF(D135="ID no encontrado","ID venta inválido",IF(COUNTIFS('PAGOS'!$A$5:$A$504,A135,'PAGOS'!$B$5:$B$504,"&gt;0")&gt;1,"ID duplicado",IF(AND(L135&lt;&gt;"",COUNTIFS('PAGOS'!$L$5:$L$504,L135,'PAGOS'!$B$5:$B$504,B135,'PAGOS'!$F$5:$F$504,F135)&gt;1),"Referencia repetida",IF(N135&lt;&gt;"Incluir",N135,IF(NOT(ISNUMBER(K135)),"Falta equivalente","Aplicar")))))))</x:f>
      </x:c>
    </x:row>
    <x:row r="136" ht="25" customHeight="1">
      <x:c r="A136" s="22" t="str">
        <x:v>P-132</x:v>
      </x:c>
      <x:c r="B136" s="25" t="str"/>
      <x:c r="C136" s="26" t="str"/>
      <x:c r="D136" s="22" t="str">
        <x:f>IF(C136="","",IF(COUNTIFS('VENTAS'!$A$5:$A$254,C136,'VENTAS'!$C$5:$C$254,"&lt;&gt;")=1,INDEX('VENTAS'!$C$5:$C$254,MATCH(C136,'VENTAS'!$A$5:$A$254,0)),"ID no encontrado"))</x:f>
      </x:c>
      <x:c r="E136" s="22" t="str">
        <x:f>IF(C136="","",IF(COUNTIFS('VENTAS'!$A$5:$A$254,C136,'VENTAS'!$C$5:$C$254,"&lt;&gt;")=1,INDEX('VENTAS'!$D$5:$D$254,MATCH(C136,'VENTAS'!$A$5:$A$254,0)),"ID no encontrado"))</x:f>
      </x:c>
      <x:c r="F136" s="26" t="str"/>
      <x:c r="G136" s="27" t="str"/>
      <x:c r="H136" s="27" t="str"/>
      <x:c r="I136" s="26" t="str"/>
      <x:c r="J136" s="30" t="str"/>
      <x:c r="K136" s="28" t="str">
        <x:f>IF(B136="","",IF(ISNUMBER(H136),H136,IF(AND(ISNUMBER(G136),ISNUMBER(J136),J136&gt;0),ROUND(G136/J136,2),"")))</x:f>
      </x:c>
      <x:c r="L136" s="31" t="str"/>
      <x:c r="M136" s="26" t="str"/>
      <x:c r="N136" s="26" t="str">
        <x:v>Incluir</x:v>
      </x:c>
      <x:c r="O136" s="22" t="str"/>
      <x:c r="P136" s="22" t="str"/>
      <x:c r="Q136" s="22" t="str">
        <x:f>IF(B136="","",IF(C136="","Falta ID venta",IF(D136="ID no encontrado","ID venta inválido",IF(COUNTIFS('PAGOS'!$A$5:$A$504,A136,'PAGOS'!$B$5:$B$504,"&gt;0")&gt;1,"ID duplicado",IF(AND(L136&lt;&gt;"",COUNTIFS('PAGOS'!$L$5:$L$504,L136,'PAGOS'!$B$5:$B$504,B136,'PAGOS'!$F$5:$F$504,F136)&gt;1),"Referencia repetida",IF(N136&lt;&gt;"Incluir",N136,IF(NOT(ISNUMBER(K136)),"Falta equivalente","Aplicar")))))))</x:f>
      </x:c>
    </x:row>
    <x:row r="137" ht="25" customHeight="1">
      <x:c r="A137" s="22" t="str">
        <x:v>P-133</x:v>
      </x:c>
      <x:c r="B137" s="25" t="str"/>
      <x:c r="C137" s="26" t="str"/>
      <x:c r="D137" s="22" t="str">
        <x:f>IF(C137="","",IF(COUNTIFS('VENTAS'!$A$5:$A$254,C137,'VENTAS'!$C$5:$C$254,"&lt;&gt;")=1,INDEX('VENTAS'!$C$5:$C$254,MATCH(C137,'VENTAS'!$A$5:$A$254,0)),"ID no encontrado"))</x:f>
      </x:c>
      <x:c r="E137" s="22" t="str">
        <x:f>IF(C137="","",IF(COUNTIFS('VENTAS'!$A$5:$A$254,C137,'VENTAS'!$C$5:$C$254,"&lt;&gt;")=1,INDEX('VENTAS'!$D$5:$D$254,MATCH(C137,'VENTAS'!$A$5:$A$254,0)),"ID no encontrado"))</x:f>
      </x:c>
      <x:c r="F137" s="26" t="str"/>
      <x:c r="G137" s="27" t="str"/>
      <x:c r="H137" s="27" t="str"/>
      <x:c r="I137" s="26" t="str"/>
      <x:c r="J137" s="30" t="str"/>
      <x:c r="K137" s="28" t="str">
        <x:f>IF(B137="","",IF(ISNUMBER(H137),H137,IF(AND(ISNUMBER(G137),ISNUMBER(J137),J137&gt;0),ROUND(G137/J137,2),"")))</x:f>
      </x:c>
      <x:c r="L137" s="31" t="str"/>
      <x:c r="M137" s="26" t="str"/>
      <x:c r="N137" s="26" t="str">
        <x:v>Incluir</x:v>
      </x:c>
      <x:c r="O137" s="22" t="str"/>
      <x:c r="P137" s="22" t="str"/>
      <x:c r="Q137" s="22" t="str">
        <x:f>IF(B137="","",IF(C137="","Falta ID venta",IF(D137="ID no encontrado","ID venta inválido",IF(COUNTIFS('PAGOS'!$A$5:$A$504,A137,'PAGOS'!$B$5:$B$504,"&gt;0")&gt;1,"ID duplicado",IF(AND(L137&lt;&gt;"",COUNTIFS('PAGOS'!$L$5:$L$504,L137,'PAGOS'!$B$5:$B$504,B137,'PAGOS'!$F$5:$F$504,F137)&gt;1),"Referencia repetida",IF(N137&lt;&gt;"Incluir",N137,IF(NOT(ISNUMBER(K137)),"Falta equivalente","Aplicar")))))))</x:f>
      </x:c>
    </x:row>
    <x:row r="138" ht="25" customHeight="1">
      <x:c r="A138" s="22" t="str">
        <x:v>P-134</x:v>
      </x:c>
      <x:c r="B138" s="25" t="str"/>
      <x:c r="C138" s="26" t="str"/>
      <x:c r="D138" s="22" t="str">
        <x:f>IF(C138="","",IF(COUNTIFS('VENTAS'!$A$5:$A$254,C138,'VENTAS'!$C$5:$C$254,"&lt;&gt;")=1,INDEX('VENTAS'!$C$5:$C$254,MATCH(C138,'VENTAS'!$A$5:$A$254,0)),"ID no encontrado"))</x:f>
      </x:c>
      <x:c r="E138" s="22" t="str">
        <x:f>IF(C138="","",IF(COUNTIFS('VENTAS'!$A$5:$A$254,C138,'VENTAS'!$C$5:$C$254,"&lt;&gt;")=1,INDEX('VENTAS'!$D$5:$D$254,MATCH(C138,'VENTAS'!$A$5:$A$254,0)),"ID no encontrado"))</x:f>
      </x:c>
      <x:c r="F138" s="26" t="str"/>
      <x:c r="G138" s="27" t="str"/>
      <x:c r="H138" s="27" t="str"/>
      <x:c r="I138" s="26" t="str"/>
      <x:c r="J138" s="30" t="str"/>
      <x:c r="K138" s="28" t="str">
        <x:f>IF(B138="","",IF(ISNUMBER(H138),H138,IF(AND(ISNUMBER(G138),ISNUMBER(J138),J138&gt;0),ROUND(G138/J138,2),"")))</x:f>
      </x:c>
      <x:c r="L138" s="31" t="str"/>
      <x:c r="M138" s="26" t="str"/>
      <x:c r="N138" s="26" t="str">
        <x:v>Incluir</x:v>
      </x:c>
      <x:c r="O138" s="22" t="str"/>
      <x:c r="P138" s="22" t="str"/>
      <x:c r="Q138" s="22" t="str">
        <x:f>IF(B138="","",IF(C138="","Falta ID venta",IF(D138="ID no encontrado","ID venta inválido",IF(COUNTIFS('PAGOS'!$A$5:$A$504,A138,'PAGOS'!$B$5:$B$504,"&gt;0")&gt;1,"ID duplicado",IF(AND(L138&lt;&gt;"",COUNTIFS('PAGOS'!$L$5:$L$504,L138,'PAGOS'!$B$5:$B$504,B138,'PAGOS'!$F$5:$F$504,F138)&gt;1),"Referencia repetida",IF(N138&lt;&gt;"Incluir",N138,IF(NOT(ISNUMBER(K138)),"Falta equivalente","Aplicar")))))))</x:f>
      </x:c>
    </x:row>
    <x:row r="139" ht="25" customHeight="1">
      <x:c r="A139" s="22" t="str">
        <x:v>P-135</x:v>
      </x:c>
      <x:c r="B139" s="25" t="str"/>
      <x:c r="C139" s="26" t="str"/>
      <x:c r="D139" s="22" t="str">
        <x:f>IF(C139="","",IF(COUNTIFS('VENTAS'!$A$5:$A$254,C139,'VENTAS'!$C$5:$C$254,"&lt;&gt;")=1,INDEX('VENTAS'!$C$5:$C$254,MATCH(C139,'VENTAS'!$A$5:$A$254,0)),"ID no encontrado"))</x:f>
      </x:c>
      <x:c r="E139" s="22" t="str">
        <x:f>IF(C139="","",IF(COUNTIFS('VENTAS'!$A$5:$A$254,C139,'VENTAS'!$C$5:$C$254,"&lt;&gt;")=1,INDEX('VENTAS'!$D$5:$D$254,MATCH(C139,'VENTAS'!$A$5:$A$254,0)),"ID no encontrado"))</x:f>
      </x:c>
      <x:c r="F139" s="26" t="str"/>
      <x:c r="G139" s="27" t="str"/>
      <x:c r="H139" s="27" t="str"/>
      <x:c r="I139" s="26" t="str"/>
      <x:c r="J139" s="30" t="str"/>
      <x:c r="K139" s="28" t="str">
        <x:f>IF(B139="","",IF(ISNUMBER(H139),H139,IF(AND(ISNUMBER(G139),ISNUMBER(J139),J139&gt;0),ROUND(G139/J139,2),"")))</x:f>
      </x:c>
      <x:c r="L139" s="31" t="str"/>
      <x:c r="M139" s="26" t="str"/>
      <x:c r="N139" s="26" t="str">
        <x:v>Incluir</x:v>
      </x:c>
      <x:c r="O139" s="22" t="str"/>
      <x:c r="P139" s="22" t="str"/>
      <x:c r="Q139" s="22" t="str">
        <x:f>IF(B139="","",IF(C139="","Falta ID venta",IF(D139="ID no encontrado","ID venta inválido",IF(COUNTIFS('PAGOS'!$A$5:$A$504,A139,'PAGOS'!$B$5:$B$504,"&gt;0")&gt;1,"ID duplicado",IF(AND(L139&lt;&gt;"",COUNTIFS('PAGOS'!$L$5:$L$504,L139,'PAGOS'!$B$5:$B$504,B139,'PAGOS'!$F$5:$F$504,F139)&gt;1),"Referencia repetida",IF(N139&lt;&gt;"Incluir",N139,IF(NOT(ISNUMBER(K139)),"Falta equivalente","Aplicar")))))))</x:f>
      </x:c>
    </x:row>
    <x:row r="140" ht="25" customHeight="1">
      <x:c r="A140" s="22" t="str">
        <x:v>P-136</x:v>
      </x:c>
      <x:c r="B140" s="25" t="str"/>
      <x:c r="C140" s="26" t="str"/>
      <x:c r="D140" s="22" t="str">
        <x:f>IF(C140="","",IF(COUNTIFS('VENTAS'!$A$5:$A$254,C140,'VENTAS'!$C$5:$C$254,"&lt;&gt;")=1,INDEX('VENTAS'!$C$5:$C$254,MATCH(C140,'VENTAS'!$A$5:$A$254,0)),"ID no encontrado"))</x:f>
      </x:c>
      <x:c r="E140" s="22" t="str">
        <x:f>IF(C140="","",IF(COUNTIFS('VENTAS'!$A$5:$A$254,C140,'VENTAS'!$C$5:$C$254,"&lt;&gt;")=1,INDEX('VENTAS'!$D$5:$D$254,MATCH(C140,'VENTAS'!$A$5:$A$254,0)),"ID no encontrado"))</x:f>
      </x:c>
      <x:c r="F140" s="26" t="str"/>
      <x:c r="G140" s="27" t="str"/>
      <x:c r="H140" s="27" t="str"/>
      <x:c r="I140" s="26" t="str"/>
      <x:c r="J140" s="30" t="str"/>
      <x:c r="K140" s="28" t="str">
        <x:f>IF(B140="","",IF(ISNUMBER(H140),H140,IF(AND(ISNUMBER(G140),ISNUMBER(J140),J140&gt;0),ROUND(G140/J140,2),"")))</x:f>
      </x:c>
      <x:c r="L140" s="31" t="str"/>
      <x:c r="M140" s="26" t="str"/>
      <x:c r="N140" s="26" t="str">
        <x:v>Incluir</x:v>
      </x:c>
      <x:c r="O140" s="22" t="str"/>
      <x:c r="P140" s="22" t="str"/>
      <x:c r="Q140" s="22" t="str">
        <x:f>IF(B140="","",IF(C140="","Falta ID venta",IF(D140="ID no encontrado","ID venta inválido",IF(COUNTIFS('PAGOS'!$A$5:$A$504,A140,'PAGOS'!$B$5:$B$504,"&gt;0")&gt;1,"ID duplicado",IF(AND(L140&lt;&gt;"",COUNTIFS('PAGOS'!$L$5:$L$504,L140,'PAGOS'!$B$5:$B$504,B140,'PAGOS'!$F$5:$F$504,F140)&gt;1),"Referencia repetida",IF(N140&lt;&gt;"Incluir",N140,IF(NOT(ISNUMBER(K140)),"Falta equivalente","Aplicar")))))))</x:f>
      </x:c>
    </x:row>
    <x:row r="141" ht="25" customHeight="1">
      <x:c r="A141" s="22" t="str">
        <x:v>P-137</x:v>
      </x:c>
      <x:c r="B141" s="25" t="str"/>
      <x:c r="C141" s="26" t="str"/>
      <x:c r="D141" s="22" t="str">
        <x:f>IF(C141="","",IF(COUNTIFS('VENTAS'!$A$5:$A$254,C141,'VENTAS'!$C$5:$C$254,"&lt;&gt;")=1,INDEX('VENTAS'!$C$5:$C$254,MATCH(C141,'VENTAS'!$A$5:$A$254,0)),"ID no encontrado"))</x:f>
      </x:c>
      <x:c r="E141" s="22" t="str">
        <x:f>IF(C141="","",IF(COUNTIFS('VENTAS'!$A$5:$A$254,C141,'VENTAS'!$C$5:$C$254,"&lt;&gt;")=1,INDEX('VENTAS'!$D$5:$D$254,MATCH(C141,'VENTAS'!$A$5:$A$254,0)),"ID no encontrado"))</x:f>
      </x:c>
      <x:c r="F141" s="26" t="str"/>
      <x:c r="G141" s="27" t="str"/>
      <x:c r="H141" s="27" t="str"/>
      <x:c r="I141" s="26" t="str"/>
      <x:c r="J141" s="30" t="str"/>
      <x:c r="K141" s="28" t="str">
        <x:f>IF(B141="","",IF(ISNUMBER(H141),H141,IF(AND(ISNUMBER(G141),ISNUMBER(J141),J141&gt;0),ROUND(G141/J141,2),"")))</x:f>
      </x:c>
      <x:c r="L141" s="31" t="str"/>
      <x:c r="M141" s="26" t="str"/>
      <x:c r="N141" s="26" t="str">
        <x:v>Incluir</x:v>
      </x:c>
      <x:c r="O141" s="22" t="str"/>
      <x:c r="P141" s="22" t="str"/>
      <x:c r="Q141" s="22" t="str">
        <x:f>IF(B141="","",IF(C141="","Falta ID venta",IF(D141="ID no encontrado","ID venta inválido",IF(COUNTIFS('PAGOS'!$A$5:$A$504,A141,'PAGOS'!$B$5:$B$504,"&gt;0")&gt;1,"ID duplicado",IF(AND(L141&lt;&gt;"",COUNTIFS('PAGOS'!$L$5:$L$504,L141,'PAGOS'!$B$5:$B$504,B141,'PAGOS'!$F$5:$F$504,F141)&gt;1),"Referencia repetida",IF(N141&lt;&gt;"Incluir",N141,IF(NOT(ISNUMBER(K141)),"Falta equivalente","Aplicar")))))))</x:f>
      </x:c>
    </x:row>
    <x:row r="142" ht="25" customHeight="1">
      <x:c r="A142" s="22" t="str">
        <x:v>P-138</x:v>
      </x:c>
      <x:c r="B142" s="25" t="str"/>
      <x:c r="C142" s="26" t="str"/>
      <x:c r="D142" s="22" t="str">
        <x:f>IF(C142="","",IF(COUNTIFS('VENTAS'!$A$5:$A$254,C142,'VENTAS'!$C$5:$C$254,"&lt;&gt;")=1,INDEX('VENTAS'!$C$5:$C$254,MATCH(C142,'VENTAS'!$A$5:$A$254,0)),"ID no encontrado"))</x:f>
      </x:c>
      <x:c r="E142" s="22" t="str">
        <x:f>IF(C142="","",IF(COUNTIFS('VENTAS'!$A$5:$A$254,C142,'VENTAS'!$C$5:$C$254,"&lt;&gt;")=1,INDEX('VENTAS'!$D$5:$D$254,MATCH(C142,'VENTAS'!$A$5:$A$254,0)),"ID no encontrado"))</x:f>
      </x:c>
      <x:c r="F142" s="26" t="str"/>
      <x:c r="G142" s="27" t="str"/>
      <x:c r="H142" s="27" t="str"/>
      <x:c r="I142" s="26" t="str"/>
      <x:c r="J142" s="30" t="str"/>
      <x:c r="K142" s="28" t="str">
        <x:f>IF(B142="","",IF(ISNUMBER(H142),H142,IF(AND(ISNUMBER(G142),ISNUMBER(J142),J142&gt;0),ROUND(G142/J142,2),"")))</x:f>
      </x:c>
      <x:c r="L142" s="31" t="str"/>
      <x:c r="M142" s="26" t="str"/>
      <x:c r="N142" s="26" t="str">
        <x:v>Incluir</x:v>
      </x:c>
      <x:c r="O142" s="22" t="str"/>
      <x:c r="P142" s="22" t="str"/>
      <x:c r="Q142" s="22" t="str">
        <x:f>IF(B142="","",IF(C142="","Falta ID venta",IF(D142="ID no encontrado","ID venta inválido",IF(COUNTIFS('PAGOS'!$A$5:$A$504,A142,'PAGOS'!$B$5:$B$504,"&gt;0")&gt;1,"ID duplicado",IF(AND(L142&lt;&gt;"",COUNTIFS('PAGOS'!$L$5:$L$504,L142,'PAGOS'!$B$5:$B$504,B142,'PAGOS'!$F$5:$F$504,F142)&gt;1),"Referencia repetida",IF(N142&lt;&gt;"Incluir",N142,IF(NOT(ISNUMBER(K142)),"Falta equivalente","Aplicar")))))))</x:f>
      </x:c>
    </x:row>
    <x:row r="143" ht="25" customHeight="1">
      <x:c r="A143" s="22" t="str">
        <x:v>P-139</x:v>
      </x:c>
      <x:c r="B143" s="25" t="str"/>
      <x:c r="C143" s="26" t="str"/>
      <x:c r="D143" s="22" t="str">
        <x:f>IF(C143="","",IF(COUNTIFS('VENTAS'!$A$5:$A$254,C143,'VENTAS'!$C$5:$C$254,"&lt;&gt;")=1,INDEX('VENTAS'!$C$5:$C$254,MATCH(C143,'VENTAS'!$A$5:$A$254,0)),"ID no encontrado"))</x:f>
      </x:c>
      <x:c r="E143" s="22" t="str">
        <x:f>IF(C143="","",IF(COUNTIFS('VENTAS'!$A$5:$A$254,C143,'VENTAS'!$C$5:$C$254,"&lt;&gt;")=1,INDEX('VENTAS'!$D$5:$D$254,MATCH(C143,'VENTAS'!$A$5:$A$254,0)),"ID no encontrado"))</x:f>
      </x:c>
      <x:c r="F143" s="26" t="str"/>
      <x:c r="G143" s="27" t="str"/>
      <x:c r="H143" s="27" t="str"/>
      <x:c r="I143" s="26" t="str"/>
      <x:c r="J143" s="30" t="str"/>
      <x:c r="K143" s="28" t="str">
        <x:f>IF(B143="","",IF(ISNUMBER(H143),H143,IF(AND(ISNUMBER(G143),ISNUMBER(J143),J143&gt;0),ROUND(G143/J143,2),"")))</x:f>
      </x:c>
      <x:c r="L143" s="31" t="str"/>
      <x:c r="M143" s="26" t="str"/>
      <x:c r="N143" s="26" t="str">
        <x:v>Incluir</x:v>
      </x:c>
      <x:c r="O143" s="22" t="str"/>
      <x:c r="P143" s="22" t="str"/>
      <x:c r="Q143" s="22" t="str">
        <x:f>IF(B143="","",IF(C143="","Falta ID venta",IF(D143="ID no encontrado","ID venta inválido",IF(COUNTIFS('PAGOS'!$A$5:$A$504,A143,'PAGOS'!$B$5:$B$504,"&gt;0")&gt;1,"ID duplicado",IF(AND(L143&lt;&gt;"",COUNTIFS('PAGOS'!$L$5:$L$504,L143,'PAGOS'!$B$5:$B$504,B143,'PAGOS'!$F$5:$F$504,F143)&gt;1),"Referencia repetida",IF(N143&lt;&gt;"Incluir",N143,IF(NOT(ISNUMBER(K143)),"Falta equivalente","Aplicar")))))))</x:f>
      </x:c>
    </x:row>
    <x:row r="144" ht="25" customHeight="1">
      <x:c r="A144" s="22" t="str">
        <x:v>P-140</x:v>
      </x:c>
      <x:c r="B144" s="25" t="str"/>
      <x:c r="C144" s="26" t="str"/>
      <x:c r="D144" s="22" t="str">
        <x:f>IF(C144="","",IF(COUNTIFS('VENTAS'!$A$5:$A$254,C144,'VENTAS'!$C$5:$C$254,"&lt;&gt;")=1,INDEX('VENTAS'!$C$5:$C$254,MATCH(C144,'VENTAS'!$A$5:$A$254,0)),"ID no encontrado"))</x:f>
      </x:c>
      <x:c r="E144" s="22" t="str">
        <x:f>IF(C144="","",IF(COUNTIFS('VENTAS'!$A$5:$A$254,C144,'VENTAS'!$C$5:$C$254,"&lt;&gt;")=1,INDEX('VENTAS'!$D$5:$D$254,MATCH(C144,'VENTAS'!$A$5:$A$254,0)),"ID no encontrado"))</x:f>
      </x:c>
      <x:c r="F144" s="26" t="str"/>
      <x:c r="G144" s="27" t="str"/>
      <x:c r="H144" s="27" t="str"/>
      <x:c r="I144" s="26" t="str"/>
      <x:c r="J144" s="30" t="str"/>
      <x:c r="K144" s="28" t="str">
        <x:f>IF(B144="","",IF(ISNUMBER(H144),H144,IF(AND(ISNUMBER(G144),ISNUMBER(J144),J144&gt;0),ROUND(G144/J144,2),"")))</x:f>
      </x:c>
      <x:c r="L144" s="31" t="str"/>
      <x:c r="M144" s="26" t="str"/>
      <x:c r="N144" s="26" t="str">
        <x:v>Incluir</x:v>
      </x:c>
      <x:c r="O144" s="22" t="str"/>
      <x:c r="P144" s="22" t="str"/>
      <x:c r="Q144" s="22" t="str">
        <x:f>IF(B144="","",IF(C144="","Falta ID venta",IF(D144="ID no encontrado","ID venta inválido",IF(COUNTIFS('PAGOS'!$A$5:$A$504,A144,'PAGOS'!$B$5:$B$504,"&gt;0")&gt;1,"ID duplicado",IF(AND(L144&lt;&gt;"",COUNTIFS('PAGOS'!$L$5:$L$504,L144,'PAGOS'!$B$5:$B$504,B144,'PAGOS'!$F$5:$F$504,F144)&gt;1),"Referencia repetida",IF(N144&lt;&gt;"Incluir",N144,IF(NOT(ISNUMBER(K144)),"Falta equivalente","Aplicar")))))))</x:f>
      </x:c>
    </x:row>
    <x:row r="145" ht="25" customHeight="1">
      <x:c r="A145" s="22" t="str">
        <x:v>P-141</x:v>
      </x:c>
      <x:c r="B145" s="25" t="str"/>
      <x:c r="C145" s="26" t="str"/>
      <x:c r="D145" s="22" t="str">
        <x:f>IF(C145="","",IF(COUNTIFS('VENTAS'!$A$5:$A$254,C145,'VENTAS'!$C$5:$C$254,"&lt;&gt;")=1,INDEX('VENTAS'!$C$5:$C$254,MATCH(C145,'VENTAS'!$A$5:$A$254,0)),"ID no encontrado"))</x:f>
      </x:c>
      <x:c r="E145" s="22" t="str">
        <x:f>IF(C145="","",IF(COUNTIFS('VENTAS'!$A$5:$A$254,C145,'VENTAS'!$C$5:$C$254,"&lt;&gt;")=1,INDEX('VENTAS'!$D$5:$D$254,MATCH(C145,'VENTAS'!$A$5:$A$254,0)),"ID no encontrado"))</x:f>
      </x:c>
      <x:c r="F145" s="26" t="str"/>
      <x:c r="G145" s="27" t="str"/>
      <x:c r="H145" s="27" t="str"/>
      <x:c r="I145" s="26" t="str"/>
      <x:c r="J145" s="30" t="str"/>
      <x:c r="K145" s="28" t="str">
        <x:f>IF(B145="","",IF(ISNUMBER(H145),H145,IF(AND(ISNUMBER(G145),ISNUMBER(J145),J145&gt;0),ROUND(G145/J145,2),"")))</x:f>
      </x:c>
      <x:c r="L145" s="31" t="str"/>
      <x:c r="M145" s="26" t="str"/>
      <x:c r="N145" s="26" t="str">
        <x:v>Incluir</x:v>
      </x:c>
      <x:c r="O145" s="22" t="str"/>
      <x:c r="P145" s="22" t="str"/>
      <x:c r="Q145" s="22" t="str">
        <x:f>IF(B145="","",IF(C145="","Falta ID venta",IF(D145="ID no encontrado","ID venta inválido",IF(COUNTIFS('PAGOS'!$A$5:$A$504,A145,'PAGOS'!$B$5:$B$504,"&gt;0")&gt;1,"ID duplicado",IF(AND(L145&lt;&gt;"",COUNTIFS('PAGOS'!$L$5:$L$504,L145,'PAGOS'!$B$5:$B$504,B145,'PAGOS'!$F$5:$F$504,F145)&gt;1),"Referencia repetida",IF(N145&lt;&gt;"Incluir",N145,IF(NOT(ISNUMBER(K145)),"Falta equivalente","Aplicar")))))))</x:f>
      </x:c>
    </x:row>
    <x:row r="146" ht="25" customHeight="1">
      <x:c r="A146" s="22" t="str">
        <x:v>P-142</x:v>
      </x:c>
      <x:c r="B146" s="25" t="str"/>
      <x:c r="C146" s="26" t="str"/>
      <x:c r="D146" s="22" t="str">
        <x:f>IF(C146="","",IF(COUNTIFS('VENTAS'!$A$5:$A$254,C146,'VENTAS'!$C$5:$C$254,"&lt;&gt;")=1,INDEX('VENTAS'!$C$5:$C$254,MATCH(C146,'VENTAS'!$A$5:$A$254,0)),"ID no encontrado"))</x:f>
      </x:c>
      <x:c r="E146" s="22" t="str">
        <x:f>IF(C146="","",IF(COUNTIFS('VENTAS'!$A$5:$A$254,C146,'VENTAS'!$C$5:$C$254,"&lt;&gt;")=1,INDEX('VENTAS'!$D$5:$D$254,MATCH(C146,'VENTAS'!$A$5:$A$254,0)),"ID no encontrado"))</x:f>
      </x:c>
      <x:c r="F146" s="26" t="str"/>
      <x:c r="G146" s="27" t="str"/>
      <x:c r="H146" s="27" t="str"/>
      <x:c r="I146" s="26" t="str"/>
      <x:c r="J146" s="30" t="str"/>
      <x:c r="K146" s="28" t="str">
        <x:f>IF(B146="","",IF(ISNUMBER(H146),H146,IF(AND(ISNUMBER(G146),ISNUMBER(J146),J146&gt;0),ROUND(G146/J146,2),"")))</x:f>
      </x:c>
      <x:c r="L146" s="31" t="str"/>
      <x:c r="M146" s="26" t="str"/>
      <x:c r="N146" s="26" t="str">
        <x:v>Incluir</x:v>
      </x:c>
      <x:c r="O146" s="22" t="str"/>
      <x:c r="P146" s="22" t="str"/>
      <x:c r="Q146" s="22" t="str">
        <x:f>IF(B146="","",IF(C146="","Falta ID venta",IF(D146="ID no encontrado","ID venta inválido",IF(COUNTIFS('PAGOS'!$A$5:$A$504,A146,'PAGOS'!$B$5:$B$504,"&gt;0")&gt;1,"ID duplicado",IF(AND(L146&lt;&gt;"",COUNTIFS('PAGOS'!$L$5:$L$504,L146,'PAGOS'!$B$5:$B$504,B146,'PAGOS'!$F$5:$F$504,F146)&gt;1),"Referencia repetida",IF(N146&lt;&gt;"Incluir",N146,IF(NOT(ISNUMBER(K146)),"Falta equivalente","Aplicar")))))))</x:f>
      </x:c>
    </x:row>
    <x:row r="147" ht="25" customHeight="1">
      <x:c r="A147" s="22" t="str">
        <x:v>P-143</x:v>
      </x:c>
      <x:c r="B147" s="25" t="str"/>
      <x:c r="C147" s="26" t="str"/>
      <x:c r="D147" s="22" t="str">
        <x:f>IF(C147="","",IF(COUNTIFS('VENTAS'!$A$5:$A$254,C147,'VENTAS'!$C$5:$C$254,"&lt;&gt;")=1,INDEX('VENTAS'!$C$5:$C$254,MATCH(C147,'VENTAS'!$A$5:$A$254,0)),"ID no encontrado"))</x:f>
      </x:c>
      <x:c r="E147" s="22" t="str">
        <x:f>IF(C147="","",IF(COUNTIFS('VENTAS'!$A$5:$A$254,C147,'VENTAS'!$C$5:$C$254,"&lt;&gt;")=1,INDEX('VENTAS'!$D$5:$D$254,MATCH(C147,'VENTAS'!$A$5:$A$254,0)),"ID no encontrado"))</x:f>
      </x:c>
      <x:c r="F147" s="26" t="str"/>
      <x:c r="G147" s="27" t="str"/>
      <x:c r="H147" s="27" t="str"/>
      <x:c r="I147" s="26" t="str"/>
      <x:c r="J147" s="30" t="str"/>
      <x:c r="K147" s="28" t="str">
        <x:f>IF(B147="","",IF(ISNUMBER(H147),H147,IF(AND(ISNUMBER(G147),ISNUMBER(J147),J147&gt;0),ROUND(G147/J147,2),"")))</x:f>
      </x:c>
      <x:c r="L147" s="31" t="str"/>
      <x:c r="M147" s="26" t="str"/>
      <x:c r="N147" s="26" t="str">
        <x:v>Incluir</x:v>
      </x:c>
      <x:c r="O147" s="22" t="str"/>
      <x:c r="P147" s="22" t="str"/>
      <x:c r="Q147" s="22" t="str">
        <x:f>IF(B147="","",IF(C147="","Falta ID venta",IF(D147="ID no encontrado","ID venta inválido",IF(COUNTIFS('PAGOS'!$A$5:$A$504,A147,'PAGOS'!$B$5:$B$504,"&gt;0")&gt;1,"ID duplicado",IF(AND(L147&lt;&gt;"",COUNTIFS('PAGOS'!$L$5:$L$504,L147,'PAGOS'!$B$5:$B$504,B147,'PAGOS'!$F$5:$F$504,F147)&gt;1),"Referencia repetida",IF(N147&lt;&gt;"Incluir",N147,IF(NOT(ISNUMBER(K147)),"Falta equivalente","Aplicar")))))))</x:f>
      </x:c>
    </x:row>
    <x:row r="148" ht="25" customHeight="1">
      <x:c r="A148" s="22" t="str">
        <x:v>P-144</x:v>
      </x:c>
      <x:c r="B148" s="25" t="str"/>
      <x:c r="C148" s="26" t="str"/>
      <x:c r="D148" s="22" t="str">
        <x:f>IF(C148="","",IF(COUNTIFS('VENTAS'!$A$5:$A$254,C148,'VENTAS'!$C$5:$C$254,"&lt;&gt;")=1,INDEX('VENTAS'!$C$5:$C$254,MATCH(C148,'VENTAS'!$A$5:$A$254,0)),"ID no encontrado"))</x:f>
      </x:c>
      <x:c r="E148" s="22" t="str">
        <x:f>IF(C148="","",IF(COUNTIFS('VENTAS'!$A$5:$A$254,C148,'VENTAS'!$C$5:$C$254,"&lt;&gt;")=1,INDEX('VENTAS'!$D$5:$D$254,MATCH(C148,'VENTAS'!$A$5:$A$254,0)),"ID no encontrado"))</x:f>
      </x:c>
      <x:c r="F148" s="26" t="str"/>
      <x:c r="G148" s="27" t="str"/>
      <x:c r="H148" s="27" t="str"/>
      <x:c r="I148" s="26" t="str"/>
      <x:c r="J148" s="30" t="str"/>
      <x:c r="K148" s="28" t="str">
        <x:f>IF(B148="","",IF(ISNUMBER(H148),H148,IF(AND(ISNUMBER(G148),ISNUMBER(J148),J148&gt;0),ROUND(G148/J148,2),"")))</x:f>
      </x:c>
      <x:c r="L148" s="31" t="str"/>
      <x:c r="M148" s="26" t="str"/>
      <x:c r="N148" s="26" t="str">
        <x:v>Incluir</x:v>
      </x:c>
      <x:c r="O148" s="22" t="str"/>
      <x:c r="P148" s="22" t="str"/>
      <x:c r="Q148" s="22" t="str">
        <x:f>IF(B148="","",IF(C148="","Falta ID venta",IF(D148="ID no encontrado","ID venta inválido",IF(COUNTIFS('PAGOS'!$A$5:$A$504,A148,'PAGOS'!$B$5:$B$504,"&gt;0")&gt;1,"ID duplicado",IF(AND(L148&lt;&gt;"",COUNTIFS('PAGOS'!$L$5:$L$504,L148,'PAGOS'!$B$5:$B$504,B148,'PAGOS'!$F$5:$F$504,F148)&gt;1),"Referencia repetida",IF(N148&lt;&gt;"Incluir",N148,IF(NOT(ISNUMBER(K148)),"Falta equivalente","Aplicar")))))))</x:f>
      </x:c>
    </x:row>
    <x:row r="149" ht="25" customHeight="1">
      <x:c r="A149" s="22" t="str">
        <x:v>P-145</x:v>
      </x:c>
      <x:c r="B149" s="25" t="str"/>
      <x:c r="C149" s="26" t="str"/>
      <x:c r="D149" s="22" t="str">
        <x:f>IF(C149="","",IF(COUNTIFS('VENTAS'!$A$5:$A$254,C149,'VENTAS'!$C$5:$C$254,"&lt;&gt;")=1,INDEX('VENTAS'!$C$5:$C$254,MATCH(C149,'VENTAS'!$A$5:$A$254,0)),"ID no encontrado"))</x:f>
      </x:c>
      <x:c r="E149" s="22" t="str">
        <x:f>IF(C149="","",IF(COUNTIFS('VENTAS'!$A$5:$A$254,C149,'VENTAS'!$C$5:$C$254,"&lt;&gt;")=1,INDEX('VENTAS'!$D$5:$D$254,MATCH(C149,'VENTAS'!$A$5:$A$254,0)),"ID no encontrado"))</x:f>
      </x:c>
      <x:c r="F149" s="26" t="str"/>
      <x:c r="G149" s="27" t="str"/>
      <x:c r="H149" s="27" t="str"/>
      <x:c r="I149" s="26" t="str"/>
      <x:c r="J149" s="30" t="str"/>
      <x:c r="K149" s="28" t="str">
        <x:f>IF(B149="","",IF(ISNUMBER(H149),H149,IF(AND(ISNUMBER(G149),ISNUMBER(J149),J149&gt;0),ROUND(G149/J149,2),"")))</x:f>
      </x:c>
      <x:c r="L149" s="31" t="str"/>
      <x:c r="M149" s="26" t="str"/>
      <x:c r="N149" s="26" t="str">
        <x:v>Incluir</x:v>
      </x:c>
      <x:c r="O149" s="22" t="str"/>
      <x:c r="P149" s="22" t="str"/>
      <x:c r="Q149" s="22" t="str">
        <x:f>IF(B149="","",IF(C149="","Falta ID venta",IF(D149="ID no encontrado","ID venta inválido",IF(COUNTIFS('PAGOS'!$A$5:$A$504,A149,'PAGOS'!$B$5:$B$504,"&gt;0")&gt;1,"ID duplicado",IF(AND(L149&lt;&gt;"",COUNTIFS('PAGOS'!$L$5:$L$504,L149,'PAGOS'!$B$5:$B$504,B149,'PAGOS'!$F$5:$F$504,F149)&gt;1),"Referencia repetida",IF(N149&lt;&gt;"Incluir",N149,IF(NOT(ISNUMBER(K149)),"Falta equivalente","Aplicar")))))))</x:f>
      </x:c>
    </x:row>
    <x:row r="150" ht="25" customHeight="1">
      <x:c r="A150" s="22" t="str">
        <x:v>P-146</x:v>
      </x:c>
      <x:c r="B150" s="25" t="str"/>
      <x:c r="C150" s="26" t="str"/>
      <x:c r="D150" s="22" t="str">
        <x:f>IF(C150="","",IF(COUNTIFS('VENTAS'!$A$5:$A$254,C150,'VENTAS'!$C$5:$C$254,"&lt;&gt;")=1,INDEX('VENTAS'!$C$5:$C$254,MATCH(C150,'VENTAS'!$A$5:$A$254,0)),"ID no encontrado"))</x:f>
      </x:c>
      <x:c r="E150" s="22" t="str">
        <x:f>IF(C150="","",IF(COUNTIFS('VENTAS'!$A$5:$A$254,C150,'VENTAS'!$C$5:$C$254,"&lt;&gt;")=1,INDEX('VENTAS'!$D$5:$D$254,MATCH(C150,'VENTAS'!$A$5:$A$254,0)),"ID no encontrado"))</x:f>
      </x:c>
      <x:c r="F150" s="26" t="str"/>
      <x:c r="G150" s="27" t="str"/>
      <x:c r="H150" s="27" t="str"/>
      <x:c r="I150" s="26" t="str"/>
      <x:c r="J150" s="30" t="str"/>
      <x:c r="K150" s="28" t="str">
        <x:f>IF(B150="","",IF(ISNUMBER(H150),H150,IF(AND(ISNUMBER(G150),ISNUMBER(J150),J150&gt;0),ROUND(G150/J150,2),"")))</x:f>
      </x:c>
      <x:c r="L150" s="31" t="str"/>
      <x:c r="M150" s="26" t="str"/>
      <x:c r="N150" s="26" t="str">
        <x:v>Incluir</x:v>
      </x:c>
      <x:c r="O150" s="22" t="str"/>
      <x:c r="P150" s="22" t="str"/>
      <x:c r="Q150" s="22" t="str">
        <x:f>IF(B150="","",IF(C150="","Falta ID venta",IF(D150="ID no encontrado","ID venta inválido",IF(COUNTIFS('PAGOS'!$A$5:$A$504,A150,'PAGOS'!$B$5:$B$504,"&gt;0")&gt;1,"ID duplicado",IF(AND(L150&lt;&gt;"",COUNTIFS('PAGOS'!$L$5:$L$504,L150,'PAGOS'!$B$5:$B$504,B150,'PAGOS'!$F$5:$F$504,F150)&gt;1),"Referencia repetida",IF(N150&lt;&gt;"Incluir",N150,IF(NOT(ISNUMBER(K150)),"Falta equivalente","Aplicar")))))))</x:f>
      </x:c>
    </x:row>
    <x:row r="151" ht="25" customHeight="1">
      <x:c r="A151" s="22" t="str">
        <x:v>P-147</x:v>
      </x:c>
      <x:c r="B151" s="25" t="str"/>
      <x:c r="C151" s="26" t="str"/>
      <x:c r="D151" s="22" t="str">
        <x:f>IF(C151="","",IF(COUNTIFS('VENTAS'!$A$5:$A$254,C151,'VENTAS'!$C$5:$C$254,"&lt;&gt;")=1,INDEX('VENTAS'!$C$5:$C$254,MATCH(C151,'VENTAS'!$A$5:$A$254,0)),"ID no encontrado"))</x:f>
      </x:c>
      <x:c r="E151" s="22" t="str">
        <x:f>IF(C151="","",IF(COUNTIFS('VENTAS'!$A$5:$A$254,C151,'VENTAS'!$C$5:$C$254,"&lt;&gt;")=1,INDEX('VENTAS'!$D$5:$D$254,MATCH(C151,'VENTAS'!$A$5:$A$254,0)),"ID no encontrado"))</x:f>
      </x:c>
      <x:c r="F151" s="26" t="str"/>
      <x:c r="G151" s="27" t="str"/>
      <x:c r="H151" s="27" t="str"/>
      <x:c r="I151" s="26" t="str"/>
      <x:c r="J151" s="30" t="str"/>
      <x:c r="K151" s="28" t="str">
        <x:f>IF(B151="","",IF(ISNUMBER(H151),H151,IF(AND(ISNUMBER(G151),ISNUMBER(J151),J151&gt;0),ROUND(G151/J151,2),"")))</x:f>
      </x:c>
      <x:c r="L151" s="31" t="str"/>
      <x:c r="M151" s="26" t="str"/>
      <x:c r="N151" s="26" t="str">
        <x:v>Incluir</x:v>
      </x:c>
      <x:c r="O151" s="22" t="str"/>
      <x:c r="P151" s="22" t="str"/>
      <x:c r="Q151" s="22" t="str">
        <x:f>IF(B151="","",IF(C151="","Falta ID venta",IF(D151="ID no encontrado","ID venta inválido",IF(COUNTIFS('PAGOS'!$A$5:$A$504,A151,'PAGOS'!$B$5:$B$504,"&gt;0")&gt;1,"ID duplicado",IF(AND(L151&lt;&gt;"",COUNTIFS('PAGOS'!$L$5:$L$504,L151,'PAGOS'!$B$5:$B$504,B151,'PAGOS'!$F$5:$F$504,F151)&gt;1),"Referencia repetida",IF(N151&lt;&gt;"Incluir",N151,IF(NOT(ISNUMBER(K151)),"Falta equivalente","Aplicar")))))))</x:f>
      </x:c>
    </x:row>
    <x:row r="152" ht="25" customHeight="1">
      <x:c r="A152" s="22" t="str">
        <x:v>P-148</x:v>
      </x:c>
      <x:c r="B152" s="25" t="str"/>
      <x:c r="C152" s="26" t="str"/>
      <x:c r="D152" s="22" t="str">
        <x:f>IF(C152="","",IF(COUNTIFS('VENTAS'!$A$5:$A$254,C152,'VENTAS'!$C$5:$C$254,"&lt;&gt;")=1,INDEX('VENTAS'!$C$5:$C$254,MATCH(C152,'VENTAS'!$A$5:$A$254,0)),"ID no encontrado"))</x:f>
      </x:c>
      <x:c r="E152" s="22" t="str">
        <x:f>IF(C152="","",IF(COUNTIFS('VENTAS'!$A$5:$A$254,C152,'VENTAS'!$C$5:$C$254,"&lt;&gt;")=1,INDEX('VENTAS'!$D$5:$D$254,MATCH(C152,'VENTAS'!$A$5:$A$254,0)),"ID no encontrado"))</x:f>
      </x:c>
      <x:c r="F152" s="26" t="str"/>
      <x:c r="G152" s="27" t="str"/>
      <x:c r="H152" s="27" t="str"/>
      <x:c r="I152" s="26" t="str"/>
      <x:c r="J152" s="30" t="str"/>
      <x:c r="K152" s="28" t="str">
        <x:f>IF(B152="","",IF(ISNUMBER(H152),H152,IF(AND(ISNUMBER(G152),ISNUMBER(J152),J152&gt;0),ROUND(G152/J152,2),"")))</x:f>
      </x:c>
      <x:c r="L152" s="31" t="str"/>
      <x:c r="M152" s="26" t="str"/>
      <x:c r="N152" s="26" t="str">
        <x:v>Incluir</x:v>
      </x:c>
      <x:c r="O152" s="22" t="str"/>
      <x:c r="P152" s="22" t="str"/>
      <x:c r="Q152" s="22" t="str">
        <x:f>IF(B152="","",IF(C152="","Falta ID venta",IF(D152="ID no encontrado","ID venta inválido",IF(COUNTIFS('PAGOS'!$A$5:$A$504,A152,'PAGOS'!$B$5:$B$504,"&gt;0")&gt;1,"ID duplicado",IF(AND(L152&lt;&gt;"",COUNTIFS('PAGOS'!$L$5:$L$504,L152,'PAGOS'!$B$5:$B$504,B152,'PAGOS'!$F$5:$F$504,F152)&gt;1),"Referencia repetida",IF(N152&lt;&gt;"Incluir",N152,IF(NOT(ISNUMBER(K152)),"Falta equivalente","Aplicar")))))))</x:f>
      </x:c>
    </x:row>
    <x:row r="153" ht="25" customHeight="1">
      <x:c r="A153" s="22" t="str">
        <x:v>P-149</x:v>
      </x:c>
      <x:c r="B153" s="25" t="str"/>
      <x:c r="C153" s="26" t="str"/>
      <x:c r="D153" s="22" t="str">
        <x:f>IF(C153="","",IF(COUNTIFS('VENTAS'!$A$5:$A$254,C153,'VENTAS'!$C$5:$C$254,"&lt;&gt;")=1,INDEX('VENTAS'!$C$5:$C$254,MATCH(C153,'VENTAS'!$A$5:$A$254,0)),"ID no encontrado"))</x:f>
      </x:c>
      <x:c r="E153" s="22" t="str">
        <x:f>IF(C153="","",IF(COUNTIFS('VENTAS'!$A$5:$A$254,C153,'VENTAS'!$C$5:$C$254,"&lt;&gt;")=1,INDEX('VENTAS'!$D$5:$D$254,MATCH(C153,'VENTAS'!$A$5:$A$254,0)),"ID no encontrado"))</x:f>
      </x:c>
      <x:c r="F153" s="26" t="str"/>
      <x:c r="G153" s="27" t="str"/>
      <x:c r="H153" s="27" t="str"/>
      <x:c r="I153" s="26" t="str"/>
      <x:c r="J153" s="30" t="str"/>
      <x:c r="K153" s="28" t="str">
        <x:f>IF(B153="","",IF(ISNUMBER(H153),H153,IF(AND(ISNUMBER(G153),ISNUMBER(J153),J153&gt;0),ROUND(G153/J153,2),"")))</x:f>
      </x:c>
      <x:c r="L153" s="31" t="str"/>
      <x:c r="M153" s="26" t="str"/>
      <x:c r="N153" s="26" t="str">
        <x:v>Incluir</x:v>
      </x:c>
      <x:c r="O153" s="22" t="str"/>
      <x:c r="P153" s="22" t="str"/>
      <x:c r="Q153" s="22" t="str">
        <x:f>IF(B153="","",IF(C153="","Falta ID venta",IF(D153="ID no encontrado","ID venta inválido",IF(COUNTIFS('PAGOS'!$A$5:$A$504,A153,'PAGOS'!$B$5:$B$504,"&gt;0")&gt;1,"ID duplicado",IF(AND(L153&lt;&gt;"",COUNTIFS('PAGOS'!$L$5:$L$504,L153,'PAGOS'!$B$5:$B$504,B153,'PAGOS'!$F$5:$F$504,F153)&gt;1),"Referencia repetida",IF(N153&lt;&gt;"Incluir",N153,IF(NOT(ISNUMBER(K153)),"Falta equivalente","Aplicar")))))))</x:f>
      </x:c>
    </x:row>
    <x:row r="154" ht="25" customHeight="1">
      <x:c r="A154" s="22" t="str">
        <x:v>P-150</x:v>
      </x:c>
      <x:c r="B154" s="25" t="str"/>
      <x:c r="C154" s="26" t="str"/>
      <x:c r="D154" s="22" t="str">
        <x:f>IF(C154="","",IF(COUNTIFS('VENTAS'!$A$5:$A$254,C154,'VENTAS'!$C$5:$C$254,"&lt;&gt;")=1,INDEX('VENTAS'!$C$5:$C$254,MATCH(C154,'VENTAS'!$A$5:$A$254,0)),"ID no encontrado"))</x:f>
      </x:c>
      <x:c r="E154" s="22" t="str">
        <x:f>IF(C154="","",IF(COUNTIFS('VENTAS'!$A$5:$A$254,C154,'VENTAS'!$C$5:$C$254,"&lt;&gt;")=1,INDEX('VENTAS'!$D$5:$D$254,MATCH(C154,'VENTAS'!$A$5:$A$254,0)),"ID no encontrado"))</x:f>
      </x:c>
      <x:c r="F154" s="26" t="str"/>
      <x:c r="G154" s="27" t="str"/>
      <x:c r="H154" s="27" t="str"/>
      <x:c r="I154" s="26" t="str"/>
      <x:c r="J154" s="30" t="str"/>
      <x:c r="K154" s="28" t="str">
        <x:f>IF(B154="","",IF(ISNUMBER(H154),H154,IF(AND(ISNUMBER(G154),ISNUMBER(J154),J154&gt;0),ROUND(G154/J154,2),"")))</x:f>
      </x:c>
      <x:c r="L154" s="31" t="str"/>
      <x:c r="M154" s="26" t="str"/>
      <x:c r="N154" s="26" t="str">
        <x:v>Incluir</x:v>
      </x:c>
      <x:c r="O154" s="22" t="str"/>
      <x:c r="P154" s="22" t="str"/>
      <x:c r="Q154" s="22" t="str">
        <x:f>IF(B154="","",IF(C154="","Falta ID venta",IF(D154="ID no encontrado","ID venta inválido",IF(COUNTIFS('PAGOS'!$A$5:$A$504,A154,'PAGOS'!$B$5:$B$504,"&gt;0")&gt;1,"ID duplicado",IF(AND(L154&lt;&gt;"",COUNTIFS('PAGOS'!$L$5:$L$504,L154,'PAGOS'!$B$5:$B$504,B154,'PAGOS'!$F$5:$F$504,F154)&gt;1),"Referencia repetida",IF(N154&lt;&gt;"Incluir",N154,IF(NOT(ISNUMBER(K154)),"Falta equivalente","Aplicar")))))))</x:f>
      </x:c>
    </x:row>
    <x:row r="155" ht="25" customHeight="1">
      <x:c r="A155" s="22" t="str">
        <x:v>P-151</x:v>
      </x:c>
      <x:c r="B155" s="25" t="str"/>
      <x:c r="C155" s="26" t="str"/>
      <x:c r="D155" s="22" t="str">
        <x:f>IF(C155="","",IF(COUNTIFS('VENTAS'!$A$5:$A$254,C155,'VENTAS'!$C$5:$C$254,"&lt;&gt;")=1,INDEX('VENTAS'!$C$5:$C$254,MATCH(C155,'VENTAS'!$A$5:$A$254,0)),"ID no encontrado"))</x:f>
      </x:c>
      <x:c r="E155" s="22" t="str">
        <x:f>IF(C155="","",IF(COUNTIFS('VENTAS'!$A$5:$A$254,C155,'VENTAS'!$C$5:$C$254,"&lt;&gt;")=1,INDEX('VENTAS'!$D$5:$D$254,MATCH(C155,'VENTAS'!$A$5:$A$254,0)),"ID no encontrado"))</x:f>
      </x:c>
      <x:c r="F155" s="26" t="str"/>
      <x:c r="G155" s="27" t="str"/>
      <x:c r="H155" s="27" t="str"/>
      <x:c r="I155" s="26" t="str"/>
      <x:c r="J155" s="30" t="str"/>
      <x:c r="K155" s="28" t="str">
        <x:f>IF(B155="","",IF(ISNUMBER(H155),H155,IF(AND(ISNUMBER(G155),ISNUMBER(J155),J155&gt;0),ROUND(G155/J155,2),"")))</x:f>
      </x:c>
      <x:c r="L155" s="31" t="str"/>
      <x:c r="M155" s="26" t="str"/>
      <x:c r="N155" s="26" t="str">
        <x:v>Incluir</x:v>
      </x:c>
      <x:c r="O155" s="22" t="str"/>
      <x:c r="P155" s="22" t="str"/>
      <x:c r="Q155" s="22" t="str">
        <x:f>IF(B155="","",IF(C155="","Falta ID venta",IF(D155="ID no encontrado","ID venta inválido",IF(COUNTIFS('PAGOS'!$A$5:$A$504,A155,'PAGOS'!$B$5:$B$504,"&gt;0")&gt;1,"ID duplicado",IF(AND(L155&lt;&gt;"",COUNTIFS('PAGOS'!$L$5:$L$504,L155,'PAGOS'!$B$5:$B$504,B155,'PAGOS'!$F$5:$F$504,F155)&gt;1),"Referencia repetida",IF(N155&lt;&gt;"Incluir",N155,IF(NOT(ISNUMBER(K155)),"Falta equivalente","Aplicar")))))))</x:f>
      </x:c>
    </x:row>
    <x:row r="156" ht="25" customHeight="1">
      <x:c r="A156" s="22" t="str">
        <x:v>P-152</x:v>
      </x:c>
      <x:c r="B156" s="25" t="str"/>
      <x:c r="C156" s="26" t="str"/>
      <x:c r="D156" s="22" t="str">
        <x:f>IF(C156="","",IF(COUNTIFS('VENTAS'!$A$5:$A$254,C156,'VENTAS'!$C$5:$C$254,"&lt;&gt;")=1,INDEX('VENTAS'!$C$5:$C$254,MATCH(C156,'VENTAS'!$A$5:$A$254,0)),"ID no encontrado"))</x:f>
      </x:c>
      <x:c r="E156" s="22" t="str">
        <x:f>IF(C156="","",IF(COUNTIFS('VENTAS'!$A$5:$A$254,C156,'VENTAS'!$C$5:$C$254,"&lt;&gt;")=1,INDEX('VENTAS'!$D$5:$D$254,MATCH(C156,'VENTAS'!$A$5:$A$254,0)),"ID no encontrado"))</x:f>
      </x:c>
      <x:c r="F156" s="26" t="str"/>
      <x:c r="G156" s="27" t="str"/>
      <x:c r="H156" s="27" t="str"/>
      <x:c r="I156" s="26" t="str"/>
      <x:c r="J156" s="30" t="str"/>
      <x:c r="K156" s="28" t="str">
        <x:f>IF(B156="","",IF(ISNUMBER(H156),H156,IF(AND(ISNUMBER(G156),ISNUMBER(J156),J156&gt;0),ROUND(G156/J156,2),"")))</x:f>
      </x:c>
      <x:c r="L156" s="31" t="str"/>
      <x:c r="M156" s="26" t="str"/>
      <x:c r="N156" s="26" t="str">
        <x:v>Incluir</x:v>
      </x:c>
      <x:c r="O156" s="22" t="str"/>
      <x:c r="P156" s="22" t="str"/>
      <x:c r="Q156" s="22" t="str">
        <x:f>IF(B156="","",IF(C156="","Falta ID venta",IF(D156="ID no encontrado","ID venta inválido",IF(COUNTIFS('PAGOS'!$A$5:$A$504,A156,'PAGOS'!$B$5:$B$504,"&gt;0")&gt;1,"ID duplicado",IF(AND(L156&lt;&gt;"",COUNTIFS('PAGOS'!$L$5:$L$504,L156,'PAGOS'!$B$5:$B$504,B156,'PAGOS'!$F$5:$F$504,F156)&gt;1),"Referencia repetida",IF(N156&lt;&gt;"Incluir",N156,IF(NOT(ISNUMBER(K156)),"Falta equivalente","Aplicar")))))))</x:f>
      </x:c>
    </x:row>
    <x:row r="157" ht="25" customHeight="1">
      <x:c r="A157" s="22" t="str">
        <x:v>P-153</x:v>
      </x:c>
      <x:c r="B157" s="25" t="str"/>
      <x:c r="C157" s="26" t="str"/>
      <x:c r="D157" s="22" t="str">
        <x:f>IF(C157="","",IF(COUNTIFS('VENTAS'!$A$5:$A$254,C157,'VENTAS'!$C$5:$C$254,"&lt;&gt;")=1,INDEX('VENTAS'!$C$5:$C$254,MATCH(C157,'VENTAS'!$A$5:$A$254,0)),"ID no encontrado"))</x:f>
      </x:c>
      <x:c r="E157" s="22" t="str">
        <x:f>IF(C157="","",IF(COUNTIFS('VENTAS'!$A$5:$A$254,C157,'VENTAS'!$C$5:$C$254,"&lt;&gt;")=1,INDEX('VENTAS'!$D$5:$D$254,MATCH(C157,'VENTAS'!$A$5:$A$254,0)),"ID no encontrado"))</x:f>
      </x:c>
      <x:c r="F157" s="26" t="str"/>
      <x:c r="G157" s="27" t="str"/>
      <x:c r="H157" s="27" t="str"/>
      <x:c r="I157" s="26" t="str"/>
      <x:c r="J157" s="30" t="str"/>
      <x:c r="K157" s="28" t="str">
        <x:f>IF(B157="","",IF(ISNUMBER(H157),H157,IF(AND(ISNUMBER(G157),ISNUMBER(J157),J157&gt;0),ROUND(G157/J157,2),"")))</x:f>
      </x:c>
      <x:c r="L157" s="31" t="str"/>
      <x:c r="M157" s="26" t="str"/>
      <x:c r="N157" s="26" t="str">
        <x:v>Incluir</x:v>
      </x:c>
      <x:c r="O157" s="22" t="str"/>
      <x:c r="P157" s="22" t="str"/>
      <x:c r="Q157" s="22" t="str">
        <x:f>IF(B157="","",IF(C157="","Falta ID venta",IF(D157="ID no encontrado","ID venta inválido",IF(COUNTIFS('PAGOS'!$A$5:$A$504,A157,'PAGOS'!$B$5:$B$504,"&gt;0")&gt;1,"ID duplicado",IF(AND(L157&lt;&gt;"",COUNTIFS('PAGOS'!$L$5:$L$504,L157,'PAGOS'!$B$5:$B$504,B157,'PAGOS'!$F$5:$F$504,F157)&gt;1),"Referencia repetida",IF(N157&lt;&gt;"Incluir",N157,IF(NOT(ISNUMBER(K157)),"Falta equivalente","Aplicar")))))))</x:f>
      </x:c>
    </x:row>
    <x:row r="158" ht="25" customHeight="1">
      <x:c r="A158" s="22" t="str">
        <x:v>P-154</x:v>
      </x:c>
      <x:c r="B158" s="25" t="str"/>
      <x:c r="C158" s="26" t="str"/>
      <x:c r="D158" s="22" t="str">
        <x:f>IF(C158="","",IF(COUNTIFS('VENTAS'!$A$5:$A$254,C158,'VENTAS'!$C$5:$C$254,"&lt;&gt;")=1,INDEX('VENTAS'!$C$5:$C$254,MATCH(C158,'VENTAS'!$A$5:$A$254,0)),"ID no encontrado"))</x:f>
      </x:c>
      <x:c r="E158" s="22" t="str">
        <x:f>IF(C158="","",IF(COUNTIFS('VENTAS'!$A$5:$A$254,C158,'VENTAS'!$C$5:$C$254,"&lt;&gt;")=1,INDEX('VENTAS'!$D$5:$D$254,MATCH(C158,'VENTAS'!$A$5:$A$254,0)),"ID no encontrado"))</x:f>
      </x:c>
      <x:c r="F158" s="26" t="str"/>
      <x:c r="G158" s="27" t="str"/>
      <x:c r="H158" s="27" t="str"/>
      <x:c r="I158" s="26" t="str"/>
      <x:c r="J158" s="30" t="str"/>
      <x:c r="K158" s="28" t="str">
        <x:f>IF(B158="","",IF(ISNUMBER(H158),H158,IF(AND(ISNUMBER(G158),ISNUMBER(J158),J158&gt;0),ROUND(G158/J158,2),"")))</x:f>
      </x:c>
      <x:c r="L158" s="31" t="str"/>
      <x:c r="M158" s="26" t="str"/>
      <x:c r="N158" s="26" t="str">
        <x:v>Incluir</x:v>
      </x:c>
      <x:c r="O158" s="22" t="str"/>
      <x:c r="P158" s="22" t="str"/>
      <x:c r="Q158" s="22" t="str">
        <x:f>IF(B158="","",IF(C158="","Falta ID venta",IF(D158="ID no encontrado","ID venta inválido",IF(COUNTIFS('PAGOS'!$A$5:$A$504,A158,'PAGOS'!$B$5:$B$504,"&gt;0")&gt;1,"ID duplicado",IF(AND(L158&lt;&gt;"",COUNTIFS('PAGOS'!$L$5:$L$504,L158,'PAGOS'!$B$5:$B$504,B158,'PAGOS'!$F$5:$F$504,F158)&gt;1),"Referencia repetida",IF(N158&lt;&gt;"Incluir",N158,IF(NOT(ISNUMBER(K158)),"Falta equivalente","Aplicar")))))))</x:f>
      </x:c>
    </x:row>
    <x:row r="159" ht="25" customHeight="1">
      <x:c r="A159" s="22" t="str">
        <x:v>P-155</x:v>
      </x:c>
      <x:c r="B159" s="25" t="str"/>
      <x:c r="C159" s="26" t="str"/>
      <x:c r="D159" s="22" t="str">
        <x:f>IF(C159="","",IF(COUNTIFS('VENTAS'!$A$5:$A$254,C159,'VENTAS'!$C$5:$C$254,"&lt;&gt;")=1,INDEX('VENTAS'!$C$5:$C$254,MATCH(C159,'VENTAS'!$A$5:$A$254,0)),"ID no encontrado"))</x:f>
      </x:c>
      <x:c r="E159" s="22" t="str">
        <x:f>IF(C159="","",IF(COUNTIFS('VENTAS'!$A$5:$A$254,C159,'VENTAS'!$C$5:$C$254,"&lt;&gt;")=1,INDEX('VENTAS'!$D$5:$D$254,MATCH(C159,'VENTAS'!$A$5:$A$254,0)),"ID no encontrado"))</x:f>
      </x:c>
      <x:c r="F159" s="26" t="str"/>
      <x:c r="G159" s="27" t="str"/>
      <x:c r="H159" s="27" t="str"/>
      <x:c r="I159" s="26" t="str"/>
      <x:c r="J159" s="30" t="str"/>
      <x:c r="K159" s="28" t="str">
        <x:f>IF(B159="","",IF(ISNUMBER(H159),H159,IF(AND(ISNUMBER(G159),ISNUMBER(J159),J159&gt;0),ROUND(G159/J159,2),"")))</x:f>
      </x:c>
      <x:c r="L159" s="31" t="str"/>
      <x:c r="M159" s="26" t="str"/>
      <x:c r="N159" s="26" t="str">
        <x:v>Incluir</x:v>
      </x:c>
      <x:c r="O159" s="22" t="str"/>
      <x:c r="P159" s="22" t="str"/>
      <x:c r="Q159" s="22" t="str">
        <x:f>IF(B159="","",IF(C159="","Falta ID venta",IF(D159="ID no encontrado","ID venta inválido",IF(COUNTIFS('PAGOS'!$A$5:$A$504,A159,'PAGOS'!$B$5:$B$504,"&gt;0")&gt;1,"ID duplicado",IF(AND(L159&lt;&gt;"",COUNTIFS('PAGOS'!$L$5:$L$504,L159,'PAGOS'!$B$5:$B$504,B159,'PAGOS'!$F$5:$F$504,F159)&gt;1),"Referencia repetida",IF(N159&lt;&gt;"Incluir",N159,IF(NOT(ISNUMBER(K159)),"Falta equivalente","Aplicar")))))))</x:f>
      </x:c>
    </x:row>
    <x:row r="160" ht="25" customHeight="1">
      <x:c r="A160" s="22" t="str">
        <x:v>P-156</x:v>
      </x:c>
      <x:c r="B160" s="25" t="str"/>
      <x:c r="C160" s="26" t="str"/>
      <x:c r="D160" s="22" t="str">
        <x:f>IF(C160="","",IF(COUNTIFS('VENTAS'!$A$5:$A$254,C160,'VENTAS'!$C$5:$C$254,"&lt;&gt;")=1,INDEX('VENTAS'!$C$5:$C$254,MATCH(C160,'VENTAS'!$A$5:$A$254,0)),"ID no encontrado"))</x:f>
      </x:c>
      <x:c r="E160" s="22" t="str">
        <x:f>IF(C160="","",IF(COUNTIFS('VENTAS'!$A$5:$A$254,C160,'VENTAS'!$C$5:$C$254,"&lt;&gt;")=1,INDEX('VENTAS'!$D$5:$D$254,MATCH(C160,'VENTAS'!$A$5:$A$254,0)),"ID no encontrado"))</x:f>
      </x:c>
      <x:c r="F160" s="26" t="str"/>
      <x:c r="G160" s="27" t="str"/>
      <x:c r="H160" s="27" t="str"/>
      <x:c r="I160" s="26" t="str"/>
      <x:c r="J160" s="30" t="str"/>
      <x:c r="K160" s="28" t="str">
        <x:f>IF(B160="","",IF(ISNUMBER(H160),H160,IF(AND(ISNUMBER(G160),ISNUMBER(J160),J160&gt;0),ROUND(G160/J160,2),"")))</x:f>
      </x:c>
      <x:c r="L160" s="31" t="str"/>
      <x:c r="M160" s="26" t="str"/>
      <x:c r="N160" s="26" t="str">
        <x:v>Incluir</x:v>
      </x:c>
      <x:c r="O160" s="22" t="str"/>
      <x:c r="P160" s="22" t="str"/>
      <x:c r="Q160" s="22" t="str">
        <x:f>IF(B160="","",IF(C160="","Falta ID venta",IF(D160="ID no encontrado","ID venta inválido",IF(COUNTIFS('PAGOS'!$A$5:$A$504,A160,'PAGOS'!$B$5:$B$504,"&gt;0")&gt;1,"ID duplicado",IF(AND(L160&lt;&gt;"",COUNTIFS('PAGOS'!$L$5:$L$504,L160,'PAGOS'!$B$5:$B$504,B160,'PAGOS'!$F$5:$F$504,F160)&gt;1),"Referencia repetida",IF(N160&lt;&gt;"Incluir",N160,IF(NOT(ISNUMBER(K160)),"Falta equivalente","Aplicar")))))))</x:f>
      </x:c>
    </x:row>
    <x:row r="161" ht="25" customHeight="1">
      <x:c r="A161" s="22" t="str">
        <x:v>P-157</x:v>
      </x:c>
      <x:c r="B161" s="25" t="str"/>
      <x:c r="C161" s="26" t="str"/>
      <x:c r="D161" s="22" t="str">
        <x:f>IF(C161="","",IF(COUNTIFS('VENTAS'!$A$5:$A$254,C161,'VENTAS'!$C$5:$C$254,"&lt;&gt;")=1,INDEX('VENTAS'!$C$5:$C$254,MATCH(C161,'VENTAS'!$A$5:$A$254,0)),"ID no encontrado"))</x:f>
      </x:c>
      <x:c r="E161" s="22" t="str">
        <x:f>IF(C161="","",IF(COUNTIFS('VENTAS'!$A$5:$A$254,C161,'VENTAS'!$C$5:$C$254,"&lt;&gt;")=1,INDEX('VENTAS'!$D$5:$D$254,MATCH(C161,'VENTAS'!$A$5:$A$254,0)),"ID no encontrado"))</x:f>
      </x:c>
      <x:c r="F161" s="26" t="str"/>
      <x:c r="G161" s="27" t="str"/>
      <x:c r="H161" s="27" t="str"/>
      <x:c r="I161" s="26" t="str"/>
      <x:c r="J161" s="30" t="str"/>
      <x:c r="K161" s="28" t="str">
        <x:f>IF(B161="","",IF(ISNUMBER(H161),H161,IF(AND(ISNUMBER(G161),ISNUMBER(J161),J161&gt;0),ROUND(G161/J161,2),"")))</x:f>
      </x:c>
      <x:c r="L161" s="31" t="str"/>
      <x:c r="M161" s="26" t="str"/>
      <x:c r="N161" s="26" t="str">
        <x:v>Incluir</x:v>
      </x:c>
      <x:c r="O161" s="22" t="str"/>
      <x:c r="P161" s="22" t="str"/>
      <x:c r="Q161" s="22" t="str">
        <x:f>IF(B161="","",IF(C161="","Falta ID venta",IF(D161="ID no encontrado","ID venta inválido",IF(COUNTIFS('PAGOS'!$A$5:$A$504,A161,'PAGOS'!$B$5:$B$504,"&gt;0")&gt;1,"ID duplicado",IF(AND(L161&lt;&gt;"",COUNTIFS('PAGOS'!$L$5:$L$504,L161,'PAGOS'!$B$5:$B$504,B161,'PAGOS'!$F$5:$F$504,F161)&gt;1),"Referencia repetida",IF(N161&lt;&gt;"Incluir",N161,IF(NOT(ISNUMBER(K161)),"Falta equivalente","Aplicar")))))))</x:f>
      </x:c>
    </x:row>
    <x:row r="162" ht="25" customHeight="1">
      <x:c r="A162" s="22" t="str">
        <x:v>P-158</x:v>
      </x:c>
      <x:c r="B162" s="25" t="str"/>
      <x:c r="C162" s="26" t="str"/>
      <x:c r="D162" s="22" t="str">
        <x:f>IF(C162="","",IF(COUNTIFS('VENTAS'!$A$5:$A$254,C162,'VENTAS'!$C$5:$C$254,"&lt;&gt;")=1,INDEX('VENTAS'!$C$5:$C$254,MATCH(C162,'VENTAS'!$A$5:$A$254,0)),"ID no encontrado"))</x:f>
      </x:c>
      <x:c r="E162" s="22" t="str">
        <x:f>IF(C162="","",IF(COUNTIFS('VENTAS'!$A$5:$A$254,C162,'VENTAS'!$C$5:$C$254,"&lt;&gt;")=1,INDEX('VENTAS'!$D$5:$D$254,MATCH(C162,'VENTAS'!$A$5:$A$254,0)),"ID no encontrado"))</x:f>
      </x:c>
      <x:c r="F162" s="26" t="str"/>
      <x:c r="G162" s="27" t="str"/>
      <x:c r="H162" s="27" t="str"/>
      <x:c r="I162" s="26" t="str"/>
      <x:c r="J162" s="30" t="str"/>
      <x:c r="K162" s="28" t="str">
        <x:f>IF(B162="","",IF(ISNUMBER(H162),H162,IF(AND(ISNUMBER(G162),ISNUMBER(J162),J162&gt;0),ROUND(G162/J162,2),"")))</x:f>
      </x:c>
      <x:c r="L162" s="31" t="str"/>
      <x:c r="M162" s="26" t="str"/>
      <x:c r="N162" s="26" t="str">
        <x:v>Incluir</x:v>
      </x:c>
      <x:c r="O162" s="22" t="str"/>
      <x:c r="P162" s="22" t="str"/>
      <x:c r="Q162" s="22" t="str">
        <x:f>IF(B162="","",IF(C162="","Falta ID venta",IF(D162="ID no encontrado","ID venta inválido",IF(COUNTIFS('PAGOS'!$A$5:$A$504,A162,'PAGOS'!$B$5:$B$504,"&gt;0")&gt;1,"ID duplicado",IF(AND(L162&lt;&gt;"",COUNTIFS('PAGOS'!$L$5:$L$504,L162,'PAGOS'!$B$5:$B$504,B162,'PAGOS'!$F$5:$F$504,F162)&gt;1),"Referencia repetida",IF(N162&lt;&gt;"Incluir",N162,IF(NOT(ISNUMBER(K162)),"Falta equivalente","Aplicar")))))))</x:f>
      </x:c>
    </x:row>
    <x:row r="163" ht="25" customHeight="1">
      <x:c r="A163" s="22" t="str">
        <x:v>P-159</x:v>
      </x:c>
      <x:c r="B163" s="25" t="str"/>
      <x:c r="C163" s="26" t="str"/>
      <x:c r="D163" s="22" t="str">
        <x:f>IF(C163="","",IF(COUNTIFS('VENTAS'!$A$5:$A$254,C163,'VENTAS'!$C$5:$C$254,"&lt;&gt;")=1,INDEX('VENTAS'!$C$5:$C$254,MATCH(C163,'VENTAS'!$A$5:$A$254,0)),"ID no encontrado"))</x:f>
      </x:c>
      <x:c r="E163" s="22" t="str">
        <x:f>IF(C163="","",IF(COUNTIFS('VENTAS'!$A$5:$A$254,C163,'VENTAS'!$C$5:$C$254,"&lt;&gt;")=1,INDEX('VENTAS'!$D$5:$D$254,MATCH(C163,'VENTAS'!$A$5:$A$254,0)),"ID no encontrado"))</x:f>
      </x:c>
      <x:c r="F163" s="26" t="str"/>
      <x:c r="G163" s="27" t="str"/>
      <x:c r="H163" s="27" t="str"/>
      <x:c r="I163" s="26" t="str"/>
      <x:c r="J163" s="30" t="str"/>
      <x:c r="K163" s="28" t="str">
        <x:f>IF(B163="","",IF(ISNUMBER(H163),H163,IF(AND(ISNUMBER(G163),ISNUMBER(J163),J163&gt;0),ROUND(G163/J163,2),"")))</x:f>
      </x:c>
      <x:c r="L163" s="31" t="str"/>
      <x:c r="M163" s="26" t="str"/>
      <x:c r="N163" s="26" t="str">
        <x:v>Incluir</x:v>
      </x:c>
      <x:c r="O163" s="22" t="str"/>
      <x:c r="P163" s="22" t="str"/>
      <x:c r="Q163" s="22" t="str">
        <x:f>IF(B163="","",IF(C163="","Falta ID venta",IF(D163="ID no encontrado","ID venta inválido",IF(COUNTIFS('PAGOS'!$A$5:$A$504,A163,'PAGOS'!$B$5:$B$504,"&gt;0")&gt;1,"ID duplicado",IF(AND(L163&lt;&gt;"",COUNTIFS('PAGOS'!$L$5:$L$504,L163,'PAGOS'!$B$5:$B$504,B163,'PAGOS'!$F$5:$F$504,F163)&gt;1),"Referencia repetida",IF(N163&lt;&gt;"Incluir",N163,IF(NOT(ISNUMBER(K163)),"Falta equivalente","Aplicar")))))))</x:f>
      </x:c>
    </x:row>
    <x:row r="164" ht="25" customHeight="1">
      <x:c r="A164" s="22" t="str">
        <x:v>P-160</x:v>
      </x:c>
      <x:c r="B164" s="25" t="str"/>
      <x:c r="C164" s="26" t="str"/>
      <x:c r="D164" s="22" t="str">
        <x:f>IF(C164="","",IF(COUNTIFS('VENTAS'!$A$5:$A$254,C164,'VENTAS'!$C$5:$C$254,"&lt;&gt;")=1,INDEX('VENTAS'!$C$5:$C$254,MATCH(C164,'VENTAS'!$A$5:$A$254,0)),"ID no encontrado"))</x:f>
      </x:c>
      <x:c r="E164" s="22" t="str">
        <x:f>IF(C164="","",IF(COUNTIFS('VENTAS'!$A$5:$A$254,C164,'VENTAS'!$C$5:$C$254,"&lt;&gt;")=1,INDEX('VENTAS'!$D$5:$D$254,MATCH(C164,'VENTAS'!$A$5:$A$254,0)),"ID no encontrado"))</x:f>
      </x:c>
      <x:c r="F164" s="26" t="str"/>
      <x:c r="G164" s="27" t="str"/>
      <x:c r="H164" s="27" t="str"/>
      <x:c r="I164" s="26" t="str"/>
      <x:c r="J164" s="30" t="str"/>
      <x:c r="K164" s="28" t="str">
        <x:f>IF(B164="","",IF(ISNUMBER(H164),H164,IF(AND(ISNUMBER(G164),ISNUMBER(J164),J164&gt;0),ROUND(G164/J164,2),"")))</x:f>
      </x:c>
      <x:c r="L164" s="31" t="str"/>
      <x:c r="M164" s="26" t="str"/>
      <x:c r="N164" s="26" t="str">
        <x:v>Incluir</x:v>
      </x:c>
      <x:c r="O164" s="22" t="str"/>
      <x:c r="P164" s="22" t="str"/>
      <x:c r="Q164" s="22" t="str">
        <x:f>IF(B164="","",IF(C164="","Falta ID venta",IF(D164="ID no encontrado","ID venta inválido",IF(COUNTIFS('PAGOS'!$A$5:$A$504,A164,'PAGOS'!$B$5:$B$504,"&gt;0")&gt;1,"ID duplicado",IF(AND(L164&lt;&gt;"",COUNTIFS('PAGOS'!$L$5:$L$504,L164,'PAGOS'!$B$5:$B$504,B164,'PAGOS'!$F$5:$F$504,F164)&gt;1),"Referencia repetida",IF(N164&lt;&gt;"Incluir",N164,IF(NOT(ISNUMBER(K164)),"Falta equivalente","Aplicar")))))))</x:f>
      </x:c>
    </x:row>
    <x:row r="165" ht="25" customHeight="1">
      <x:c r="A165" s="22" t="str">
        <x:v>P-161</x:v>
      </x:c>
      <x:c r="B165" s="25" t="str"/>
      <x:c r="C165" s="26" t="str"/>
      <x:c r="D165" s="22" t="str">
        <x:f>IF(C165="","",IF(COUNTIFS('VENTAS'!$A$5:$A$254,C165,'VENTAS'!$C$5:$C$254,"&lt;&gt;")=1,INDEX('VENTAS'!$C$5:$C$254,MATCH(C165,'VENTAS'!$A$5:$A$254,0)),"ID no encontrado"))</x:f>
      </x:c>
      <x:c r="E165" s="22" t="str">
        <x:f>IF(C165="","",IF(COUNTIFS('VENTAS'!$A$5:$A$254,C165,'VENTAS'!$C$5:$C$254,"&lt;&gt;")=1,INDEX('VENTAS'!$D$5:$D$254,MATCH(C165,'VENTAS'!$A$5:$A$254,0)),"ID no encontrado"))</x:f>
      </x:c>
      <x:c r="F165" s="26" t="str"/>
      <x:c r="G165" s="27" t="str"/>
      <x:c r="H165" s="27" t="str"/>
      <x:c r="I165" s="26" t="str"/>
      <x:c r="J165" s="30" t="str"/>
      <x:c r="K165" s="28" t="str">
        <x:f>IF(B165="","",IF(ISNUMBER(H165),H165,IF(AND(ISNUMBER(G165),ISNUMBER(J165),J165&gt;0),ROUND(G165/J165,2),"")))</x:f>
      </x:c>
      <x:c r="L165" s="31" t="str"/>
      <x:c r="M165" s="26" t="str"/>
      <x:c r="N165" s="26" t="str">
        <x:v>Incluir</x:v>
      </x:c>
      <x:c r="O165" s="22" t="str"/>
      <x:c r="P165" s="22" t="str"/>
      <x:c r="Q165" s="22" t="str">
        <x:f>IF(B165="","",IF(C165="","Falta ID venta",IF(D165="ID no encontrado","ID venta inválido",IF(COUNTIFS('PAGOS'!$A$5:$A$504,A165,'PAGOS'!$B$5:$B$504,"&gt;0")&gt;1,"ID duplicado",IF(AND(L165&lt;&gt;"",COUNTIFS('PAGOS'!$L$5:$L$504,L165,'PAGOS'!$B$5:$B$504,B165,'PAGOS'!$F$5:$F$504,F165)&gt;1),"Referencia repetida",IF(N165&lt;&gt;"Incluir",N165,IF(NOT(ISNUMBER(K165)),"Falta equivalente","Aplicar")))))))</x:f>
      </x:c>
    </x:row>
    <x:row r="166" ht="25" customHeight="1">
      <x:c r="A166" s="22" t="str">
        <x:v>P-162</x:v>
      </x:c>
      <x:c r="B166" s="25" t="str"/>
      <x:c r="C166" s="26" t="str"/>
      <x:c r="D166" s="22" t="str">
        <x:f>IF(C166="","",IF(COUNTIFS('VENTAS'!$A$5:$A$254,C166,'VENTAS'!$C$5:$C$254,"&lt;&gt;")=1,INDEX('VENTAS'!$C$5:$C$254,MATCH(C166,'VENTAS'!$A$5:$A$254,0)),"ID no encontrado"))</x:f>
      </x:c>
      <x:c r="E166" s="22" t="str">
        <x:f>IF(C166="","",IF(COUNTIFS('VENTAS'!$A$5:$A$254,C166,'VENTAS'!$C$5:$C$254,"&lt;&gt;")=1,INDEX('VENTAS'!$D$5:$D$254,MATCH(C166,'VENTAS'!$A$5:$A$254,0)),"ID no encontrado"))</x:f>
      </x:c>
      <x:c r="F166" s="26" t="str"/>
      <x:c r="G166" s="27" t="str"/>
      <x:c r="H166" s="27" t="str"/>
      <x:c r="I166" s="26" t="str"/>
      <x:c r="J166" s="30" t="str"/>
      <x:c r="K166" s="28" t="str">
        <x:f>IF(B166="","",IF(ISNUMBER(H166),H166,IF(AND(ISNUMBER(G166),ISNUMBER(J166),J166&gt;0),ROUND(G166/J166,2),"")))</x:f>
      </x:c>
      <x:c r="L166" s="31" t="str"/>
      <x:c r="M166" s="26" t="str"/>
      <x:c r="N166" s="26" t="str">
        <x:v>Incluir</x:v>
      </x:c>
      <x:c r="O166" s="22" t="str"/>
      <x:c r="P166" s="22" t="str"/>
      <x:c r="Q166" s="22" t="str">
        <x:f>IF(B166="","",IF(C166="","Falta ID venta",IF(D166="ID no encontrado","ID venta inválido",IF(COUNTIFS('PAGOS'!$A$5:$A$504,A166,'PAGOS'!$B$5:$B$504,"&gt;0")&gt;1,"ID duplicado",IF(AND(L166&lt;&gt;"",COUNTIFS('PAGOS'!$L$5:$L$504,L166,'PAGOS'!$B$5:$B$504,B166,'PAGOS'!$F$5:$F$504,F166)&gt;1),"Referencia repetida",IF(N166&lt;&gt;"Incluir",N166,IF(NOT(ISNUMBER(K166)),"Falta equivalente","Aplicar")))))))</x:f>
      </x:c>
    </x:row>
    <x:row r="167" ht="25" customHeight="1">
      <x:c r="A167" s="22" t="str">
        <x:v>P-163</x:v>
      </x:c>
      <x:c r="B167" s="25" t="str"/>
      <x:c r="C167" s="26" t="str"/>
      <x:c r="D167" s="22" t="str">
        <x:f>IF(C167="","",IF(COUNTIFS('VENTAS'!$A$5:$A$254,C167,'VENTAS'!$C$5:$C$254,"&lt;&gt;")=1,INDEX('VENTAS'!$C$5:$C$254,MATCH(C167,'VENTAS'!$A$5:$A$254,0)),"ID no encontrado"))</x:f>
      </x:c>
      <x:c r="E167" s="22" t="str">
        <x:f>IF(C167="","",IF(COUNTIFS('VENTAS'!$A$5:$A$254,C167,'VENTAS'!$C$5:$C$254,"&lt;&gt;")=1,INDEX('VENTAS'!$D$5:$D$254,MATCH(C167,'VENTAS'!$A$5:$A$254,0)),"ID no encontrado"))</x:f>
      </x:c>
      <x:c r="F167" s="26" t="str"/>
      <x:c r="G167" s="27" t="str"/>
      <x:c r="H167" s="27" t="str"/>
      <x:c r="I167" s="26" t="str"/>
      <x:c r="J167" s="30" t="str"/>
      <x:c r="K167" s="28" t="str">
        <x:f>IF(B167="","",IF(ISNUMBER(H167),H167,IF(AND(ISNUMBER(G167),ISNUMBER(J167),J167&gt;0),ROUND(G167/J167,2),"")))</x:f>
      </x:c>
      <x:c r="L167" s="31" t="str"/>
      <x:c r="M167" s="26" t="str"/>
      <x:c r="N167" s="26" t="str">
        <x:v>Incluir</x:v>
      </x:c>
      <x:c r="O167" s="22" t="str"/>
      <x:c r="P167" s="22" t="str"/>
      <x:c r="Q167" s="22" t="str">
        <x:f>IF(B167="","",IF(C167="","Falta ID venta",IF(D167="ID no encontrado","ID venta inválido",IF(COUNTIFS('PAGOS'!$A$5:$A$504,A167,'PAGOS'!$B$5:$B$504,"&gt;0")&gt;1,"ID duplicado",IF(AND(L167&lt;&gt;"",COUNTIFS('PAGOS'!$L$5:$L$504,L167,'PAGOS'!$B$5:$B$504,B167,'PAGOS'!$F$5:$F$504,F167)&gt;1),"Referencia repetida",IF(N167&lt;&gt;"Incluir",N167,IF(NOT(ISNUMBER(K167)),"Falta equivalente","Aplicar")))))))</x:f>
      </x:c>
    </x:row>
    <x:row r="168" ht="25" customHeight="1">
      <x:c r="A168" s="22" t="str">
        <x:v>P-164</x:v>
      </x:c>
      <x:c r="B168" s="25" t="str"/>
      <x:c r="C168" s="26" t="str"/>
      <x:c r="D168" s="22" t="str">
        <x:f>IF(C168="","",IF(COUNTIFS('VENTAS'!$A$5:$A$254,C168,'VENTAS'!$C$5:$C$254,"&lt;&gt;")=1,INDEX('VENTAS'!$C$5:$C$254,MATCH(C168,'VENTAS'!$A$5:$A$254,0)),"ID no encontrado"))</x:f>
      </x:c>
      <x:c r="E168" s="22" t="str">
        <x:f>IF(C168="","",IF(COUNTIFS('VENTAS'!$A$5:$A$254,C168,'VENTAS'!$C$5:$C$254,"&lt;&gt;")=1,INDEX('VENTAS'!$D$5:$D$254,MATCH(C168,'VENTAS'!$A$5:$A$254,0)),"ID no encontrado"))</x:f>
      </x:c>
      <x:c r="F168" s="26" t="str"/>
      <x:c r="G168" s="27" t="str"/>
      <x:c r="H168" s="27" t="str"/>
      <x:c r="I168" s="26" t="str"/>
      <x:c r="J168" s="30" t="str"/>
      <x:c r="K168" s="28" t="str">
        <x:f>IF(B168="","",IF(ISNUMBER(H168),H168,IF(AND(ISNUMBER(G168),ISNUMBER(J168),J168&gt;0),ROUND(G168/J168,2),"")))</x:f>
      </x:c>
      <x:c r="L168" s="31" t="str"/>
      <x:c r="M168" s="26" t="str"/>
      <x:c r="N168" s="26" t="str">
        <x:v>Incluir</x:v>
      </x:c>
      <x:c r="O168" s="22" t="str"/>
      <x:c r="P168" s="22" t="str"/>
      <x:c r="Q168" s="22" t="str">
        <x:f>IF(B168="","",IF(C168="","Falta ID venta",IF(D168="ID no encontrado","ID venta inválido",IF(COUNTIFS('PAGOS'!$A$5:$A$504,A168,'PAGOS'!$B$5:$B$504,"&gt;0")&gt;1,"ID duplicado",IF(AND(L168&lt;&gt;"",COUNTIFS('PAGOS'!$L$5:$L$504,L168,'PAGOS'!$B$5:$B$504,B168,'PAGOS'!$F$5:$F$504,F168)&gt;1),"Referencia repetida",IF(N168&lt;&gt;"Incluir",N168,IF(NOT(ISNUMBER(K168)),"Falta equivalente","Aplicar")))))))</x:f>
      </x:c>
    </x:row>
    <x:row r="169" ht="25" customHeight="1">
      <x:c r="A169" s="22" t="str">
        <x:v>P-165</x:v>
      </x:c>
      <x:c r="B169" s="25" t="str"/>
      <x:c r="C169" s="26" t="str"/>
      <x:c r="D169" s="22" t="str">
        <x:f>IF(C169="","",IF(COUNTIFS('VENTAS'!$A$5:$A$254,C169,'VENTAS'!$C$5:$C$254,"&lt;&gt;")=1,INDEX('VENTAS'!$C$5:$C$254,MATCH(C169,'VENTAS'!$A$5:$A$254,0)),"ID no encontrado"))</x:f>
      </x:c>
      <x:c r="E169" s="22" t="str">
        <x:f>IF(C169="","",IF(COUNTIFS('VENTAS'!$A$5:$A$254,C169,'VENTAS'!$C$5:$C$254,"&lt;&gt;")=1,INDEX('VENTAS'!$D$5:$D$254,MATCH(C169,'VENTAS'!$A$5:$A$254,0)),"ID no encontrado"))</x:f>
      </x:c>
      <x:c r="F169" s="26" t="str"/>
      <x:c r="G169" s="27" t="str"/>
      <x:c r="H169" s="27" t="str"/>
      <x:c r="I169" s="26" t="str"/>
      <x:c r="J169" s="30" t="str"/>
      <x:c r="K169" s="28" t="str">
        <x:f>IF(B169="","",IF(ISNUMBER(H169),H169,IF(AND(ISNUMBER(G169),ISNUMBER(J169),J169&gt;0),ROUND(G169/J169,2),"")))</x:f>
      </x:c>
      <x:c r="L169" s="31" t="str"/>
      <x:c r="M169" s="26" t="str"/>
      <x:c r="N169" s="26" t="str">
        <x:v>Incluir</x:v>
      </x:c>
      <x:c r="O169" s="22" t="str"/>
      <x:c r="P169" s="22" t="str"/>
      <x:c r="Q169" s="22" t="str">
        <x:f>IF(B169="","",IF(C169="","Falta ID venta",IF(D169="ID no encontrado","ID venta inválido",IF(COUNTIFS('PAGOS'!$A$5:$A$504,A169,'PAGOS'!$B$5:$B$504,"&gt;0")&gt;1,"ID duplicado",IF(AND(L169&lt;&gt;"",COUNTIFS('PAGOS'!$L$5:$L$504,L169,'PAGOS'!$B$5:$B$504,B169,'PAGOS'!$F$5:$F$504,F169)&gt;1),"Referencia repetida",IF(N169&lt;&gt;"Incluir",N169,IF(NOT(ISNUMBER(K169)),"Falta equivalente","Aplicar")))))))</x:f>
      </x:c>
    </x:row>
    <x:row r="170" ht="25" customHeight="1">
      <x:c r="A170" s="22" t="str">
        <x:v>P-166</x:v>
      </x:c>
      <x:c r="B170" s="25" t="str"/>
      <x:c r="C170" s="26" t="str"/>
      <x:c r="D170" s="22" t="str">
        <x:f>IF(C170="","",IF(COUNTIFS('VENTAS'!$A$5:$A$254,C170,'VENTAS'!$C$5:$C$254,"&lt;&gt;")=1,INDEX('VENTAS'!$C$5:$C$254,MATCH(C170,'VENTAS'!$A$5:$A$254,0)),"ID no encontrado"))</x:f>
      </x:c>
      <x:c r="E170" s="22" t="str">
        <x:f>IF(C170="","",IF(COUNTIFS('VENTAS'!$A$5:$A$254,C170,'VENTAS'!$C$5:$C$254,"&lt;&gt;")=1,INDEX('VENTAS'!$D$5:$D$254,MATCH(C170,'VENTAS'!$A$5:$A$254,0)),"ID no encontrado"))</x:f>
      </x:c>
      <x:c r="F170" s="26" t="str"/>
      <x:c r="G170" s="27" t="str"/>
      <x:c r="H170" s="27" t="str"/>
      <x:c r="I170" s="26" t="str"/>
      <x:c r="J170" s="30" t="str"/>
      <x:c r="K170" s="28" t="str">
        <x:f>IF(B170="","",IF(ISNUMBER(H170),H170,IF(AND(ISNUMBER(G170),ISNUMBER(J170),J170&gt;0),ROUND(G170/J170,2),"")))</x:f>
      </x:c>
      <x:c r="L170" s="31" t="str"/>
      <x:c r="M170" s="26" t="str"/>
      <x:c r="N170" s="26" t="str">
        <x:v>Incluir</x:v>
      </x:c>
      <x:c r="O170" s="22" t="str"/>
      <x:c r="P170" s="22" t="str"/>
      <x:c r="Q170" s="22" t="str">
        <x:f>IF(B170="","",IF(C170="","Falta ID venta",IF(D170="ID no encontrado","ID venta inválido",IF(COUNTIFS('PAGOS'!$A$5:$A$504,A170,'PAGOS'!$B$5:$B$504,"&gt;0")&gt;1,"ID duplicado",IF(AND(L170&lt;&gt;"",COUNTIFS('PAGOS'!$L$5:$L$504,L170,'PAGOS'!$B$5:$B$504,B170,'PAGOS'!$F$5:$F$504,F170)&gt;1),"Referencia repetida",IF(N170&lt;&gt;"Incluir",N170,IF(NOT(ISNUMBER(K170)),"Falta equivalente","Aplicar")))))))</x:f>
      </x:c>
    </x:row>
    <x:row r="171" ht="25" customHeight="1">
      <x:c r="A171" s="22" t="str">
        <x:v>P-167</x:v>
      </x:c>
      <x:c r="B171" s="25" t="str"/>
      <x:c r="C171" s="26" t="str"/>
      <x:c r="D171" s="22" t="str">
        <x:f>IF(C171="","",IF(COUNTIFS('VENTAS'!$A$5:$A$254,C171,'VENTAS'!$C$5:$C$254,"&lt;&gt;")=1,INDEX('VENTAS'!$C$5:$C$254,MATCH(C171,'VENTAS'!$A$5:$A$254,0)),"ID no encontrado"))</x:f>
      </x:c>
      <x:c r="E171" s="22" t="str">
        <x:f>IF(C171="","",IF(COUNTIFS('VENTAS'!$A$5:$A$254,C171,'VENTAS'!$C$5:$C$254,"&lt;&gt;")=1,INDEX('VENTAS'!$D$5:$D$254,MATCH(C171,'VENTAS'!$A$5:$A$254,0)),"ID no encontrado"))</x:f>
      </x:c>
      <x:c r="F171" s="26" t="str"/>
      <x:c r="G171" s="27" t="str"/>
      <x:c r="H171" s="27" t="str"/>
      <x:c r="I171" s="26" t="str"/>
      <x:c r="J171" s="30" t="str"/>
      <x:c r="K171" s="28" t="str">
        <x:f>IF(B171="","",IF(ISNUMBER(H171),H171,IF(AND(ISNUMBER(G171),ISNUMBER(J171),J171&gt;0),ROUND(G171/J171,2),"")))</x:f>
      </x:c>
      <x:c r="L171" s="31" t="str"/>
      <x:c r="M171" s="26" t="str"/>
      <x:c r="N171" s="26" t="str">
        <x:v>Incluir</x:v>
      </x:c>
      <x:c r="O171" s="22" t="str"/>
      <x:c r="P171" s="22" t="str"/>
      <x:c r="Q171" s="22" t="str">
        <x:f>IF(B171="","",IF(C171="","Falta ID venta",IF(D171="ID no encontrado","ID venta inválido",IF(COUNTIFS('PAGOS'!$A$5:$A$504,A171,'PAGOS'!$B$5:$B$504,"&gt;0")&gt;1,"ID duplicado",IF(AND(L171&lt;&gt;"",COUNTIFS('PAGOS'!$L$5:$L$504,L171,'PAGOS'!$B$5:$B$504,B171,'PAGOS'!$F$5:$F$504,F171)&gt;1),"Referencia repetida",IF(N171&lt;&gt;"Incluir",N171,IF(NOT(ISNUMBER(K171)),"Falta equivalente","Aplicar")))))))</x:f>
      </x:c>
    </x:row>
    <x:row r="172" ht="25" customHeight="1">
      <x:c r="A172" s="22" t="str">
        <x:v>P-168</x:v>
      </x:c>
      <x:c r="B172" s="25" t="str"/>
      <x:c r="C172" s="26" t="str"/>
      <x:c r="D172" s="22" t="str">
        <x:f>IF(C172="","",IF(COUNTIFS('VENTAS'!$A$5:$A$254,C172,'VENTAS'!$C$5:$C$254,"&lt;&gt;")=1,INDEX('VENTAS'!$C$5:$C$254,MATCH(C172,'VENTAS'!$A$5:$A$254,0)),"ID no encontrado"))</x:f>
      </x:c>
      <x:c r="E172" s="22" t="str">
        <x:f>IF(C172="","",IF(COUNTIFS('VENTAS'!$A$5:$A$254,C172,'VENTAS'!$C$5:$C$254,"&lt;&gt;")=1,INDEX('VENTAS'!$D$5:$D$254,MATCH(C172,'VENTAS'!$A$5:$A$254,0)),"ID no encontrado"))</x:f>
      </x:c>
      <x:c r="F172" s="26" t="str"/>
      <x:c r="G172" s="27" t="str"/>
      <x:c r="H172" s="27" t="str"/>
      <x:c r="I172" s="26" t="str"/>
      <x:c r="J172" s="30" t="str"/>
      <x:c r="K172" s="28" t="str">
        <x:f>IF(B172="","",IF(ISNUMBER(H172),H172,IF(AND(ISNUMBER(G172),ISNUMBER(J172),J172&gt;0),ROUND(G172/J172,2),"")))</x:f>
      </x:c>
      <x:c r="L172" s="31" t="str"/>
      <x:c r="M172" s="26" t="str"/>
      <x:c r="N172" s="26" t="str">
        <x:v>Incluir</x:v>
      </x:c>
      <x:c r="O172" s="22" t="str"/>
      <x:c r="P172" s="22" t="str"/>
      <x:c r="Q172" s="22" t="str">
        <x:f>IF(B172="","",IF(C172="","Falta ID venta",IF(D172="ID no encontrado","ID venta inválido",IF(COUNTIFS('PAGOS'!$A$5:$A$504,A172,'PAGOS'!$B$5:$B$504,"&gt;0")&gt;1,"ID duplicado",IF(AND(L172&lt;&gt;"",COUNTIFS('PAGOS'!$L$5:$L$504,L172,'PAGOS'!$B$5:$B$504,B172,'PAGOS'!$F$5:$F$504,F172)&gt;1),"Referencia repetida",IF(N172&lt;&gt;"Incluir",N172,IF(NOT(ISNUMBER(K172)),"Falta equivalente","Aplicar")))))))</x:f>
      </x:c>
    </x:row>
    <x:row r="173" ht="25" customHeight="1">
      <x:c r="A173" s="22" t="str">
        <x:v>P-169</x:v>
      </x:c>
      <x:c r="B173" s="25" t="str"/>
      <x:c r="C173" s="26" t="str"/>
      <x:c r="D173" s="22" t="str">
        <x:f>IF(C173="","",IF(COUNTIFS('VENTAS'!$A$5:$A$254,C173,'VENTAS'!$C$5:$C$254,"&lt;&gt;")=1,INDEX('VENTAS'!$C$5:$C$254,MATCH(C173,'VENTAS'!$A$5:$A$254,0)),"ID no encontrado"))</x:f>
      </x:c>
      <x:c r="E173" s="22" t="str">
        <x:f>IF(C173="","",IF(COUNTIFS('VENTAS'!$A$5:$A$254,C173,'VENTAS'!$C$5:$C$254,"&lt;&gt;")=1,INDEX('VENTAS'!$D$5:$D$254,MATCH(C173,'VENTAS'!$A$5:$A$254,0)),"ID no encontrado"))</x:f>
      </x:c>
      <x:c r="F173" s="26" t="str"/>
      <x:c r="G173" s="27" t="str"/>
      <x:c r="H173" s="27" t="str"/>
      <x:c r="I173" s="26" t="str"/>
      <x:c r="J173" s="30" t="str"/>
      <x:c r="K173" s="28" t="str">
        <x:f>IF(B173="","",IF(ISNUMBER(H173),H173,IF(AND(ISNUMBER(G173),ISNUMBER(J173),J173&gt;0),ROUND(G173/J173,2),"")))</x:f>
      </x:c>
      <x:c r="L173" s="31" t="str"/>
      <x:c r="M173" s="26" t="str"/>
      <x:c r="N173" s="26" t="str">
        <x:v>Incluir</x:v>
      </x:c>
      <x:c r="O173" s="22" t="str"/>
      <x:c r="P173" s="22" t="str"/>
      <x:c r="Q173" s="22" t="str">
        <x:f>IF(B173="","",IF(C173="","Falta ID venta",IF(D173="ID no encontrado","ID venta inválido",IF(COUNTIFS('PAGOS'!$A$5:$A$504,A173,'PAGOS'!$B$5:$B$504,"&gt;0")&gt;1,"ID duplicado",IF(AND(L173&lt;&gt;"",COUNTIFS('PAGOS'!$L$5:$L$504,L173,'PAGOS'!$B$5:$B$504,B173,'PAGOS'!$F$5:$F$504,F173)&gt;1),"Referencia repetida",IF(N173&lt;&gt;"Incluir",N173,IF(NOT(ISNUMBER(K173)),"Falta equivalente","Aplicar")))))))</x:f>
      </x:c>
    </x:row>
    <x:row r="174" ht="25" customHeight="1">
      <x:c r="A174" s="22" t="str">
        <x:v>P-170</x:v>
      </x:c>
      <x:c r="B174" s="25" t="str"/>
      <x:c r="C174" s="26" t="str"/>
      <x:c r="D174" s="22" t="str">
        <x:f>IF(C174="","",IF(COUNTIFS('VENTAS'!$A$5:$A$254,C174,'VENTAS'!$C$5:$C$254,"&lt;&gt;")=1,INDEX('VENTAS'!$C$5:$C$254,MATCH(C174,'VENTAS'!$A$5:$A$254,0)),"ID no encontrado"))</x:f>
      </x:c>
      <x:c r="E174" s="22" t="str">
        <x:f>IF(C174="","",IF(COUNTIFS('VENTAS'!$A$5:$A$254,C174,'VENTAS'!$C$5:$C$254,"&lt;&gt;")=1,INDEX('VENTAS'!$D$5:$D$254,MATCH(C174,'VENTAS'!$A$5:$A$254,0)),"ID no encontrado"))</x:f>
      </x:c>
      <x:c r="F174" s="26" t="str"/>
      <x:c r="G174" s="27" t="str"/>
      <x:c r="H174" s="27" t="str"/>
      <x:c r="I174" s="26" t="str"/>
      <x:c r="J174" s="30" t="str"/>
      <x:c r="K174" s="28" t="str">
        <x:f>IF(B174="","",IF(ISNUMBER(H174),H174,IF(AND(ISNUMBER(G174),ISNUMBER(J174),J174&gt;0),ROUND(G174/J174,2),"")))</x:f>
      </x:c>
      <x:c r="L174" s="31" t="str"/>
      <x:c r="M174" s="26" t="str"/>
      <x:c r="N174" s="26" t="str">
        <x:v>Incluir</x:v>
      </x:c>
      <x:c r="O174" s="22" t="str"/>
      <x:c r="P174" s="22" t="str"/>
      <x:c r="Q174" s="22" t="str">
        <x:f>IF(B174="","",IF(C174="","Falta ID venta",IF(D174="ID no encontrado","ID venta inválido",IF(COUNTIFS('PAGOS'!$A$5:$A$504,A174,'PAGOS'!$B$5:$B$504,"&gt;0")&gt;1,"ID duplicado",IF(AND(L174&lt;&gt;"",COUNTIFS('PAGOS'!$L$5:$L$504,L174,'PAGOS'!$B$5:$B$504,B174,'PAGOS'!$F$5:$F$504,F174)&gt;1),"Referencia repetida",IF(N174&lt;&gt;"Incluir",N174,IF(NOT(ISNUMBER(K174)),"Falta equivalente","Aplicar")))))))</x:f>
      </x:c>
    </x:row>
    <x:row r="175" ht="25" customHeight="1">
      <x:c r="A175" s="22" t="str">
        <x:v>P-171</x:v>
      </x:c>
      <x:c r="B175" s="25" t="str"/>
      <x:c r="C175" s="26" t="str"/>
      <x:c r="D175" s="22" t="str">
        <x:f>IF(C175="","",IF(COUNTIFS('VENTAS'!$A$5:$A$254,C175,'VENTAS'!$C$5:$C$254,"&lt;&gt;")=1,INDEX('VENTAS'!$C$5:$C$254,MATCH(C175,'VENTAS'!$A$5:$A$254,0)),"ID no encontrado"))</x:f>
      </x:c>
      <x:c r="E175" s="22" t="str">
        <x:f>IF(C175="","",IF(COUNTIFS('VENTAS'!$A$5:$A$254,C175,'VENTAS'!$C$5:$C$254,"&lt;&gt;")=1,INDEX('VENTAS'!$D$5:$D$254,MATCH(C175,'VENTAS'!$A$5:$A$254,0)),"ID no encontrado"))</x:f>
      </x:c>
      <x:c r="F175" s="26" t="str"/>
      <x:c r="G175" s="27" t="str"/>
      <x:c r="H175" s="27" t="str"/>
      <x:c r="I175" s="26" t="str"/>
      <x:c r="J175" s="30" t="str"/>
      <x:c r="K175" s="28" t="str">
        <x:f>IF(B175="","",IF(ISNUMBER(H175),H175,IF(AND(ISNUMBER(G175),ISNUMBER(J175),J175&gt;0),ROUND(G175/J175,2),"")))</x:f>
      </x:c>
      <x:c r="L175" s="31" t="str"/>
      <x:c r="M175" s="26" t="str"/>
      <x:c r="N175" s="26" t="str">
        <x:v>Incluir</x:v>
      </x:c>
      <x:c r="O175" s="22" t="str"/>
      <x:c r="P175" s="22" t="str"/>
      <x:c r="Q175" s="22" t="str">
        <x:f>IF(B175="","",IF(C175="","Falta ID venta",IF(D175="ID no encontrado","ID venta inválido",IF(COUNTIFS('PAGOS'!$A$5:$A$504,A175,'PAGOS'!$B$5:$B$504,"&gt;0")&gt;1,"ID duplicado",IF(AND(L175&lt;&gt;"",COUNTIFS('PAGOS'!$L$5:$L$504,L175,'PAGOS'!$B$5:$B$504,B175,'PAGOS'!$F$5:$F$504,F175)&gt;1),"Referencia repetida",IF(N175&lt;&gt;"Incluir",N175,IF(NOT(ISNUMBER(K175)),"Falta equivalente","Aplicar")))))))</x:f>
      </x:c>
    </x:row>
    <x:row r="176" ht="25" customHeight="1">
      <x:c r="A176" s="22" t="str">
        <x:v>P-172</x:v>
      </x:c>
      <x:c r="B176" s="25" t="str"/>
      <x:c r="C176" s="26" t="str"/>
      <x:c r="D176" s="22" t="str">
        <x:f>IF(C176="","",IF(COUNTIFS('VENTAS'!$A$5:$A$254,C176,'VENTAS'!$C$5:$C$254,"&lt;&gt;")=1,INDEX('VENTAS'!$C$5:$C$254,MATCH(C176,'VENTAS'!$A$5:$A$254,0)),"ID no encontrado"))</x:f>
      </x:c>
      <x:c r="E176" s="22" t="str">
        <x:f>IF(C176="","",IF(COUNTIFS('VENTAS'!$A$5:$A$254,C176,'VENTAS'!$C$5:$C$254,"&lt;&gt;")=1,INDEX('VENTAS'!$D$5:$D$254,MATCH(C176,'VENTAS'!$A$5:$A$254,0)),"ID no encontrado"))</x:f>
      </x:c>
      <x:c r="F176" s="26" t="str"/>
      <x:c r="G176" s="27" t="str"/>
      <x:c r="H176" s="27" t="str"/>
      <x:c r="I176" s="26" t="str"/>
      <x:c r="J176" s="30" t="str"/>
      <x:c r="K176" s="28" t="str">
        <x:f>IF(B176="","",IF(ISNUMBER(H176),H176,IF(AND(ISNUMBER(G176),ISNUMBER(J176),J176&gt;0),ROUND(G176/J176,2),"")))</x:f>
      </x:c>
      <x:c r="L176" s="31" t="str"/>
      <x:c r="M176" s="26" t="str"/>
      <x:c r="N176" s="26" t="str">
        <x:v>Incluir</x:v>
      </x:c>
      <x:c r="O176" s="22" t="str"/>
      <x:c r="P176" s="22" t="str"/>
      <x:c r="Q176" s="22" t="str">
        <x:f>IF(B176="","",IF(C176="","Falta ID venta",IF(D176="ID no encontrado","ID venta inválido",IF(COUNTIFS('PAGOS'!$A$5:$A$504,A176,'PAGOS'!$B$5:$B$504,"&gt;0")&gt;1,"ID duplicado",IF(AND(L176&lt;&gt;"",COUNTIFS('PAGOS'!$L$5:$L$504,L176,'PAGOS'!$B$5:$B$504,B176,'PAGOS'!$F$5:$F$504,F176)&gt;1),"Referencia repetida",IF(N176&lt;&gt;"Incluir",N176,IF(NOT(ISNUMBER(K176)),"Falta equivalente","Aplicar")))))))</x:f>
      </x:c>
    </x:row>
    <x:row r="177" ht="25" customHeight="1">
      <x:c r="A177" s="22" t="str">
        <x:v>P-173</x:v>
      </x:c>
      <x:c r="B177" s="25" t="str"/>
      <x:c r="C177" s="26" t="str"/>
      <x:c r="D177" s="22" t="str">
        <x:f>IF(C177="","",IF(COUNTIFS('VENTAS'!$A$5:$A$254,C177,'VENTAS'!$C$5:$C$254,"&lt;&gt;")=1,INDEX('VENTAS'!$C$5:$C$254,MATCH(C177,'VENTAS'!$A$5:$A$254,0)),"ID no encontrado"))</x:f>
      </x:c>
      <x:c r="E177" s="22" t="str">
        <x:f>IF(C177="","",IF(COUNTIFS('VENTAS'!$A$5:$A$254,C177,'VENTAS'!$C$5:$C$254,"&lt;&gt;")=1,INDEX('VENTAS'!$D$5:$D$254,MATCH(C177,'VENTAS'!$A$5:$A$254,0)),"ID no encontrado"))</x:f>
      </x:c>
      <x:c r="F177" s="26" t="str"/>
      <x:c r="G177" s="27" t="str"/>
      <x:c r="H177" s="27" t="str"/>
      <x:c r="I177" s="26" t="str"/>
      <x:c r="J177" s="30" t="str"/>
      <x:c r="K177" s="28" t="str">
        <x:f>IF(B177="","",IF(ISNUMBER(H177),H177,IF(AND(ISNUMBER(G177),ISNUMBER(J177),J177&gt;0),ROUND(G177/J177,2),"")))</x:f>
      </x:c>
      <x:c r="L177" s="31" t="str"/>
      <x:c r="M177" s="26" t="str"/>
      <x:c r="N177" s="26" t="str">
        <x:v>Incluir</x:v>
      </x:c>
      <x:c r="O177" s="22" t="str"/>
      <x:c r="P177" s="22" t="str"/>
      <x:c r="Q177" s="22" t="str">
        <x:f>IF(B177="","",IF(C177="","Falta ID venta",IF(D177="ID no encontrado","ID venta inválido",IF(COUNTIFS('PAGOS'!$A$5:$A$504,A177,'PAGOS'!$B$5:$B$504,"&gt;0")&gt;1,"ID duplicado",IF(AND(L177&lt;&gt;"",COUNTIFS('PAGOS'!$L$5:$L$504,L177,'PAGOS'!$B$5:$B$504,B177,'PAGOS'!$F$5:$F$504,F177)&gt;1),"Referencia repetida",IF(N177&lt;&gt;"Incluir",N177,IF(NOT(ISNUMBER(K177)),"Falta equivalente","Aplicar")))))))</x:f>
      </x:c>
    </x:row>
    <x:row r="178" ht="25" customHeight="1">
      <x:c r="A178" s="22" t="str">
        <x:v>P-174</x:v>
      </x:c>
      <x:c r="B178" s="25" t="str"/>
      <x:c r="C178" s="26" t="str"/>
      <x:c r="D178" s="22" t="str">
        <x:f>IF(C178="","",IF(COUNTIFS('VENTAS'!$A$5:$A$254,C178,'VENTAS'!$C$5:$C$254,"&lt;&gt;")=1,INDEX('VENTAS'!$C$5:$C$254,MATCH(C178,'VENTAS'!$A$5:$A$254,0)),"ID no encontrado"))</x:f>
      </x:c>
      <x:c r="E178" s="22" t="str">
        <x:f>IF(C178="","",IF(COUNTIFS('VENTAS'!$A$5:$A$254,C178,'VENTAS'!$C$5:$C$254,"&lt;&gt;")=1,INDEX('VENTAS'!$D$5:$D$254,MATCH(C178,'VENTAS'!$A$5:$A$254,0)),"ID no encontrado"))</x:f>
      </x:c>
      <x:c r="F178" s="26" t="str"/>
      <x:c r="G178" s="27" t="str"/>
      <x:c r="H178" s="27" t="str"/>
      <x:c r="I178" s="26" t="str"/>
      <x:c r="J178" s="30" t="str"/>
      <x:c r="K178" s="28" t="str">
        <x:f>IF(B178="","",IF(ISNUMBER(H178),H178,IF(AND(ISNUMBER(G178),ISNUMBER(J178),J178&gt;0),ROUND(G178/J178,2),"")))</x:f>
      </x:c>
      <x:c r="L178" s="31" t="str"/>
      <x:c r="M178" s="26" t="str"/>
      <x:c r="N178" s="26" t="str">
        <x:v>Incluir</x:v>
      </x:c>
      <x:c r="O178" s="22" t="str"/>
      <x:c r="P178" s="22" t="str"/>
      <x:c r="Q178" s="22" t="str">
        <x:f>IF(B178="","",IF(C178="","Falta ID venta",IF(D178="ID no encontrado","ID venta inválido",IF(COUNTIFS('PAGOS'!$A$5:$A$504,A178,'PAGOS'!$B$5:$B$504,"&gt;0")&gt;1,"ID duplicado",IF(AND(L178&lt;&gt;"",COUNTIFS('PAGOS'!$L$5:$L$504,L178,'PAGOS'!$B$5:$B$504,B178,'PAGOS'!$F$5:$F$504,F178)&gt;1),"Referencia repetida",IF(N178&lt;&gt;"Incluir",N178,IF(NOT(ISNUMBER(K178)),"Falta equivalente","Aplicar")))))))</x:f>
      </x:c>
    </x:row>
    <x:row r="179" ht="25" customHeight="1">
      <x:c r="A179" s="22" t="str">
        <x:v>P-175</x:v>
      </x:c>
      <x:c r="B179" s="25" t="str"/>
      <x:c r="C179" s="26" t="str"/>
      <x:c r="D179" s="22" t="str">
        <x:f>IF(C179="","",IF(COUNTIFS('VENTAS'!$A$5:$A$254,C179,'VENTAS'!$C$5:$C$254,"&lt;&gt;")=1,INDEX('VENTAS'!$C$5:$C$254,MATCH(C179,'VENTAS'!$A$5:$A$254,0)),"ID no encontrado"))</x:f>
      </x:c>
      <x:c r="E179" s="22" t="str">
        <x:f>IF(C179="","",IF(COUNTIFS('VENTAS'!$A$5:$A$254,C179,'VENTAS'!$C$5:$C$254,"&lt;&gt;")=1,INDEX('VENTAS'!$D$5:$D$254,MATCH(C179,'VENTAS'!$A$5:$A$254,0)),"ID no encontrado"))</x:f>
      </x:c>
      <x:c r="F179" s="26" t="str"/>
      <x:c r="G179" s="27" t="str"/>
      <x:c r="H179" s="27" t="str"/>
      <x:c r="I179" s="26" t="str"/>
      <x:c r="J179" s="30" t="str"/>
      <x:c r="K179" s="28" t="str">
        <x:f>IF(B179="","",IF(ISNUMBER(H179),H179,IF(AND(ISNUMBER(G179),ISNUMBER(J179),J179&gt;0),ROUND(G179/J179,2),"")))</x:f>
      </x:c>
      <x:c r="L179" s="31" t="str"/>
      <x:c r="M179" s="26" t="str"/>
      <x:c r="N179" s="26" t="str">
        <x:v>Incluir</x:v>
      </x:c>
      <x:c r="O179" s="22" t="str"/>
      <x:c r="P179" s="22" t="str"/>
      <x:c r="Q179" s="22" t="str">
        <x:f>IF(B179="","",IF(C179="","Falta ID venta",IF(D179="ID no encontrado","ID venta inválido",IF(COUNTIFS('PAGOS'!$A$5:$A$504,A179,'PAGOS'!$B$5:$B$504,"&gt;0")&gt;1,"ID duplicado",IF(AND(L179&lt;&gt;"",COUNTIFS('PAGOS'!$L$5:$L$504,L179,'PAGOS'!$B$5:$B$504,B179,'PAGOS'!$F$5:$F$504,F179)&gt;1),"Referencia repetida",IF(N179&lt;&gt;"Incluir",N179,IF(NOT(ISNUMBER(K179)),"Falta equivalente","Aplicar")))))))</x:f>
      </x:c>
    </x:row>
    <x:row r="180" ht="25" customHeight="1">
      <x:c r="A180" s="22" t="str">
        <x:v>P-176</x:v>
      </x:c>
      <x:c r="B180" s="25"/>
      <x:c r="C180" s="26"/>
      <x:c r="D180" s="22" t="str">
        <x:f>IF(C180="","",IF(COUNTIFS('VENTAS'!$A$5:$A$254,C180,'VENTAS'!$C$5:$C$254,"&lt;&gt;")=1,INDEX('VENTAS'!$C$5:$C$254,MATCH(C180,'VENTAS'!$A$5:$A$254,0)),"ID no encontrado"))</x:f>
      </x:c>
      <x:c r="E180" s="22" t="str">
        <x:f>IF(C180="","",IF(COUNTIFS('VENTAS'!$A$5:$A$254,C180,'VENTAS'!$C$5:$C$254,"&lt;&gt;")=1,INDEX('VENTAS'!$D$5:$D$254,MATCH(C180,'VENTAS'!$A$5:$A$254,0)),"ID no encontrado"))</x:f>
      </x:c>
      <x:c r="F180" s="26" t="str"/>
      <x:c r="G180" s="27"/>
      <x:c r="H180" s="27"/>
      <x:c r="I180" s="26" t="str"/>
      <x:c r="J180" s="30"/>
      <x:c r="K180" s="28" t="str">
        <x:f>IF(B180="","",IF(ISNUMBER(H180),H180,IF(AND(ISNUMBER(G180),ISNUMBER(J180),J180&gt;0),ROUND(G180/J180,2),"")))</x:f>
      </x:c>
      <x:c r="L180" s="31" t="str"/>
      <x:c r="M180" s="26" t="str"/>
      <x:c r="N180" s="26" t="str">
        <x:v>Incluir</x:v>
      </x:c>
      <x:c r="O180" s="22" t="str"/>
      <x:c r="P180" s="22" t="str"/>
      <x:c r="Q180" s="22" t="str">
        <x:f>IF(B180="","",IF(C180="","Falta ID venta",IF(D180="ID no encontrado","ID venta inválido",IF(COUNTIFS('PAGOS'!$A$5:$A$504,A180,'PAGOS'!$B$5:$B$504,"&gt;0")&gt;1,"ID duplicado",IF(AND(L180&lt;&gt;"",COUNTIFS('PAGOS'!$L$5:$L$504,L180,'PAGOS'!$B$5:$B$504,B180,'PAGOS'!$F$5:$F$504,F180)&gt;1),"Referencia repetida",IF(N180&lt;&gt;"Incluir",N180,IF(NOT(ISNUMBER(K180)),"Falta equivalente","Aplicar")))))))</x:f>
      </x:c>
    </x:row>
    <x:row r="181" ht="25" customHeight="1">
      <x:c r="A181" s="22" t="str">
        <x:v>P-177</x:v>
      </x:c>
      <x:c r="B181" s="25" t="str"/>
      <x:c r="C181" s="26" t="str"/>
      <x:c r="D181" s="22" t="str">
        <x:f>IF(C181="","",IF(COUNTIFS('VENTAS'!$A$5:$A$254,C181,'VENTAS'!$C$5:$C$254,"&lt;&gt;")=1,INDEX('VENTAS'!$C$5:$C$254,MATCH(C181,'VENTAS'!$A$5:$A$254,0)),"ID no encontrado"))</x:f>
      </x:c>
      <x:c r="E181" s="22" t="str">
        <x:f>IF(C181="","",IF(COUNTIFS('VENTAS'!$A$5:$A$254,C181,'VENTAS'!$C$5:$C$254,"&lt;&gt;")=1,INDEX('VENTAS'!$D$5:$D$254,MATCH(C181,'VENTAS'!$A$5:$A$254,0)),"ID no encontrado"))</x:f>
      </x:c>
      <x:c r="F181" s="26" t="str"/>
      <x:c r="G181" s="27" t="str"/>
      <x:c r="H181" s="27" t="str"/>
      <x:c r="I181" s="26" t="str"/>
      <x:c r="J181" s="30" t="str"/>
      <x:c r="K181" s="28" t="str">
        <x:f>IF(B181="","",IF(ISNUMBER(H181),H181,IF(AND(ISNUMBER(G181),ISNUMBER(J181),J181&gt;0),ROUND(G181/J181,2),"")))</x:f>
      </x:c>
      <x:c r="L181" s="31" t="str"/>
      <x:c r="M181" s="26" t="str"/>
      <x:c r="N181" s="26" t="str">
        <x:v>Incluir</x:v>
      </x:c>
      <x:c r="O181" s="22" t="str"/>
      <x:c r="P181" s="22" t="str"/>
      <x:c r="Q181" s="22" t="str">
        <x:f>IF(B181="","",IF(C181="","Falta ID venta",IF(D181="ID no encontrado","ID venta inválido",IF(COUNTIFS('PAGOS'!$A$5:$A$504,A181,'PAGOS'!$B$5:$B$504,"&gt;0")&gt;1,"ID duplicado",IF(AND(L181&lt;&gt;"",COUNTIFS('PAGOS'!$L$5:$L$504,L181,'PAGOS'!$B$5:$B$504,B181,'PAGOS'!$F$5:$F$504,F181)&gt;1),"Referencia repetida",IF(N181&lt;&gt;"Incluir",N181,IF(NOT(ISNUMBER(K181)),"Falta equivalente","Aplicar")))))))</x:f>
      </x:c>
    </x:row>
    <x:row r="182" ht="25" customHeight="1">
      <x:c r="A182" s="22" t="str">
        <x:v>P-178</x:v>
      </x:c>
      <x:c r="B182" s="25" t="str"/>
      <x:c r="C182" s="26" t="str"/>
      <x:c r="D182" s="22" t="str">
        <x:f>IF(C182="","",IF(COUNTIFS('VENTAS'!$A$5:$A$254,C182,'VENTAS'!$C$5:$C$254,"&lt;&gt;")=1,INDEX('VENTAS'!$C$5:$C$254,MATCH(C182,'VENTAS'!$A$5:$A$254,0)),"ID no encontrado"))</x:f>
      </x:c>
      <x:c r="E182" s="22" t="str">
        <x:f>IF(C182="","",IF(COUNTIFS('VENTAS'!$A$5:$A$254,C182,'VENTAS'!$C$5:$C$254,"&lt;&gt;")=1,INDEX('VENTAS'!$D$5:$D$254,MATCH(C182,'VENTAS'!$A$5:$A$254,0)),"ID no encontrado"))</x:f>
      </x:c>
      <x:c r="F182" s="26" t="str"/>
      <x:c r="G182" s="27" t="str"/>
      <x:c r="H182" s="27" t="str"/>
      <x:c r="I182" s="26" t="str"/>
      <x:c r="J182" s="30" t="str"/>
      <x:c r="K182" s="28" t="str">
        <x:f>IF(B182="","",IF(ISNUMBER(H182),H182,IF(AND(ISNUMBER(G182),ISNUMBER(J182),J182&gt;0),ROUND(G182/J182,2),"")))</x:f>
      </x:c>
      <x:c r="L182" s="31" t="str"/>
      <x:c r="M182" s="26" t="str"/>
      <x:c r="N182" s="26" t="str">
        <x:v>Incluir</x:v>
      </x:c>
      <x:c r="O182" s="22" t="str"/>
      <x:c r="P182" s="22" t="str"/>
      <x:c r="Q182" s="22" t="str">
        <x:f>IF(B182="","",IF(C182="","Falta ID venta",IF(D182="ID no encontrado","ID venta inválido",IF(COUNTIFS('PAGOS'!$A$5:$A$504,A182,'PAGOS'!$B$5:$B$504,"&gt;0")&gt;1,"ID duplicado",IF(AND(L182&lt;&gt;"",COUNTIFS('PAGOS'!$L$5:$L$504,L182,'PAGOS'!$B$5:$B$504,B182,'PAGOS'!$F$5:$F$504,F182)&gt;1),"Referencia repetida",IF(N182&lt;&gt;"Incluir",N182,IF(NOT(ISNUMBER(K182)),"Falta equivalente","Aplicar")))))))</x:f>
      </x:c>
    </x:row>
    <x:row r="183" ht="25" customHeight="1">
      <x:c r="A183" s="22" t="str">
        <x:v>P-179</x:v>
      </x:c>
      <x:c r="B183" s="25" t="str"/>
      <x:c r="C183" s="26" t="str"/>
      <x:c r="D183" s="22" t="str">
        <x:f>IF(C183="","",IF(COUNTIFS('VENTAS'!$A$5:$A$254,C183,'VENTAS'!$C$5:$C$254,"&lt;&gt;")=1,INDEX('VENTAS'!$C$5:$C$254,MATCH(C183,'VENTAS'!$A$5:$A$254,0)),"ID no encontrado"))</x:f>
      </x:c>
      <x:c r="E183" s="22" t="str">
        <x:f>IF(C183="","",IF(COUNTIFS('VENTAS'!$A$5:$A$254,C183,'VENTAS'!$C$5:$C$254,"&lt;&gt;")=1,INDEX('VENTAS'!$D$5:$D$254,MATCH(C183,'VENTAS'!$A$5:$A$254,0)),"ID no encontrado"))</x:f>
      </x:c>
      <x:c r="F183" s="26" t="str"/>
      <x:c r="G183" s="27" t="str"/>
      <x:c r="H183" s="27" t="str"/>
      <x:c r="I183" s="26" t="str"/>
      <x:c r="J183" s="30" t="str"/>
      <x:c r="K183" s="28" t="str">
        <x:f>IF(B183="","",IF(ISNUMBER(H183),H183,IF(AND(ISNUMBER(G183),ISNUMBER(J183),J183&gt;0),ROUND(G183/J183,2),"")))</x:f>
      </x:c>
      <x:c r="L183" s="31" t="str"/>
      <x:c r="M183" s="26" t="str"/>
      <x:c r="N183" s="26" t="str">
        <x:v>Incluir</x:v>
      </x:c>
      <x:c r="O183" s="22" t="str"/>
      <x:c r="P183" s="22" t="str"/>
      <x:c r="Q183" s="22" t="str">
        <x:f>IF(B183="","",IF(C183="","Falta ID venta",IF(D183="ID no encontrado","ID venta inválido",IF(COUNTIFS('PAGOS'!$A$5:$A$504,A183,'PAGOS'!$B$5:$B$504,"&gt;0")&gt;1,"ID duplicado",IF(AND(L183&lt;&gt;"",COUNTIFS('PAGOS'!$L$5:$L$504,L183,'PAGOS'!$B$5:$B$504,B183,'PAGOS'!$F$5:$F$504,F183)&gt;1),"Referencia repetida",IF(N183&lt;&gt;"Incluir",N183,IF(NOT(ISNUMBER(K183)),"Falta equivalente","Aplicar")))))))</x:f>
      </x:c>
    </x:row>
    <x:row r="184" ht="25" customHeight="1">
      <x:c r="A184" s="22" t="str">
        <x:v>P-180</x:v>
      </x:c>
      <x:c r="B184" s="25" t="str"/>
      <x:c r="C184" s="26" t="str"/>
      <x:c r="D184" s="22" t="str">
        <x:f>IF(C184="","",IF(COUNTIFS('VENTAS'!$A$5:$A$254,C184,'VENTAS'!$C$5:$C$254,"&lt;&gt;")=1,INDEX('VENTAS'!$C$5:$C$254,MATCH(C184,'VENTAS'!$A$5:$A$254,0)),"ID no encontrado"))</x:f>
      </x:c>
      <x:c r="E184" s="22" t="str">
        <x:f>IF(C184="","",IF(COUNTIFS('VENTAS'!$A$5:$A$254,C184,'VENTAS'!$C$5:$C$254,"&lt;&gt;")=1,INDEX('VENTAS'!$D$5:$D$254,MATCH(C184,'VENTAS'!$A$5:$A$254,0)),"ID no encontrado"))</x:f>
      </x:c>
      <x:c r="F184" s="26" t="str"/>
      <x:c r="G184" s="27" t="str"/>
      <x:c r="H184" s="27" t="str"/>
      <x:c r="I184" s="26" t="str"/>
      <x:c r="J184" s="30" t="str"/>
      <x:c r="K184" s="28" t="str">
        <x:f>IF(B184="","",IF(ISNUMBER(H184),H184,IF(AND(ISNUMBER(G184),ISNUMBER(J184),J184&gt;0),ROUND(G184/J184,2),"")))</x:f>
      </x:c>
      <x:c r="L184" s="31" t="str"/>
      <x:c r="M184" s="26" t="str"/>
      <x:c r="N184" s="26" t="str">
        <x:v>Incluir</x:v>
      </x:c>
      <x:c r="O184" s="22" t="str"/>
      <x:c r="P184" s="22" t="str"/>
      <x:c r="Q184" s="22" t="str">
        <x:f>IF(B184="","",IF(C184="","Falta ID venta",IF(D184="ID no encontrado","ID venta inválido",IF(COUNTIFS('PAGOS'!$A$5:$A$504,A184,'PAGOS'!$B$5:$B$504,"&gt;0")&gt;1,"ID duplicado",IF(AND(L184&lt;&gt;"",COUNTIFS('PAGOS'!$L$5:$L$504,L184,'PAGOS'!$B$5:$B$504,B184,'PAGOS'!$F$5:$F$504,F184)&gt;1),"Referencia repetida",IF(N184&lt;&gt;"Incluir",N184,IF(NOT(ISNUMBER(K184)),"Falta equivalente","Aplicar")))))))</x:f>
      </x:c>
    </x:row>
    <x:row r="185" ht="25" customHeight="1">
      <x:c r="A185" s="22" t="str">
        <x:v>P-181</x:v>
      </x:c>
      <x:c r="B185" s="25" t="str"/>
      <x:c r="C185" s="26" t="str"/>
      <x:c r="D185" s="22" t="str">
        <x:f>IF(C185="","",IF(COUNTIFS('VENTAS'!$A$5:$A$254,C185,'VENTAS'!$C$5:$C$254,"&lt;&gt;")=1,INDEX('VENTAS'!$C$5:$C$254,MATCH(C185,'VENTAS'!$A$5:$A$254,0)),"ID no encontrado"))</x:f>
      </x:c>
      <x:c r="E185" s="22" t="str">
        <x:f>IF(C185="","",IF(COUNTIFS('VENTAS'!$A$5:$A$254,C185,'VENTAS'!$C$5:$C$254,"&lt;&gt;")=1,INDEX('VENTAS'!$D$5:$D$254,MATCH(C185,'VENTAS'!$A$5:$A$254,0)),"ID no encontrado"))</x:f>
      </x:c>
      <x:c r="F185" s="26" t="str"/>
      <x:c r="G185" s="27" t="str"/>
      <x:c r="H185" s="27" t="str"/>
      <x:c r="I185" s="26" t="str"/>
      <x:c r="J185" s="30" t="str"/>
      <x:c r="K185" s="28" t="str">
        <x:f>IF(B185="","",IF(ISNUMBER(H185),H185,IF(AND(ISNUMBER(G185),ISNUMBER(J185),J185&gt;0),ROUND(G185/J185,2),"")))</x:f>
      </x:c>
      <x:c r="L185" s="31" t="str"/>
      <x:c r="M185" s="26" t="str"/>
      <x:c r="N185" s="26" t="str">
        <x:v>Incluir</x:v>
      </x:c>
      <x:c r="O185" s="22" t="str"/>
      <x:c r="P185" s="22" t="str"/>
      <x:c r="Q185" s="22" t="str">
        <x:f>IF(B185="","",IF(C185="","Falta ID venta",IF(D185="ID no encontrado","ID venta inválido",IF(COUNTIFS('PAGOS'!$A$5:$A$504,A185,'PAGOS'!$B$5:$B$504,"&gt;0")&gt;1,"ID duplicado",IF(AND(L185&lt;&gt;"",COUNTIFS('PAGOS'!$L$5:$L$504,L185,'PAGOS'!$B$5:$B$504,B185,'PAGOS'!$F$5:$F$504,F185)&gt;1),"Referencia repetida",IF(N185&lt;&gt;"Incluir",N185,IF(NOT(ISNUMBER(K185)),"Falta equivalente","Aplicar")))))))</x:f>
      </x:c>
    </x:row>
    <x:row r="186" ht="25" customHeight="1">
      <x:c r="A186" s="22" t="str">
        <x:v>P-182</x:v>
      </x:c>
      <x:c r="B186" s="25" t="str"/>
      <x:c r="C186" s="26" t="str"/>
      <x:c r="D186" s="22" t="str">
        <x:f>IF(C186="","",IF(COUNTIFS('VENTAS'!$A$5:$A$254,C186,'VENTAS'!$C$5:$C$254,"&lt;&gt;")=1,INDEX('VENTAS'!$C$5:$C$254,MATCH(C186,'VENTAS'!$A$5:$A$254,0)),"ID no encontrado"))</x:f>
      </x:c>
      <x:c r="E186" s="22" t="str">
        <x:f>IF(C186="","",IF(COUNTIFS('VENTAS'!$A$5:$A$254,C186,'VENTAS'!$C$5:$C$254,"&lt;&gt;")=1,INDEX('VENTAS'!$D$5:$D$254,MATCH(C186,'VENTAS'!$A$5:$A$254,0)),"ID no encontrado"))</x:f>
      </x:c>
      <x:c r="F186" s="26" t="str"/>
      <x:c r="G186" s="27" t="str"/>
      <x:c r="H186" s="27" t="str"/>
      <x:c r="I186" s="26" t="str"/>
      <x:c r="J186" s="30" t="str"/>
      <x:c r="K186" s="28" t="str">
        <x:f>IF(B186="","",IF(ISNUMBER(H186),H186,IF(AND(ISNUMBER(G186),ISNUMBER(J186),J186&gt;0),ROUND(G186/J186,2),"")))</x:f>
      </x:c>
      <x:c r="L186" s="31" t="str"/>
      <x:c r="M186" s="26" t="str"/>
      <x:c r="N186" s="26" t="str">
        <x:v>Incluir</x:v>
      </x:c>
      <x:c r="O186" s="22" t="str"/>
      <x:c r="P186" s="22" t="str"/>
      <x:c r="Q186" s="22" t="str">
        <x:f>IF(B186="","",IF(C186="","Falta ID venta",IF(D186="ID no encontrado","ID venta inválido",IF(COUNTIFS('PAGOS'!$A$5:$A$504,A186,'PAGOS'!$B$5:$B$504,"&gt;0")&gt;1,"ID duplicado",IF(AND(L186&lt;&gt;"",COUNTIFS('PAGOS'!$L$5:$L$504,L186,'PAGOS'!$B$5:$B$504,B186,'PAGOS'!$F$5:$F$504,F186)&gt;1),"Referencia repetida",IF(N186&lt;&gt;"Incluir",N186,IF(NOT(ISNUMBER(K186)),"Falta equivalente","Aplicar")))))))</x:f>
      </x:c>
    </x:row>
    <x:row r="187" ht="25" customHeight="1">
      <x:c r="A187" s="22" t="str">
        <x:v>P-183</x:v>
      </x:c>
      <x:c r="B187" s="25" t="str"/>
      <x:c r="C187" s="26" t="str"/>
      <x:c r="D187" s="22" t="str">
        <x:f>IF(C187="","",IF(COUNTIFS('VENTAS'!$A$5:$A$254,C187,'VENTAS'!$C$5:$C$254,"&lt;&gt;")=1,INDEX('VENTAS'!$C$5:$C$254,MATCH(C187,'VENTAS'!$A$5:$A$254,0)),"ID no encontrado"))</x:f>
      </x:c>
      <x:c r="E187" s="22" t="str">
        <x:f>IF(C187="","",IF(COUNTIFS('VENTAS'!$A$5:$A$254,C187,'VENTAS'!$C$5:$C$254,"&lt;&gt;")=1,INDEX('VENTAS'!$D$5:$D$254,MATCH(C187,'VENTAS'!$A$5:$A$254,0)),"ID no encontrado"))</x:f>
      </x:c>
      <x:c r="F187" s="26" t="str"/>
      <x:c r="G187" s="27" t="str"/>
      <x:c r="H187" s="27" t="str"/>
      <x:c r="I187" s="26" t="str"/>
      <x:c r="J187" s="30" t="str"/>
      <x:c r="K187" s="28" t="str">
        <x:f>IF(B187="","",IF(ISNUMBER(H187),H187,IF(AND(ISNUMBER(G187),ISNUMBER(J187),J187&gt;0),ROUND(G187/J187,2),"")))</x:f>
      </x:c>
      <x:c r="L187" s="31" t="str"/>
      <x:c r="M187" s="26" t="str"/>
      <x:c r="N187" s="26" t="str">
        <x:v>Incluir</x:v>
      </x:c>
      <x:c r="O187" s="22" t="str"/>
      <x:c r="P187" s="22" t="str"/>
      <x:c r="Q187" s="22" t="str">
        <x:f>IF(B187="","",IF(C187="","Falta ID venta",IF(D187="ID no encontrado","ID venta inválido",IF(COUNTIFS('PAGOS'!$A$5:$A$504,A187,'PAGOS'!$B$5:$B$504,"&gt;0")&gt;1,"ID duplicado",IF(AND(L187&lt;&gt;"",COUNTIFS('PAGOS'!$L$5:$L$504,L187,'PAGOS'!$B$5:$B$504,B187,'PAGOS'!$F$5:$F$504,F187)&gt;1),"Referencia repetida",IF(N187&lt;&gt;"Incluir",N187,IF(NOT(ISNUMBER(K187)),"Falta equivalente","Aplicar")))))))</x:f>
      </x:c>
    </x:row>
    <x:row r="188" ht="25" customHeight="1">
      <x:c r="A188" s="22" t="str">
        <x:v>P-184</x:v>
      </x:c>
      <x:c r="B188" s="25" t="str"/>
      <x:c r="C188" s="26" t="str"/>
      <x:c r="D188" s="22" t="str">
        <x:f>IF(C188="","",IF(COUNTIFS('VENTAS'!$A$5:$A$254,C188,'VENTAS'!$C$5:$C$254,"&lt;&gt;")=1,INDEX('VENTAS'!$C$5:$C$254,MATCH(C188,'VENTAS'!$A$5:$A$254,0)),"ID no encontrado"))</x:f>
      </x:c>
      <x:c r="E188" s="22" t="str">
        <x:f>IF(C188="","",IF(COUNTIFS('VENTAS'!$A$5:$A$254,C188,'VENTAS'!$C$5:$C$254,"&lt;&gt;")=1,INDEX('VENTAS'!$D$5:$D$254,MATCH(C188,'VENTAS'!$A$5:$A$254,0)),"ID no encontrado"))</x:f>
      </x:c>
      <x:c r="F188" s="26" t="str"/>
      <x:c r="G188" s="27" t="str"/>
      <x:c r="H188" s="27" t="str"/>
      <x:c r="I188" s="26" t="str"/>
      <x:c r="J188" s="30" t="str"/>
      <x:c r="K188" s="28" t="str">
        <x:f>IF(B188="","",IF(ISNUMBER(H188),H188,IF(AND(ISNUMBER(G188),ISNUMBER(J188),J188&gt;0),ROUND(G188/J188,2),"")))</x:f>
      </x:c>
      <x:c r="L188" s="31" t="str"/>
      <x:c r="M188" s="26" t="str"/>
      <x:c r="N188" s="26" t="str">
        <x:v>Incluir</x:v>
      </x:c>
      <x:c r="O188" s="22" t="str"/>
      <x:c r="P188" s="22" t="str"/>
      <x:c r="Q188" s="22" t="str">
        <x:f>IF(B188="","",IF(C188="","Falta ID venta",IF(D188="ID no encontrado","ID venta inválido",IF(COUNTIFS('PAGOS'!$A$5:$A$504,A188,'PAGOS'!$B$5:$B$504,"&gt;0")&gt;1,"ID duplicado",IF(AND(L188&lt;&gt;"",COUNTIFS('PAGOS'!$L$5:$L$504,L188,'PAGOS'!$B$5:$B$504,B188,'PAGOS'!$F$5:$F$504,F188)&gt;1),"Referencia repetida",IF(N188&lt;&gt;"Incluir",N188,IF(NOT(ISNUMBER(K188)),"Falta equivalente","Aplicar")))))))</x:f>
      </x:c>
    </x:row>
    <x:row r="189" ht="25" customHeight="1">
      <x:c r="A189" s="22" t="str">
        <x:v>P-185</x:v>
      </x:c>
      <x:c r="B189" s="25" t="str"/>
      <x:c r="C189" s="26" t="str"/>
      <x:c r="D189" s="22" t="str">
        <x:f>IF(C189="","",IF(COUNTIFS('VENTAS'!$A$5:$A$254,C189,'VENTAS'!$C$5:$C$254,"&lt;&gt;")=1,INDEX('VENTAS'!$C$5:$C$254,MATCH(C189,'VENTAS'!$A$5:$A$254,0)),"ID no encontrado"))</x:f>
      </x:c>
      <x:c r="E189" s="22" t="str">
        <x:f>IF(C189="","",IF(COUNTIFS('VENTAS'!$A$5:$A$254,C189,'VENTAS'!$C$5:$C$254,"&lt;&gt;")=1,INDEX('VENTAS'!$D$5:$D$254,MATCH(C189,'VENTAS'!$A$5:$A$254,0)),"ID no encontrado"))</x:f>
      </x:c>
      <x:c r="F189" s="26" t="str"/>
      <x:c r="G189" s="27" t="str"/>
      <x:c r="H189" s="27" t="str"/>
      <x:c r="I189" s="26" t="str"/>
      <x:c r="J189" s="30" t="str"/>
      <x:c r="K189" s="28" t="str">
        <x:f>IF(B189="","",IF(ISNUMBER(H189),H189,IF(AND(ISNUMBER(G189),ISNUMBER(J189),J189&gt;0),ROUND(G189/J189,2),"")))</x:f>
      </x:c>
      <x:c r="L189" s="31" t="str"/>
      <x:c r="M189" s="26" t="str"/>
      <x:c r="N189" s="26" t="str">
        <x:v>Incluir</x:v>
      </x:c>
      <x:c r="O189" s="22" t="str"/>
      <x:c r="P189" s="22" t="str"/>
      <x:c r="Q189" s="22" t="str">
        <x:f>IF(B189="","",IF(C189="","Falta ID venta",IF(D189="ID no encontrado","ID venta inválido",IF(COUNTIFS('PAGOS'!$A$5:$A$504,A189,'PAGOS'!$B$5:$B$504,"&gt;0")&gt;1,"ID duplicado",IF(AND(L189&lt;&gt;"",COUNTIFS('PAGOS'!$L$5:$L$504,L189,'PAGOS'!$B$5:$B$504,B189,'PAGOS'!$F$5:$F$504,F189)&gt;1),"Referencia repetida",IF(N189&lt;&gt;"Incluir",N189,IF(NOT(ISNUMBER(K189)),"Falta equivalente","Aplicar")))))))</x:f>
      </x:c>
    </x:row>
    <x:row r="190" ht="25" customHeight="1">
      <x:c r="A190" s="22" t="str">
        <x:v>P-186</x:v>
      </x:c>
      <x:c r="B190" s="25" t="str"/>
      <x:c r="C190" s="26" t="str"/>
      <x:c r="D190" s="22" t="str">
        <x:f>IF(C190="","",IF(COUNTIFS('VENTAS'!$A$5:$A$254,C190,'VENTAS'!$C$5:$C$254,"&lt;&gt;")=1,INDEX('VENTAS'!$C$5:$C$254,MATCH(C190,'VENTAS'!$A$5:$A$254,0)),"ID no encontrado"))</x:f>
      </x:c>
      <x:c r="E190" s="22" t="str">
        <x:f>IF(C190="","",IF(COUNTIFS('VENTAS'!$A$5:$A$254,C190,'VENTAS'!$C$5:$C$254,"&lt;&gt;")=1,INDEX('VENTAS'!$D$5:$D$254,MATCH(C190,'VENTAS'!$A$5:$A$254,0)),"ID no encontrado"))</x:f>
      </x:c>
      <x:c r="F190" s="26" t="str"/>
      <x:c r="G190" s="27" t="str"/>
      <x:c r="H190" s="27" t="str"/>
      <x:c r="I190" s="26" t="str"/>
      <x:c r="J190" s="30" t="str"/>
      <x:c r="K190" s="28" t="str">
        <x:f>IF(B190="","",IF(ISNUMBER(H190),H190,IF(AND(ISNUMBER(G190),ISNUMBER(J190),J190&gt;0),ROUND(G190/J190,2),"")))</x:f>
      </x:c>
      <x:c r="L190" s="31" t="str"/>
      <x:c r="M190" s="26" t="str"/>
      <x:c r="N190" s="26" t="str">
        <x:v>Incluir</x:v>
      </x:c>
      <x:c r="O190" s="22" t="str"/>
      <x:c r="P190" s="22" t="str"/>
      <x:c r="Q190" s="22" t="str">
        <x:f>IF(B190="","",IF(C190="","Falta ID venta",IF(D190="ID no encontrado","ID venta inválido",IF(COUNTIFS('PAGOS'!$A$5:$A$504,A190,'PAGOS'!$B$5:$B$504,"&gt;0")&gt;1,"ID duplicado",IF(AND(L190&lt;&gt;"",COUNTIFS('PAGOS'!$L$5:$L$504,L190,'PAGOS'!$B$5:$B$504,B190,'PAGOS'!$F$5:$F$504,F190)&gt;1),"Referencia repetida",IF(N190&lt;&gt;"Incluir",N190,IF(NOT(ISNUMBER(K190)),"Falta equivalente","Aplicar")))))))</x:f>
      </x:c>
    </x:row>
    <x:row r="191" ht="25" customHeight="1">
      <x:c r="A191" s="22" t="str">
        <x:v>P-187</x:v>
      </x:c>
      <x:c r="B191" s="25" t="str"/>
      <x:c r="C191" s="26" t="str"/>
      <x:c r="D191" s="22" t="str">
        <x:f>IF(C191="","",IF(COUNTIFS('VENTAS'!$A$5:$A$254,C191,'VENTAS'!$C$5:$C$254,"&lt;&gt;")=1,INDEX('VENTAS'!$C$5:$C$254,MATCH(C191,'VENTAS'!$A$5:$A$254,0)),"ID no encontrado"))</x:f>
      </x:c>
      <x:c r="E191" s="22" t="str">
        <x:f>IF(C191="","",IF(COUNTIFS('VENTAS'!$A$5:$A$254,C191,'VENTAS'!$C$5:$C$254,"&lt;&gt;")=1,INDEX('VENTAS'!$D$5:$D$254,MATCH(C191,'VENTAS'!$A$5:$A$254,0)),"ID no encontrado"))</x:f>
      </x:c>
      <x:c r="F191" s="26" t="str"/>
      <x:c r="G191" s="27" t="str"/>
      <x:c r="H191" s="27" t="str"/>
      <x:c r="I191" s="26" t="str"/>
      <x:c r="J191" s="30" t="str"/>
      <x:c r="K191" s="28" t="str">
        <x:f>IF(B191="","",IF(ISNUMBER(H191),H191,IF(AND(ISNUMBER(G191),ISNUMBER(J191),J191&gt;0),ROUND(G191/J191,2),"")))</x:f>
      </x:c>
      <x:c r="L191" s="31" t="str"/>
      <x:c r="M191" s="26" t="str"/>
      <x:c r="N191" s="26" t="str">
        <x:v>Incluir</x:v>
      </x:c>
      <x:c r="O191" s="22" t="str"/>
      <x:c r="P191" s="22" t="str"/>
      <x:c r="Q191" s="22" t="str">
        <x:f>IF(B191="","",IF(C191="","Falta ID venta",IF(D191="ID no encontrado","ID venta inválido",IF(COUNTIFS('PAGOS'!$A$5:$A$504,A191,'PAGOS'!$B$5:$B$504,"&gt;0")&gt;1,"ID duplicado",IF(AND(L191&lt;&gt;"",COUNTIFS('PAGOS'!$L$5:$L$504,L191,'PAGOS'!$B$5:$B$504,B191,'PAGOS'!$F$5:$F$504,F191)&gt;1),"Referencia repetida",IF(N191&lt;&gt;"Incluir",N191,IF(NOT(ISNUMBER(K191)),"Falta equivalente","Aplicar")))))))</x:f>
      </x:c>
    </x:row>
    <x:row r="192" ht="25" customHeight="1">
      <x:c r="A192" s="22" t="str">
        <x:v>P-188</x:v>
      </x:c>
      <x:c r="B192" s="25" t="str"/>
      <x:c r="C192" s="26" t="str"/>
      <x:c r="D192" s="22" t="str">
        <x:f>IF(C192="","",IF(COUNTIFS('VENTAS'!$A$5:$A$254,C192,'VENTAS'!$C$5:$C$254,"&lt;&gt;")=1,INDEX('VENTAS'!$C$5:$C$254,MATCH(C192,'VENTAS'!$A$5:$A$254,0)),"ID no encontrado"))</x:f>
      </x:c>
      <x:c r="E192" s="22" t="str">
        <x:f>IF(C192="","",IF(COUNTIFS('VENTAS'!$A$5:$A$254,C192,'VENTAS'!$C$5:$C$254,"&lt;&gt;")=1,INDEX('VENTAS'!$D$5:$D$254,MATCH(C192,'VENTAS'!$A$5:$A$254,0)),"ID no encontrado"))</x:f>
      </x:c>
      <x:c r="F192" s="26" t="str"/>
      <x:c r="G192" s="27" t="str"/>
      <x:c r="H192" s="27" t="str"/>
      <x:c r="I192" s="26" t="str"/>
      <x:c r="J192" s="30" t="str"/>
      <x:c r="K192" s="28" t="str">
        <x:f>IF(B192="","",IF(ISNUMBER(H192),H192,IF(AND(ISNUMBER(G192),ISNUMBER(J192),J192&gt;0),ROUND(G192/J192,2),"")))</x:f>
      </x:c>
      <x:c r="L192" s="31" t="str"/>
      <x:c r="M192" s="26" t="str"/>
      <x:c r="N192" s="26" t="str">
        <x:v>Incluir</x:v>
      </x:c>
      <x:c r="O192" s="22" t="str"/>
      <x:c r="P192" s="22" t="str"/>
      <x:c r="Q192" s="22" t="str">
        <x:f>IF(B192="","",IF(C192="","Falta ID venta",IF(D192="ID no encontrado","ID venta inválido",IF(COUNTIFS('PAGOS'!$A$5:$A$504,A192,'PAGOS'!$B$5:$B$504,"&gt;0")&gt;1,"ID duplicado",IF(AND(L192&lt;&gt;"",COUNTIFS('PAGOS'!$L$5:$L$504,L192,'PAGOS'!$B$5:$B$504,B192,'PAGOS'!$F$5:$F$504,F192)&gt;1),"Referencia repetida",IF(N192&lt;&gt;"Incluir",N192,IF(NOT(ISNUMBER(K192)),"Falta equivalente","Aplicar")))))))</x:f>
      </x:c>
    </x:row>
    <x:row r="193" ht="25" customHeight="1">
      <x:c r="A193" s="22" t="str">
        <x:v>P-189</x:v>
      </x:c>
      <x:c r="B193" s="25" t="str"/>
      <x:c r="C193" s="26" t="str"/>
      <x:c r="D193" s="22" t="str">
        <x:f>IF(C193="","",IF(COUNTIFS('VENTAS'!$A$5:$A$254,C193,'VENTAS'!$C$5:$C$254,"&lt;&gt;")=1,INDEX('VENTAS'!$C$5:$C$254,MATCH(C193,'VENTAS'!$A$5:$A$254,0)),"ID no encontrado"))</x:f>
      </x:c>
      <x:c r="E193" s="22" t="str">
        <x:f>IF(C193="","",IF(COUNTIFS('VENTAS'!$A$5:$A$254,C193,'VENTAS'!$C$5:$C$254,"&lt;&gt;")=1,INDEX('VENTAS'!$D$5:$D$254,MATCH(C193,'VENTAS'!$A$5:$A$254,0)),"ID no encontrado"))</x:f>
      </x:c>
      <x:c r="F193" s="26" t="str"/>
      <x:c r="G193" s="27" t="str"/>
      <x:c r="H193" s="27" t="str"/>
      <x:c r="I193" s="26" t="str"/>
      <x:c r="J193" s="30" t="str"/>
      <x:c r="K193" s="28" t="str">
        <x:f>IF(B193="","",IF(ISNUMBER(H193),H193,IF(AND(ISNUMBER(G193),ISNUMBER(J193),J193&gt;0),ROUND(G193/J193,2),"")))</x:f>
      </x:c>
      <x:c r="L193" s="31" t="str"/>
      <x:c r="M193" s="26" t="str"/>
      <x:c r="N193" s="26" t="str">
        <x:v>Incluir</x:v>
      </x:c>
      <x:c r="O193" s="22" t="str"/>
      <x:c r="P193" s="22" t="str"/>
      <x:c r="Q193" s="22" t="str">
        <x:f>IF(B193="","",IF(C193="","Falta ID venta",IF(D193="ID no encontrado","ID venta inválido",IF(COUNTIFS('PAGOS'!$A$5:$A$504,A193,'PAGOS'!$B$5:$B$504,"&gt;0")&gt;1,"ID duplicado",IF(AND(L193&lt;&gt;"",COUNTIFS('PAGOS'!$L$5:$L$504,L193,'PAGOS'!$B$5:$B$504,B193,'PAGOS'!$F$5:$F$504,F193)&gt;1),"Referencia repetida",IF(N193&lt;&gt;"Incluir",N193,IF(NOT(ISNUMBER(K193)),"Falta equivalente","Aplicar")))))))</x:f>
      </x:c>
    </x:row>
    <x:row r="194" ht="25" customHeight="1">
      <x:c r="A194" s="22" t="str">
        <x:v>P-190</x:v>
      </x:c>
      <x:c r="B194" s="25" t="str"/>
      <x:c r="C194" s="26" t="str"/>
      <x:c r="D194" s="22" t="str">
        <x:f>IF(C194="","",IF(COUNTIFS('VENTAS'!$A$5:$A$254,C194,'VENTAS'!$C$5:$C$254,"&lt;&gt;")=1,INDEX('VENTAS'!$C$5:$C$254,MATCH(C194,'VENTAS'!$A$5:$A$254,0)),"ID no encontrado"))</x:f>
      </x:c>
      <x:c r="E194" s="22" t="str">
        <x:f>IF(C194="","",IF(COUNTIFS('VENTAS'!$A$5:$A$254,C194,'VENTAS'!$C$5:$C$254,"&lt;&gt;")=1,INDEX('VENTAS'!$D$5:$D$254,MATCH(C194,'VENTAS'!$A$5:$A$254,0)),"ID no encontrado"))</x:f>
      </x:c>
      <x:c r="F194" s="26" t="str"/>
      <x:c r="G194" s="27" t="str"/>
      <x:c r="H194" s="27" t="str"/>
      <x:c r="I194" s="26" t="str"/>
      <x:c r="J194" s="30" t="str"/>
      <x:c r="K194" s="28" t="str">
        <x:f>IF(B194="","",IF(ISNUMBER(H194),H194,IF(AND(ISNUMBER(G194),ISNUMBER(J194),J194&gt;0),ROUND(G194/J194,2),"")))</x:f>
      </x:c>
      <x:c r="L194" s="31" t="str"/>
      <x:c r="M194" s="26" t="str"/>
      <x:c r="N194" s="26" t="str">
        <x:v>Incluir</x:v>
      </x:c>
      <x:c r="O194" s="22" t="str"/>
      <x:c r="P194" s="22" t="str"/>
      <x:c r="Q194" s="22" t="str">
        <x:f>IF(B194="","",IF(C194="","Falta ID venta",IF(D194="ID no encontrado","ID venta inválido",IF(COUNTIFS('PAGOS'!$A$5:$A$504,A194,'PAGOS'!$B$5:$B$504,"&gt;0")&gt;1,"ID duplicado",IF(AND(L194&lt;&gt;"",COUNTIFS('PAGOS'!$L$5:$L$504,L194,'PAGOS'!$B$5:$B$504,B194,'PAGOS'!$F$5:$F$504,F194)&gt;1),"Referencia repetida",IF(N194&lt;&gt;"Incluir",N194,IF(NOT(ISNUMBER(K194)),"Falta equivalente","Aplicar")))))))</x:f>
      </x:c>
    </x:row>
    <x:row r="195" ht="25" customHeight="1">
      <x:c r="A195" s="22" t="str">
        <x:v>P-191</x:v>
      </x:c>
      <x:c r="B195" s="25" t="str"/>
      <x:c r="C195" s="26" t="str"/>
      <x:c r="D195" s="22" t="str">
        <x:f>IF(C195="","",IF(COUNTIFS('VENTAS'!$A$5:$A$254,C195,'VENTAS'!$C$5:$C$254,"&lt;&gt;")=1,INDEX('VENTAS'!$C$5:$C$254,MATCH(C195,'VENTAS'!$A$5:$A$254,0)),"ID no encontrado"))</x:f>
      </x:c>
      <x:c r="E195" s="22" t="str">
        <x:f>IF(C195="","",IF(COUNTIFS('VENTAS'!$A$5:$A$254,C195,'VENTAS'!$C$5:$C$254,"&lt;&gt;")=1,INDEX('VENTAS'!$D$5:$D$254,MATCH(C195,'VENTAS'!$A$5:$A$254,0)),"ID no encontrado"))</x:f>
      </x:c>
      <x:c r="F195" s="26" t="str"/>
      <x:c r="G195" s="27" t="str"/>
      <x:c r="H195" s="27" t="str"/>
      <x:c r="I195" s="26" t="str"/>
      <x:c r="J195" s="30" t="str"/>
      <x:c r="K195" s="28" t="str">
        <x:f>IF(B195="","",IF(ISNUMBER(H195),H195,IF(AND(ISNUMBER(G195),ISNUMBER(J195),J195&gt;0),ROUND(G195/J195,2),"")))</x:f>
      </x:c>
      <x:c r="L195" s="31" t="str"/>
      <x:c r="M195" s="26" t="str"/>
      <x:c r="N195" s="26" t="str">
        <x:v>Incluir</x:v>
      </x:c>
      <x:c r="O195" s="22" t="str"/>
      <x:c r="P195" s="22" t="str"/>
      <x:c r="Q195" s="22" t="str">
        <x:f>IF(B195="","",IF(C195="","Falta ID venta",IF(D195="ID no encontrado","ID venta inválido",IF(COUNTIFS('PAGOS'!$A$5:$A$504,A195,'PAGOS'!$B$5:$B$504,"&gt;0")&gt;1,"ID duplicado",IF(AND(L195&lt;&gt;"",COUNTIFS('PAGOS'!$L$5:$L$504,L195,'PAGOS'!$B$5:$B$504,B195,'PAGOS'!$F$5:$F$504,F195)&gt;1),"Referencia repetida",IF(N195&lt;&gt;"Incluir",N195,IF(NOT(ISNUMBER(K195)),"Falta equivalente","Aplicar")))))))</x:f>
      </x:c>
    </x:row>
    <x:row r="196" ht="25" customHeight="1">
      <x:c r="A196" s="22" t="str">
        <x:v>P-192</x:v>
      </x:c>
      <x:c r="B196" s="25" t="str"/>
      <x:c r="C196" s="26" t="str"/>
      <x:c r="D196" s="22" t="str">
        <x:f>IF(C196="","",IF(COUNTIFS('VENTAS'!$A$5:$A$254,C196,'VENTAS'!$C$5:$C$254,"&lt;&gt;")=1,INDEX('VENTAS'!$C$5:$C$254,MATCH(C196,'VENTAS'!$A$5:$A$254,0)),"ID no encontrado"))</x:f>
      </x:c>
      <x:c r="E196" s="22" t="str">
        <x:f>IF(C196="","",IF(COUNTIFS('VENTAS'!$A$5:$A$254,C196,'VENTAS'!$C$5:$C$254,"&lt;&gt;")=1,INDEX('VENTAS'!$D$5:$D$254,MATCH(C196,'VENTAS'!$A$5:$A$254,0)),"ID no encontrado"))</x:f>
      </x:c>
      <x:c r="F196" s="26" t="str"/>
      <x:c r="G196" s="27" t="str"/>
      <x:c r="H196" s="27" t="str"/>
      <x:c r="I196" s="26" t="str"/>
      <x:c r="J196" s="30" t="str"/>
      <x:c r="K196" s="28" t="str">
        <x:f>IF(B196="","",IF(ISNUMBER(H196),H196,IF(AND(ISNUMBER(G196),ISNUMBER(J196),J196&gt;0),ROUND(G196/J196,2),"")))</x:f>
      </x:c>
      <x:c r="L196" s="31" t="str"/>
      <x:c r="M196" s="26" t="str"/>
      <x:c r="N196" s="26" t="str">
        <x:v>Incluir</x:v>
      </x:c>
      <x:c r="O196" s="22" t="str"/>
      <x:c r="P196" s="22" t="str"/>
      <x:c r="Q196" s="22" t="str">
        <x:f>IF(B196="","",IF(C196="","Falta ID venta",IF(D196="ID no encontrado","ID venta inválido",IF(COUNTIFS('PAGOS'!$A$5:$A$504,A196,'PAGOS'!$B$5:$B$504,"&gt;0")&gt;1,"ID duplicado",IF(AND(L196&lt;&gt;"",COUNTIFS('PAGOS'!$L$5:$L$504,L196,'PAGOS'!$B$5:$B$504,B196,'PAGOS'!$F$5:$F$504,F196)&gt;1),"Referencia repetida",IF(N196&lt;&gt;"Incluir",N196,IF(NOT(ISNUMBER(K196)),"Falta equivalente","Aplicar")))))))</x:f>
      </x:c>
    </x:row>
    <x:row r="197" ht="25" customHeight="1">
      <x:c r="A197" s="22" t="str">
        <x:v>P-193</x:v>
      </x:c>
      <x:c r="B197" s="25" t="str"/>
      <x:c r="C197" s="26" t="str"/>
      <x:c r="D197" s="22" t="str">
        <x:f>IF(C197="","",IF(COUNTIFS('VENTAS'!$A$5:$A$254,C197,'VENTAS'!$C$5:$C$254,"&lt;&gt;")=1,INDEX('VENTAS'!$C$5:$C$254,MATCH(C197,'VENTAS'!$A$5:$A$254,0)),"ID no encontrado"))</x:f>
      </x:c>
      <x:c r="E197" s="22" t="str">
        <x:f>IF(C197="","",IF(COUNTIFS('VENTAS'!$A$5:$A$254,C197,'VENTAS'!$C$5:$C$254,"&lt;&gt;")=1,INDEX('VENTAS'!$D$5:$D$254,MATCH(C197,'VENTAS'!$A$5:$A$254,0)),"ID no encontrado"))</x:f>
      </x:c>
      <x:c r="F197" s="26" t="str"/>
      <x:c r="G197" s="27" t="str"/>
      <x:c r="H197" s="27" t="str"/>
      <x:c r="I197" s="26" t="str"/>
      <x:c r="J197" s="30" t="str"/>
      <x:c r="K197" s="28" t="str">
        <x:f>IF(B197="","",IF(ISNUMBER(H197),H197,IF(AND(ISNUMBER(G197),ISNUMBER(J197),J197&gt;0),ROUND(G197/J197,2),"")))</x:f>
      </x:c>
      <x:c r="L197" s="31" t="str"/>
      <x:c r="M197" s="26" t="str"/>
      <x:c r="N197" s="26" t="str">
        <x:v>Incluir</x:v>
      </x:c>
      <x:c r="O197" s="22" t="str"/>
      <x:c r="P197" s="22" t="str"/>
      <x:c r="Q197" s="22" t="str">
        <x:f>IF(B197="","",IF(C197="","Falta ID venta",IF(D197="ID no encontrado","ID venta inválido",IF(COUNTIFS('PAGOS'!$A$5:$A$504,A197,'PAGOS'!$B$5:$B$504,"&gt;0")&gt;1,"ID duplicado",IF(AND(L197&lt;&gt;"",COUNTIFS('PAGOS'!$L$5:$L$504,L197,'PAGOS'!$B$5:$B$504,B197,'PAGOS'!$F$5:$F$504,F197)&gt;1),"Referencia repetida",IF(N197&lt;&gt;"Incluir",N197,IF(NOT(ISNUMBER(K197)),"Falta equivalente","Aplicar")))))))</x:f>
      </x:c>
    </x:row>
    <x:row r="198" ht="25" customHeight="1">
      <x:c r="A198" s="22" t="str">
        <x:v>P-194</x:v>
      </x:c>
      <x:c r="B198" s="25" t="str"/>
      <x:c r="C198" s="26" t="str"/>
      <x:c r="D198" s="22" t="str">
        <x:f>IF(C198="","",IF(COUNTIFS('VENTAS'!$A$5:$A$254,C198,'VENTAS'!$C$5:$C$254,"&lt;&gt;")=1,INDEX('VENTAS'!$C$5:$C$254,MATCH(C198,'VENTAS'!$A$5:$A$254,0)),"ID no encontrado"))</x:f>
      </x:c>
      <x:c r="E198" s="22" t="str">
        <x:f>IF(C198="","",IF(COUNTIFS('VENTAS'!$A$5:$A$254,C198,'VENTAS'!$C$5:$C$254,"&lt;&gt;")=1,INDEX('VENTAS'!$D$5:$D$254,MATCH(C198,'VENTAS'!$A$5:$A$254,0)),"ID no encontrado"))</x:f>
      </x:c>
      <x:c r="F198" s="26" t="str"/>
      <x:c r="G198" s="27" t="str"/>
      <x:c r="H198" s="27" t="str"/>
      <x:c r="I198" s="26" t="str"/>
      <x:c r="J198" s="30" t="str"/>
      <x:c r="K198" s="28" t="str">
        <x:f>IF(B198="","",IF(ISNUMBER(H198),H198,IF(AND(ISNUMBER(G198),ISNUMBER(J198),J198&gt;0),ROUND(G198/J198,2),"")))</x:f>
      </x:c>
      <x:c r="L198" s="31" t="str"/>
      <x:c r="M198" s="26" t="str"/>
      <x:c r="N198" s="26" t="str">
        <x:v>Incluir</x:v>
      </x:c>
      <x:c r="O198" s="22" t="str"/>
      <x:c r="P198" s="22" t="str"/>
      <x:c r="Q198" s="22" t="str">
        <x:f>IF(B198="","",IF(C198="","Falta ID venta",IF(D198="ID no encontrado","ID venta inválido",IF(COUNTIFS('PAGOS'!$A$5:$A$504,A198,'PAGOS'!$B$5:$B$504,"&gt;0")&gt;1,"ID duplicado",IF(AND(L198&lt;&gt;"",COUNTIFS('PAGOS'!$L$5:$L$504,L198,'PAGOS'!$B$5:$B$504,B198,'PAGOS'!$F$5:$F$504,F198)&gt;1),"Referencia repetida",IF(N198&lt;&gt;"Incluir",N198,IF(NOT(ISNUMBER(K198)),"Falta equivalente","Aplicar")))))))</x:f>
      </x:c>
    </x:row>
    <x:row r="199" ht="25" customHeight="1">
      <x:c r="A199" s="22" t="str">
        <x:v>P-195</x:v>
      </x:c>
      <x:c r="B199" s="25" t="str"/>
      <x:c r="C199" s="26" t="str"/>
      <x:c r="D199" s="22" t="str">
        <x:f>IF(C199="","",IF(COUNTIFS('VENTAS'!$A$5:$A$254,C199,'VENTAS'!$C$5:$C$254,"&lt;&gt;")=1,INDEX('VENTAS'!$C$5:$C$254,MATCH(C199,'VENTAS'!$A$5:$A$254,0)),"ID no encontrado"))</x:f>
      </x:c>
      <x:c r="E199" s="22" t="str">
        <x:f>IF(C199="","",IF(COUNTIFS('VENTAS'!$A$5:$A$254,C199,'VENTAS'!$C$5:$C$254,"&lt;&gt;")=1,INDEX('VENTAS'!$D$5:$D$254,MATCH(C199,'VENTAS'!$A$5:$A$254,0)),"ID no encontrado"))</x:f>
      </x:c>
      <x:c r="F199" s="26" t="str"/>
      <x:c r="G199" s="27" t="str"/>
      <x:c r="H199" s="27" t="str"/>
      <x:c r="I199" s="26" t="str"/>
      <x:c r="J199" s="30" t="str"/>
      <x:c r="K199" s="28" t="str">
        <x:f>IF(B199="","",IF(ISNUMBER(H199),H199,IF(AND(ISNUMBER(G199),ISNUMBER(J199),J199&gt;0),ROUND(G199/J199,2),"")))</x:f>
      </x:c>
      <x:c r="L199" s="31" t="str"/>
      <x:c r="M199" s="26" t="str"/>
      <x:c r="N199" s="26" t="str">
        <x:v>Incluir</x:v>
      </x:c>
      <x:c r="O199" s="22" t="str"/>
      <x:c r="P199" s="22" t="str"/>
      <x:c r="Q199" s="22" t="str">
        <x:f>IF(B199="","",IF(C199="","Falta ID venta",IF(D199="ID no encontrado","ID venta inválido",IF(COUNTIFS('PAGOS'!$A$5:$A$504,A199,'PAGOS'!$B$5:$B$504,"&gt;0")&gt;1,"ID duplicado",IF(AND(L199&lt;&gt;"",COUNTIFS('PAGOS'!$L$5:$L$504,L199,'PAGOS'!$B$5:$B$504,B199,'PAGOS'!$F$5:$F$504,F199)&gt;1),"Referencia repetida",IF(N199&lt;&gt;"Incluir",N199,IF(NOT(ISNUMBER(K199)),"Falta equivalente","Aplicar")))))))</x:f>
      </x:c>
    </x:row>
    <x:row r="200" ht="25" customHeight="1">
      <x:c r="A200" s="22" t="str">
        <x:v>P-196</x:v>
      </x:c>
      <x:c r="B200" s="25" t="str"/>
      <x:c r="C200" s="26" t="str"/>
      <x:c r="D200" s="22" t="str">
        <x:f>IF(C200="","",IF(COUNTIFS('VENTAS'!$A$5:$A$254,C200,'VENTAS'!$C$5:$C$254,"&lt;&gt;")=1,INDEX('VENTAS'!$C$5:$C$254,MATCH(C200,'VENTAS'!$A$5:$A$254,0)),"ID no encontrado"))</x:f>
      </x:c>
      <x:c r="E200" s="22" t="str">
        <x:f>IF(C200="","",IF(COUNTIFS('VENTAS'!$A$5:$A$254,C200,'VENTAS'!$C$5:$C$254,"&lt;&gt;")=1,INDEX('VENTAS'!$D$5:$D$254,MATCH(C200,'VENTAS'!$A$5:$A$254,0)),"ID no encontrado"))</x:f>
      </x:c>
      <x:c r="F200" s="26" t="str"/>
      <x:c r="G200" s="27" t="str"/>
      <x:c r="H200" s="27" t="str"/>
      <x:c r="I200" s="26" t="str"/>
      <x:c r="J200" s="30" t="str"/>
      <x:c r="K200" s="28" t="str">
        <x:f>IF(B200="","",IF(ISNUMBER(H200),H200,IF(AND(ISNUMBER(G200),ISNUMBER(J200),J200&gt;0),ROUND(G200/J200,2),"")))</x:f>
      </x:c>
      <x:c r="L200" s="31" t="str"/>
      <x:c r="M200" s="26" t="str"/>
      <x:c r="N200" s="26" t="str">
        <x:v>Incluir</x:v>
      </x:c>
      <x:c r="O200" s="22" t="str"/>
      <x:c r="P200" s="22" t="str"/>
      <x:c r="Q200" s="22" t="str">
        <x:f>IF(B200="","",IF(C200="","Falta ID venta",IF(D200="ID no encontrado","ID venta inválido",IF(COUNTIFS('PAGOS'!$A$5:$A$504,A200,'PAGOS'!$B$5:$B$504,"&gt;0")&gt;1,"ID duplicado",IF(AND(L200&lt;&gt;"",COUNTIFS('PAGOS'!$L$5:$L$504,L200,'PAGOS'!$B$5:$B$504,B200,'PAGOS'!$F$5:$F$504,F200)&gt;1),"Referencia repetida",IF(N200&lt;&gt;"Incluir",N200,IF(NOT(ISNUMBER(K200)),"Falta equivalente","Aplicar")))))))</x:f>
      </x:c>
    </x:row>
    <x:row r="201" ht="25" customHeight="1">
      <x:c r="A201" s="22" t="str">
        <x:v>P-197</x:v>
      </x:c>
      <x:c r="B201" s="25" t="str"/>
      <x:c r="C201" s="26" t="str"/>
      <x:c r="D201" s="22" t="str">
        <x:f>IF(C201="","",IF(COUNTIFS('VENTAS'!$A$5:$A$254,C201,'VENTAS'!$C$5:$C$254,"&lt;&gt;")=1,INDEX('VENTAS'!$C$5:$C$254,MATCH(C201,'VENTAS'!$A$5:$A$254,0)),"ID no encontrado"))</x:f>
      </x:c>
      <x:c r="E201" s="22" t="str">
        <x:f>IF(C201="","",IF(COUNTIFS('VENTAS'!$A$5:$A$254,C201,'VENTAS'!$C$5:$C$254,"&lt;&gt;")=1,INDEX('VENTAS'!$D$5:$D$254,MATCH(C201,'VENTAS'!$A$5:$A$254,0)),"ID no encontrado"))</x:f>
      </x:c>
      <x:c r="F201" s="26" t="str"/>
      <x:c r="G201" s="27" t="str"/>
      <x:c r="H201" s="27" t="str"/>
      <x:c r="I201" s="26" t="str"/>
      <x:c r="J201" s="30" t="str"/>
      <x:c r="K201" s="28" t="str">
        <x:f>IF(B201="","",IF(ISNUMBER(H201),H201,IF(AND(ISNUMBER(G201),ISNUMBER(J201),J201&gt;0),ROUND(G201/J201,2),"")))</x:f>
      </x:c>
      <x:c r="L201" s="31" t="str"/>
      <x:c r="M201" s="26" t="str"/>
      <x:c r="N201" s="26" t="str">
        <x:v>Incluir</x:v>
      </x:c>
      <x:c r="O201" s="22" t="str"/>
      <x:c r="P201" s="22" t="str"/>
      <x:c r="Q201" s="22" t="str">
        <x:f>IF(B201="","",IF(C201="","Falta ID venta",IF(D201="ID no encontrado","ID venta inválido",IF(COUNTIFS('PAGOS'!$A$5:$A$504,A201,'PAGOS'!$B$5:$B$504,"&gt;0")&gt;1,"ID duplicado",IF(AND(L201&lt;&gt;"",COUNTIFS('PAGOS'!$L$5:$L$504,L201,'PAGOS'!$B$5:$B$504,B201,'PAGOS'!$F$5:$F$504,F201)&gt;1),"Referencia repetida",IF(N201&lt;&gt;"Incluir",N201,IF(NOT(ISNUMBER(K201)),"Falta equivalente","Aplicar")))))))</x:f>
      </x:c>
    </x:row>
    <x:row r="202" ht="25" customHeight="1">
      <x:c r="A202" s="22" t="str">
        <x:v>P-198</x:v>
      </x:c>
      <x:c r="B202" s="25" t="str"/>
      <x:c r="C202" s="26" t="str"/>
      <x:c r="D202" s="22" t="str">
        <x:f>IF(C202="","",IF(COUNTIFS('VENTAS'!$A$5:$A$254,C202,'VENTAS'!$C$5:$C$254,"&lt;&gt;")=1,INDEX('VENTAS'!$C$5:$C$254,MATCH(C202,'VENTAS'!$A$5:$A$254,0)),"ID no encontrado"))</x:f>
      </x:c>
      <x:c r="E202" s="22" t="str">
        <x:f>IF(C202="","",IF(COUNTIFS('VENTAS'!$A$5:$A$254,C202,'VENTAS'!$C$5:$C$254,"&lt;&gt;")=1,INDEX('VENTAS'!$D$5:$D$254,MATCH(C202,'VENTAS'!$A$5:$A$254,0)),"ID no encontrado"))</x:f>
      </x:c>
      <x:c r="F202" s="26" t="str"/>
      <x:c r="G202" s="27" t="str"/>
      <x:c r="H202" s="27" t="str"/>
      <x:c r="I202" s="26" t="str"/>
      <x:c r="J202" s="30" t="str"/>
      <x:c r="K202" s="28" t="str">
        <x:f>IF(B202="","",IF(ISNUMBER(H202),H202,IF(AND(ISNUMBER(G202),ISNUMBER(J202),J202&gt;0),ROUND(G202/J202,2),"")))</x:f>
      </x:c>
      <x:c r="L202" s="31" t="str"/>
      <x:c r="M202" s="26" t="str"/>
      <x:c r="N202" s="26" t="str">
        <x:v>Incluir</x:v>
      </x:c>
      <x:c r="O202" s="22" t="str"/>
      <x:c r="P202" s="22" t="str"/>
      <x:c r="Q202" s="22" t="str">
        <x:f>IF(B202="","",IF(C202="","Falta ID venta",IF(D202="ID no encontrado","ID venta inválido",IF(COUNTIFS('PAGOS'!$A$5:$A$504,A202,'PAGOS'!$B$5:$B$504,"&gt;0")&gt;1,"ID duplicado",IF(AND(L202&lt;&gt;"",COUNTIFS('PAGOS'!$L$5:$L$504,L202,'PAGOS'!$B$5:$B$504,B202,'PAGOS'!$F$5:$F$504,F202)&gt;1),"Referencia repetida",IF(N202&lt;&gt;"Incluir",N202,IF(NOT(ISNUMBER(K202)),"Falta equivalente","Aplicar")))))))</x:f>
      </x:c>
    </x:row>
    <x:row r="203" ht="25" customHeight="1">
      <x:c r="A203" s="22" t="str">
        <x:v>P-199</x:v>
      </x:c>
      <x:c r="B203" s="25" t="str"/>
      <x:c r="C203" s="26" t="str"/>
      <x:c r="D203" s="22" t="str">
        <x:f>IF(C203="","",IF(COUNTIFS('VENTAS'!$A$5:$A$254,C203,'VENTAS'!$C$5:$C$254,"&lt;&gt;")=1,INDEX('VENTAS'!$C$5:$C$254,MATCH(C203,'VENTAS'!$A$5:$A$254,0)),"ID no encontrado"))</x:f>
      </x:c>
      <x:c r="E203" s="22" t="str">
        <x:f>IF(C203="","",IF(COUNTIFS('VENTAS'!$A$5:$A$254,C203,'VENTAS'!$C$5:$C$254,"&lt;&gt;")=1,INDEX('VENTAS'!$D$5:$D$254,MATCH(C203,'VENTAS'!$A$5:$A$254,0)),"ID no encontrado"))</x:f>
      </x:c>
      <x:c r="F203" s="26" t="str"/>
      <x:c r="G203" s="27" t="str"/>
      <x:c r="H203" s="27" t="str"/>
      <x:c r="I203" s="26" t="str"/>
      <x:c r="J203" s="30" t="str"/>
      <x:c r="K203" s="28" t="str">
        <x:f>IF(B203="","",IF(ISNUMBER(H203),H203,IF(AND(ISNUMBER(G203),ISNUMBER(J203),J203&gt;0),ROUND(G203/J203,2),"")))</x:f>
      </x:c>
      <x:c r="L203" s="31" t="str"/>
      <x:c r="M203" s="26" t="str"/>
      <x:c r="N203" s="26" t="str">
        <x:v>Incluir</x:v>
      </x:c>
      <x:c r="O203" s="22" t="str"/>
      <x:c r="P203" s="22" t="str"/>
      <x:c r="Q203" s="22" t="str">
        <x:f>IF(B203="","",IF(C203="","Falta ID venta",IF(D203="ID no encontrado","ID venta inválido",IF(COUNTIFS('PAGOS'!$A$5:$A$504,A203,'PAGOS'!$B$5:$B$504,"&gt;0")&gt;1,"ID duplicado",IF(AND(L203&lt;&gt;"",COUNTIFS('PAGOS'!$L$5:$L$504,L203,'PAGOS'!$B$5:$B$504,B203,'PAGOS'!$F$5:$F$504,F203)&gt;1),"Referencia repetida",IF(N203&lt;&gt;"Incluir",N203,IF(NOT(ISNUMBER(K203)),"Falta equivalente","Aplicar")))))))</x:f>
      </x:c>
    </x:row>
    <x:row r="204" ht="25" customHeight="1">
      <x:c r="A204" s="22" t="str">
        <x:v>P-200</x:v>
      </x:c>
      <x:c r="B204" s="25" t="str"/>
      <x:c r="C204" s="26" t="str"/>
      <x:c r="D204" s="22" t="str">
        <x:f>IF(C204="","",IF(COUNTIFS('VENTAS'!$A$5:$A$254,C204,'VENTAS'!$C$5:$C$254,"&lt;&gt;")=1,INDEX('VENTAS'!$C$5:$C$254,MATCH(C204,'VENTAS'!$A$5:$A$254,0)),"ID no encontrado"))</x:f>
      </x:c>
      <x:c r="E204" s="22" t="str">
        <x:f>IF(C204="","",IF(COUNTIFS('VENTAS'!$A$5:$A$254,C204,'VENTAS'!$C$5:$C$254,"&lt;&gt;")=1,INDEX('VENTAS'!$D$5:$D$254,MATCH(C204,'VENTAS'!$A$5:$A$254,0)),"ID no encontrado"))</x:f>
      </x:c>
      <x:c r="F204" s="26" t="str"/>
      <x:c r="G204" s="27" t="str"/>
      <x:c r="H204" s="27" t="str"/>
      <x:c r="I204" s="26" t="str"/>
      <x:c r="J204" s="30" t="str"/>
      <x:c r="K204" s="28" t="str">
        <x:f>IF(B204="","",IF(ISNUMBER(H204),H204,IF(AND(ISNUMBER(G204),ISNUMBER(J204),J204&gt;0),ROUND(G204/J204,2),"")))</x:f>
      </x:c>
      <x:c r="L204" s="31" t="str"/>
      <x:c r="M204" s="26" t="str"/>
      <x:c r="N204" s="26" t="str">
        <x:v>Incluir</x:v>
      </x:c>
      <x:c r="O204" s="22" t="str"/>
      <x:c r="P204" s="22" t="str"/>
      <x:c r="Q204" s="22" t="str">
        <x:f>IF(B204="","",IF(C204="","Falta ID venta",IF(D204="ID no encontrado","ID venta inválido",IF(COUNTIFS('PAGOS'!$A$5:$A$504,A204,'PAGOS'!$B$5:$B$504,"&gt;0")&gt;1,"ID duplicado",IF(AND(L204&lt;&gt;"",COUNTIFS('PAGOS'!$L$5:$L$504,L204,'PAGOS'!$B$5:$B$504,B204,'PAGOS'!$F$5:$F$504,F204)&gt;1),"Referencia repetida",IF(N204&lt;&gt;"Incluir",N204,IF(NOT(ISNUMBER(K204)),"Falta equivalente","Aplicar")))))))</x:f>
      </x:c>
    </x:row>
    <x:row r="205" ht="25" customHeight="1">
      <x:c r="A205" s="22" t="str">
        <x:v>P-201</x:v>
      </x:c>
      <x:c r="B205" s="25" t="str"/>
      <x:c r="C205" s="26" t="str"/>
      <x:c r="D205" s="22" t="str">
        <x:f>IF(C205="","",IF(COUNTIFS('VENTAS'!$A$5:$A$254,C205,'VENTAS'!$C$5:$C$254,"&lt;&gt;")=1,INDEX('VENTAS'!$C$5:$C$254,MATCH(C205,'VENTAS'!$A$5:$A$254,0)),"ID no encontrado"))</x:f>
      </x:c>
      <x:c r="E205" s="22" t="str">
        <x:f>IF(C205="","",IF(COUNTIFS('VENTAS'!$A$5:$A$254,C205,'VENTAS'!$C$5:$C$254,"&lt;&gt;")=1,INDEX('VENTAS'!$D$5:$D$254,MATCH(C205,'VENTAS'!$A$5:$A$254,0)),"ID no encontrado"))</x:f>
      </x:c>
      <x:c r="F205" s="26" t="str"/>
      <x:c r="G205" s="27" t="str"/>
      <x:c r="H205" s="27" t="str"/>
      <x:c r="I205" s="26" t="str"/>
      <x:c r="J205" s="30" t="str"/>
      <x:c r="K205" s="28" t="str">
        <x:f>IF(B205="","",IF(ISNUMBER(H205),H205,IF(AND(ISNUMBER(G205),ISNUMBER(J205),J205&gt;0),ROUND(G205/J205,2),"")))</x:f>
      </x:c>
      <x:c r="L205" s="31" t="str"/>
      <x:c r="M205" s="26" t="str"/>
      <x:c r="N205" s="26" t="str">
        <x:v>Incluir</x:v>
      </x:c>
      <x:c r="O205" s="22" t="str"/>
      <x:c r="P205" s="22" t="str"/>
      <x:c r="Q205" s="22" t="str">
        <x:f>IF(B205="","",IF(C205="","Falta ID venta",IF(D205="ID no encontrado","ID venta inválido",IF(COUNTIFS('PAGOS'!$A$5:$A$504,A205,'PAGOS'!$B$5:$B$504,"&gt;0")&gt;1,"ID duplicado",IF(AND(L205&lt;&gt;"",COUNTIFS('PAGOS'!$L$5:$L$504,L205,'PAGOS'!$B$5:$B$504,B205,'PAGOS'!$F$5:$F$504,F205)&gt;1),"Referencia repetida",IF(N205&lt;&gt;"Incluir",N205,IF(NOT(ISNUMBER(K205)),"Falta equivalente","Aplicar")))))))</x:f>
      </x:c>
    </x:row>
    <x:row r="206" ht="25" customHeight="1">
      <x:c r="A206" s="22" t="str">
        <x:v>P-202</x:v>
      </x:c>
      <x:c r="B206" s="25" t="str"/>
      <x:c r="C206" s="26" t="str"/>
      <x:c r="D206" s="22" t="str">
        <x:f>IF(C206="","",IF(COUNTIFS('VENTAS'!$A$5:$A$254,C206,'VENTAS'!$C$5:$C$254,"&lt;&gt;")=1,INDEX('VENTAS'!$C$5:$C$254,MATCH(C206,'VENTAS'!$A$5:$A$254,0)),"ID no encontrado"))</x:f>
      </x:c>
      <x:c r="E206" s="22" t="str">
        <x:f>IF(C206="","",IF(COUNTIFS('VENTAS'!$A$5:$A$254,C206,'VENTAS'!$C$5:$C$254,"&lt;&gt;")=1,INDEX('VENTAS'!$D$5:$D$254,MATCH(C206,'VENTAS'!$A$5:$A$254,0)),"ID no encontrado"))</x:f>
      </x:c>
      <x:c r="F206" s="26" t="str"/>
      <x:c r="G206" s="27" t="str"/>
      <x:c r="H206" s="27" t="str"/>
      <x:c r="I206" s="26" t="str"/>
      <x:c r="J206" s="30" t="str"/>
      <x:c r="K206" s="28" t="str">
        <x:f>IF(B206="","",IF(ISNUMBER(H206),H206,IF(AND(ISNUMBER(G206),ISNUMBER(J206),J206&gt;0),ROUND(G206/J206,2),"")))</x:f>
      </x:c>
      <x:c r="L206" s="31" t="str"/>
      <x:c r="M206" s="26" t="str"/>
      <x:c r="N206" s="26" t="str">
        <x:v>Incluir</x:v>
      </x:c>
      <x:c r="O206" s="22" t="str"/>
      <x:c r="P206" s="22" t="str"/>
      <x:c r="Q206" s="22" t="str">
        <x:f>IF(B206="","",IF(C206="","Falta ID venta",IF(D206="ID no encontrado","ID venta inválido",IF(COUNTIFS('PAGOS'!$A$5:$A$504,A206,'PAGOS'!$B$5:$B$504,"&gt;0")&gt;1,"ID duplicado",IF(AND(L206&lt;&gt;"",COUNTIFS('PAGOS'!$L$5:$L$504,L206,'PAGOS'!$B$5:$B$504,B206,'PAGOS'!$F$5:$F$504,F206)&gt;1),"Referencia repetida",IF(N206&lt;&gt;"Incluir",N206,IF(NOT(ISNUMBER(K206)),"Falta equivalente","Aplicar")))))))</x:f>
      </x:c>
    </x:row>
    <x:row r="207" ht="25" customHeight="1">
      <x:c r="A207" s="22" t="str">
        <x:v>P-203</x:v>
      </x:c>
      <x:c r="B207" s="25" t="str"/>
      <x:c r="C207" s="26" t="str"/>
      <x:c r="D207" s="22" t="str">
        <x:f>IF(C207="","",IF(COUNTIFS('VENTAS'!$A$5:$A$254,C207,'VENTAS'!$C$5:$C$254,"&lt;&gt;")=1,INDEX('VENTAS'!$C$5:$C$254,MATCH(C207,'VENTAS'!$A$5:$A$254,0)),"ID no encontrado"))</x:f>
      </x:c>
      <x:c r="E207" s="22" t="str">
        <x:f>IF(C207="","",IF(COUNTIFS('VENTAS'!$A$5:$A$254,C207,'VENTAS'!$C$5:$C$254,"&lt;&gt;")=1,INDEX('VENTAS'!$D$5:$D$254,MATCH(C207,'VENTAS'!$A$5:$A$254,0)),"ID no encontrado"))</x:f>
      </x:c>
      <x:c r="F207" s="26" t="str"/>
      <x:c r="G207" s="27" t="str"/>
      <x:c r="H207" s="27" t="str"/>
      <x:c r="I207" s="26" t="str"/>
      <x:c r="J207" s="30" t="str"/>
      <x:c r="K207" s="28" t="str">
        <x:f>IF(B207="","",IF(ISNUMBER(H207),H207,IF(AND(ISNUMBER(G207),ISNUMBER(J207),J207&gt;0),ROUND(G207/J207,2),"")))</x:f>
      </x:c>
      <x:c r="L207" s="31" t="str"/>
      <x:c r="M207" s="26" t="str"/>
      <x:c r="N207" s="26" t="str">
        <x:v>Incluir</x:v>
      </x:c>
      <x:c r="O207" s="22" t="str"/>
      <x:c r="P207" s="22" t="str"/>
      <x:c r="Q207" s="22" t="str">
        <x:f>IF(B207="","",IF(C207="","Falta ID venta",IF(D207="ID no encontrado","ID venta inválido",IF(COUNTIFS('PAGOS'!$A$5:$A$504,A207,'PAGOS'!$B$5:$B$504,"&gt;0")&gt;1,"ID duplicado",IF(AND(L207&lt;&gt;"",COUNTIFS('PAGOS'!$L$5:$L$504,L207,'PAGOS'!$B$5:$B$504,B207,'PAGOS'!$F$5:$F$504,F207)&gt;1),"Referencia repetida",IF(N207&lt;&gt;"Incluir",N207,IF(NOT(ISNUMBER(K207)),"Falta equivalente","Aplicar")))))))</x:f>
      </x:c>
    </x:row>
    <x:row r="208" ht="25" customHeight="1">
      <x:c r="A208" s="22" t="str">
        <x:v>P-204</x:v>
      </x:c>
      <x:c r="B208" s="25" t="str"/>
      <x:c r="C208" s="26" t="str"/>
      <x:c r="D208" s="22" t="str">
        <x:f>IF(C208="","",IF(COUNTIFS('VENTAS'!$A$5:$A$254,C208,'VENTAS'!$C$5:$C$254,"&lt;&gt;")=1,INDEX('VENTAS'!$C$5:$C$254,MATCH(C208,'VENTAS'!$A$5:$A$254,0)),"ID no encontrado"))</x:f>
      </x:c>
      <x:c r="E208" s="22" t="str">
        <x:f>IF(C208="","",IF(COUNTIFS('VENTAS'!$A$5:$A$254,C208,'VENTAS'!$C$5:$C$254,"&lt;&gt;")=1,INDEX('VENTAS'!$D$5:$D$254,MATCH(C208,'VENTAS'!$A$5:$A$254,0)),"ID no encontrado"))</x:f>
      </x:c>
      <x:c r="F208" s="26" t="str"/>
      <x:c r="G208" s="27" t="str"/>
      <x:c r="H208" s="27" t="str"/>
      <x:c r="I208" s="26" t="str"/>
      <x:c r="J208" s="30" t="str"/>
      <x:c r="K208" s="28" t="str">
        <x:f>IF(B208="","",IF(ISNUMBER(H208),H208,IF(AND(ISNUMBER(G208),ISNUMBER(J208),J208&gt;0),ROUND(G208/J208,2),"")))</x:f>
      </x:c>
      <x:c r="L208" s="31" t="str"/>
      <x:c r="M208" s="26" t="str"/>
      <x:c r="N208" s="26" t="str">
        <x:v>Incluir</x:v>
      </x:c>
      <x:c r="O208" s="22" t="str"/>
      <x:c r="P208" s="22" t="str"/>
      <x:c r="Q208" s="22" t="str">
        <x:f>IF(B208="","",IF(C208="","Falta ID venta",IF(D208="ID no encontrado","ID venta inválido",IF(COUNTIFS('PAGOS'!$A$5:$A$504,A208,'PAGOS'!$B$5:$B$504,"&gt;0")&gt;1,"ID duplicado",IF(AND(L208&lt;&gt;"",COUNTIFS('PAGOS'!$L$5:$L$504,L208,'PAGOS'!$B$5:$B$504,B208,'PAGOS'!$F$5:$F$504,F208)&gt;1),"Referencia repetida",IF(N208&lt;&gt;"Incluir",N208,IF(NOT(ISNUMBER(K208)),"Falta equivalente","Aplicar")))))))</x:f>
      </x:c>
    </x:row>
    <x:row r="209" ht="25" customHeight="1">
      <x:c r="A209" s="22" t="str">
        <x:v>P-205</x:v>
      </x:c>
      <x:c r="B209" s="25" t="str"/>
      <x:c r="C209" s="26" t="str"/>
      <x:c r="D209" s="22" t="str">
        <x:f>IF(C209="","",IF(COUNTIFS('VENTAS'!$A$5:$A$254,C209,'VENTAS'!$C$5:$C$254,"&lt;&gt;")=1,INDEX('VENTAS'!$C$5:$C$254,MATCH(C209,'VENTAS'!$A$5:$A$254,0)),"ID no encontrado"))</x:f>
      </x:c>
      <x:c r="E209" s="22" t="str">
        <x:f>IF(C209="","",IF(COUNTIFS('VENTAS'!$A$5:$A$254,C209,'VENTAS'!$C$5:$C$254,"&lt;&gt;")=1,INDEX('VENTAS'!$D$5:$D$254,MATCH(C209,'VENTAS'!$A$5:$A$254,0)),"ID no encontrado"))</x:f>
      </x:c>
      <x:c r="F209" s="26" t="str"/>
      <x:c r="G209" s="27" t="str"/>
      <x:c r="H209" s="27" t="str"/>
      <x:c r="I209" s="26" t="str"/>
      <x:c r="J209" s="30" t="str"/>
      <x:c r="K209" s="28" t="str">
        <x:f>IF(B209="","",IF(ISNUMBER(H209),H209,IF(AND(ISNUMBER(G209),ISNUMBER(J209),J209&gt;0),ROUND(G209/J209,2),"")))</x:f>
      </x:c>
      <x:c r="L209" s="31" t="str"/>
      <x:c r="M209" s="26" t="str"/>
      <x:c r="N209" s="26" t="str">
        <x:v>Incluir</x:v>
      </x:c>
      <x:c r="O209" s="22" t="str"/>
      <x:c r="P209" s="22" t="str"/>
      <x:c r="Q209" s="22" t="str">
        <x:f>IF(B209="","",IF(C209="","Falta ID venta",IF(D209="ID no encontrado","ID venta inválido",IF(COUNTIFS('PAGOS'!$A$5:$A$504,A209,'PAGOS'!$B$5:$B$504,"&gt;0")&gt;1,"ID duplicado",IF(AND(L209&lt;&gt;"",COUNTIFS('PAGOS'!$L$5:$L$504,L209,'PAGOS'!$B$5:$B$504,B209,'PAGOS'!$F$5:$F$504,F209)&gt;1),"Referencia repetida",IF(N209&lt;&gt;"Incluir",N209,IF(NOT(ISNUMBER(K209)),"Falta equivalente","Aplicar")))))))</x:f>
      </x:c>
    </x:row>
    <x:row r="210" ht="25" customHeight="1">
      <x:c r="A210" s="22" t="str">
        <x:v>P-206</x:v>
      </x:c>
      <x:c r="B210" s="25" t="str"/>
      <x:c r="C210" s="26" t="str"/>
      <x:c r="D210" s="22" t="str">
        <x:f>IF(C210="","",IF(COUNTIFS('VENTAS'!$A$5:$A$254,C210,'VENTAS'!$C$5:$C$254,"&lt;&gt;")=1,INDEX('VENTAS'!$C$5:$C$254,MATCH(C210,'VENTAS'!$A$5:$A$254,0)),"ID no encontrado"))</x:f>
      </x:c>
      <x:c r="E210" s="22" t="str">
        <x:f>IF(C210="","",IF(COUNTIFS('VENTAS'!$A$5:$A$254,C210,'VENTAS'!$C$5:$C$254,"&lt;&gt;")=1,INDEX('VENTAS'!$D$5:$D$254,MATCH(C210,'VENTAS'!$A$5:$A$254,0)),"ID no encontrado"))</x:f>
      </x:c>
      <x:c r="F210" s="26" t="str"/>
      <x:c r="G210" s="27" t="str"/>
      <x:c r="H210" s="27" t="str"/>
      <x:c r="I210" s="26" t="str"/>
      <x:c r="J210" s="30" t="str"/>
      <x:c r="K210" s="28" t="str">
        <x:f>IF(B210="","",IF(ISNUMBER(H210),H210,IF(AND(ISNUMBER(G210),ISNUMBER(J210),J210&gt;0),ROUND(G210/J210,2),"")))</x:f>
      </x:c>
      <x:c r="L210" s="31" t="str"/>
      <x:c r="M210" s="26" t="str"/>
      <x:c r="N210" s="26" t="str">
        <x:v>Incluir</x:v>
      </x:c>
      <x:c r="O210" s="22" t="str"/>
      <x:c r="P210" s="22" t="str"/>
      <x:c r="Q210" s="22" t="str">
        <x:f>IF(B210="","",IF(C210="","Falta ID venta",IF(D210="ID no encontrado","ID venta inválido",IF(COUNTIFS('PAGOS'!$A$5:$A$504,A210,'PAGOS'!$B$5:$B$504,"&gt;0")&gt;1,"ID duplicado",IF(AND(L210&lt;&gt;"",COUNTIFS('PAGOS'!$L$5:$L$504,L210,'PAGOS'!$B$5:$B$504,B210,'PAGOS'!$F$5:$F$504,F210)&gt;1),"Referencia repetida",IF(N210&lt;&gt;"Incluir",N210,IF(NOT(ISNUMBER(K210)),"Falta equivalente","Aplicar")))))))</x:f>
      </x:c>
    </x:row>
    <x:row r="211" ht="25" customHeight="1">
      <x:c r="A211" s="22" t="str">
        <x:v>P-207</x:v>
      </x:c>
      <x:c r="B211" s="25" t="str"/>
      <x:c r="C211" s="26" t="str"/>
      <x:c r="D211" s="22" t="str">
        <x:f>IF(C211="","",IF(COUNTIFS('VENTAS'!$A$5:$A$254,C211,'VENTAS'!$C$5:$C$254,"&lt;&gt;")=1,INDEX('VENTAS'!$C$5:$C$254,MATCH(C211,'VENTAS'!$A$5:$A$254,0)),"ID no encontrado"))</x:f>
      </x:c>
      <x:c r="E211" s="22" t="str">
        <x:f>IF(C211="","",IF(COUNTIFS('VENTAS'!$A$5:$A$254,C211,'VENTAS'!$C$5:$C$254,"&lt;&gt;")=1,INDEX('VENTAS'!$D$5:$D$254,MATCH(C211,'VENTAS'!$A$5:$A$254,0)),"ID no encontrado"))</x:f>
      </x:c>
      <x:c r="F211" s="26" t="str"/>
      <x:c r="G211" s="27" t="str"/>
      <x:c r="H211" s="27" t="str"/>
      <x:c r="I211" s="26" t="str"/>
      <x:c r="J211" s="30" t="str"/>
      <x:c r="K211" s="28" t="str">
        <x:f>IF(B211="","",IF(ISNUMBER(H211),H211,IF(AND(ISNUMBER(G211),ISNUMBER(J211),J211&gt;0),ROUND(G211/J211,2),"")))</x:f>
      </x:c>
      <x:c r="L211" s="31" t="str"/>
      <x:c r="M211" s="26" t="str"/>
      <x:c r="N211" s="26" t="str">
        <x:v>Incluir</x:v>
      </x:c>
      <x:c r="O211" s="22" t="str"/>
      <x:c r="P211" s="22" t="str"/>
      <x:c r="Q211" s="22" t="str">
        <x:f>IF(B211="","",IF(C211="","Falta ID venta",IF(D211="ID no encontrado","ID venta inválido",IF(COUNTIFS('PAGOS'!$A$5:$A$504,A211,'PAGOS'!$B$5:$B$504,"&gt;0")&gt;1,"ID duplicado",IF(AND(L211&lt;&gt;"",COUNTIFS('PAGOS'!$L$5:$L$504,L211,'PAGOS'!$B$5:$B$504,B211,'PAGOS'!$F$5:$F$504,F211)&gt;1),"Referencia repetida",IF(N211&lt;&gt;"Incluir",N211,IF(NOT(ISNUMBER(K211)),"Falta equivalente","Aplicar")))))))</x:f>
      </x:c>
    </x:row>
    <x:row r="212" ht="25" customHeight="1">
      <x:c r="A212" s="22" t="str">
        <x:v>P-208</x:v>
      </x:c>
      <x:c r="B212" s="25" t="str"/>
      <x:c r="C212" s="26" t="str"/>
      <x:c r="D212" s="22" t="str">
        <x:f>IF(C212="","",IF(COUNTIFS('VENTAS'!$A$5:$A$254,C212,'VENTAS'!$C$5:$C$254,"&lt;&gt;")=1,INDEX('VENTAS'!$C$5:$C$254,MATCH(C212,'VENTAS'!$A$5:$A$254,0)),"ID no encontrado"))</x:f>
      </x:c>
      <x:c r="E212" s="22" t="str">
        <x:f>IF(C212="","",IF(COUNTIFS('VENTAS'!$A$5:$A$254,C212,'VENTAS'!$C$5:$C$254,"&lt;&gt;")=1,INDEX('VENTAS'!$D$5:$D$254,MATCH(C212,'VENTAS'!$A$5:$A$254,0)),"ID no encontrado"))</x:f>
      </x:c>
      <x:c r="F212" s="26" t="str"/>
      <x:c r="G212" s="27" t="str"/>
      <x:c r="H212" s="27" t="str"/>
      <x:c r="I212" s="26" t="str"/>
      <x:c r="J212" s="30" t="str"/>
      <x:c r="K212" s="28" t="str">
        <x:f>IF(B212="","",IF(ISNUMBER(H212),H212,IF(AND(ISNUMBER(G212),ISNUMBER(J212),J212&gt;0),ROUND(G212/J212,2),"")))</x:f>
      </x:c>
      <x:c r="L212" s="31" t="str"/>
      <x:c r="M212" s="26" t="str"/>
      <x:c r="N212" s="26" t="str">
        <x:v>Incluir</x:v>
      </x:c>
      <x:c r="O212" s="22" t="str"/>
      <x:c r="P212" s="22" t="str"/>
      <x:c r="Q212" s="22" t="str">
        <x:f>IF(B212="","",IF(C212="","Falta ID venta",IF(D212="ID no encontrado","ID venta inválido",IF(COUNTIFS('PAGOS'!$A$5:$A$504,A212,'PAGOS'!$B$5:$B$504,"&gt;0")&gt;1,"ID duplicado",IF(AND(L212&lt;&gt;"",COUNTIFS('PAGOS'!$L$5:$L$504,L212,'PAGOS'!$B$5:$B$504,B212,'PAGOS'!$F$5:$F$504,F212)&gt;1),"Referencia repetida",IF(N212&lt;&gt;"Incluir",N212,IF(NOT(ISNUMBER(K212)),"Falta equivalente","Aplicar")))))))</x:f>
      </x:c>
    </x:row>
    <x:row r="213" ht="25" customHeight="1">
      <x:c r="A213" s="22" t="str">
        <x:v>P-209</x:v>
      </x:c>
      <x:c r="B213" s="25" t="str"/>
      <x:c r="C213" s="26" t="str"/>
      <x:c r="D213" s="22" t="str">
        <x:f>IF(C213="","",IF(COUNTIFS('VENTAS'!$A$5:$A$254,C213,'VENTAS'!$C$5:$C$254,"&lt;&gt;")=1,INDEX('VENTAS'!$C$5:$C$254,MATCH(C213,'VENTAS'!$A$5:$A$254,0)),"ID no encontrado"))</x:f>
      </x:c>
      <x:c r="E213" s="22" t="str">
        <x:f>IF(C213="","",IF(COUNTIFS('VENTAS'!$A$5:$A$254,C213,'VENTAS'!$C$5:$C$254,"&lt;&gt;")=1,INDEX('VENTAS'!$D$5:$D$254,MATCH(C213,'VENTAS'!$A$5:$A$254,0)),"ID no encontrado"))</x:f>
      </x:c>
      <x:c r="F213" s="26" t="str"/>
      <x:c r="G213" s="27" t="str"/>
      <x:c r="H213" s="27" t="str"/>
      <x:c r="I213" s="26" t="str"/>
      <x:c r="J213" s="30" t="str"/>
      <x:c r="K213" s="28" t="str">
        <x:f>IF(B213="","",IF(ISNUMBER(H213),H213,IF(AND(ISNUMBER(G213),ISNUMBER(J213),J213&gt;0),ROUND(G213/J213,2),"")))</x:f>
      </x:c>
      <x:c r="L213" s="31" t="str"/>
      <x:c r="M213" s="26" t="str"/>
      <x:c r="N213" s="26" t="str">
        <x:v>Incluir</x:v>
      </x:c>
      <x:c r="O213" s="22" t="str"/>
      <x:c r="P213" s="22" t="str"/>
      <x:c r="Q213" s="22" t="str">
        <x:f>IF(B213="","",IF(C213="","Falta ID venta",IF(D213="ID no encontrado","ID venta inválido",IF(COUNTIFS('PAGOS'!$A$5:$A$504,A213,'PAGOS'!$B$5:$B$504,"&gt;0")&gt;1,"ID duplicado",IF(AND(L213&lt;&gt;"",COUNTIFS('PAGOS'!$L$5:$L$504,L213,'PAGOS'!$B$5:$B$504,B213,'PAGOS'!$F$5:$F$504,F213)&gt;1),"Referencia repetida",IF(N213&lt;&gt;"Incluir",N213,IF(NOT(ISNUMBER(K213)),"Falta equivalente","Aplicar")))))))</x:f>
      </x:c>
    </x:row>
    <x:row r="214" ht="25" customHeight="1">
      <x:c r="A214" s="22" t="str">
        <x:v>P-210</x:v>
      </x:c>
      <x:c r="B214" s="25" t="str"/>
      <x:c r="C214" s="26" t="str"/>
      <x:c r="D214" s="22" t="str">
        <x:f>IF(C214="","",IF(COUNTIFS('VENTAS'!$A$5:$A$254,C214,'VENTAS'!$C$5:$C$254,"&lt;&gt;")=1,INDEX('VENTAS'!$C$5:$C$254,MATCH(C214,'VENTAS'!$A$5:$A$254,0)),"ID no encontrado"))</x:f>
      </x:c>
      <x:c r="E214" s="22" t="str">
        <x:f>IF(C214="","",IF(COUNTIFS('VENTAS'!$A$5:$A$254,C214,'VENTAS'!$C$5:$C$254,"&lt;&gt;")=1,INDEX('VENTAS'!$D$5:$D$254,MATCH(C214,'VENTAS'!$A$5:$A$254,0)),"ID no encontrado"))</x:f>
      </x:c>
      <x:c r="F214" s="26" t="str"/>
      <x:c r="G214" s="27" t="str"/>
      <x:c r="H214" s="27" t="str"/>
      <x:c r="I214" s="26" t="str"/>
      <x:c r="J214" s="30" t="str"/>
      <x:c r="K214" s="28" t="str">
        <x:f>IF(B214="","",IF(ISNUMBER(H214),H214,IF(AND(ISNUMBER(G214),ISNUMBER(J214),J214&gt;0),ROUND(G214/J214,2),"")))</x:f>
      </x:c>
      <x:c r="L214" s="31" t="str"/>
      <x:c r="M214" s="26" t="str"/>
      <x:c r="N214" s="26" t="str">
        <x:v>Incluir</x:v>
      </x:c>
      <x:c r="O214" s="22" t="str"/>
      <x:c r="P214" s="22" t="str"/>
      <x:c r="Q214" s="22" t="str">
        <x:f>IF(B214="","",IF(C214="","Falta ID venta",IF(D214="ID no encontrado","ID venta inválido",IF(COUNTIFS('PAGOS'!$A$5:$A$504,A214,'PAGOS'!$B$5:$B$504,"&gt;0")&gt;1,"ID duplicado",IF(AND(L214&lt;&gt;"",COUNTIFS('PAGOS'!$L$5:$L$504,L214,'PAGOS'!$B$5:$B$504,B214,'PAGOS'!$F$5:$F$504,F214)&gt;1),"Referencia repetida",IF(N214&lt;&gt;"Incluir",N214,IF(NOT(ISNUMBER(K214)),"Falta equivalente","Aplicar")))))))</x:f>
      </x:c>
    </x:row>
    <x:row r="215" ht="25" customHeight="1">
      <x:c r="A215" s="22" t="str">
        <x:v>P-211</x:v>
      </x:c>
      <x:c r="B215" s="25" t="str"/>
      <x:c r="C215" s="26" t="str"/>
      <x:c r="D215" s="22" t="str">
        <x:f>IF(C215="","",IF(COUNTIFS('VENTAS'!$A$5:$A$254,C215,'VENTAS'!$C$5:$C$254,"&lt;&gt;")=1,INDEX('VENTAS'!$C$5:$C$254,MATCH(C215,'VENTAS'!$A$5:$A$254,0)),"ID no encontrado"))</x:f>
      </x:c>
      <x:c r="E215" s="22" t="str">
        <x:f>IF(C215="","",IF(COUNTIFS('VENTAS'!$A$5:$A$254,C215,'VENTAS'!$C$5:$C$254,"&lt;&gt;")=1,INDEX('VENTAS'!$D$5:$D$254,MATCH(C215,'VENTAS'!$A$5:$A$254,0)),"ID no encontrado"))</x:f>
      </x:c>
      <x:c r="F215" s="26" t="str"/>
      <x:c r="G215" s="27" t="str"/>
      <x:c r="H215" s="27" t="str"/>
      <x:c r="I215" s="26" t="str"/>
      <x:c r="J215" s="30" t="str"/>
      <x:c r="K215" s="28" t="str">
        <x:f>IF(B215="","",IF(ISNUMBER(H215),H215,IF(AND(ISNUMBER(G215),ISNUMBER(J215),J215&gt;0),ROUND(G215/J215,2),"")))</x:f>
      </x:c>
      <x:c r="L215" s="31" t="str"/>
      <x:c r="M215" s="26" t="str"/>
      <x:c r="N215" s="26" t="str">
        <x:v>Incluir</x:v>
      </x:c>
      <x:c r="O215" s="22" t="str"/>
      <x:c r="P215" s="22" t="str"/>
      <x:c r="Q215" s="22" t="str">
        <x:f>IF(B215="","",IF(C215="","Falta ID venta",IF(D215="ID no encontrado","ID venta inválido",IF(COUNTIFS('PAGOS'!$A$5:$A$504,A215,'PAGOS'!$B$5:$B$504,"&gt;0")&gt;1,"ID duplicado",IF(AND(L215&lt;&gt;"",COUNTIFS('PAGOS'!$L$5:$L$504,L215,'PAGOS'!$B$5:$B$504,B215,'PAGOS'!$F$5:$F$504,F215)&gt;1),"Referencia repetida",IF(N215&lt;&gt;"Incluir",N215,IF(NOT(ISNUMBER(K215)),"Falta equivalente","Aplicar")))))))</x:f>
      </x:c>
    </x:row>
    <x:row r="216" ht="25" customHeight="1">
      <x:c r="A216" s="22" t="str">
        <x:v>P-212</x:v>
      </x:c>
      <x:c r="B216" s="25" t="str"/>
      <x:c r="C216" s="26" t="str"/>
      <x:c r="D216" s="22" t="str">
        <x:f>IF(C216="","",IF(COUNTIFS('VENTAS'!$A$5:$A$254,C216,'VENTAS'!$C$5:$C$254,"&lt;&gt;")=1,INDEX('VENTAS'!$C$5:$C$254,MATCH(C216,'VENTAS'!$A$5:$A$254,0)),"ID no encontrado"))</x:f>
      </x:c>
      <x:c r="E216" s="22" t="str">
        <x:f>IF(C216="","",IF(COUNTIFS('VENTAS'!$A$5:$A$254,C216,'VENTAS'!$C$5:$C$254,"&lt;&gt;")=1,INDEX('VENTAS'!$D$5:$D$254,MATCH(C216,'VENTAS'!$A$5:$A$254,0)),"ID no encontrado"))</x:f>
      </x:c>
      <x:c r="F216" s="26" t="str"/>
      <x:c r="G216" s="27" t="str"/>
      <x:c r="H216" s="27" t="str"/>
      <x:c r="I216" s="26" t="str"/>
      <x:c r="J216" s="30" t="str"/>
      <x:c r="K216" s="28" t="str">
        <x:f>IF(B216="","",IF(ISNUMBER(H216),H216,IF(AND(ISNUMBER(G216),ISNUMBER(J216),J216&gt;0),ROUND(G216/J216,2),"")))</x:f>
      </x:c>
      <x:c r="L216" s="31" t="str"/>
      <x:c r="M216" s="26" t="str"/>
      <x:c r="N216" s="26" t="str">
        <x:v>Incluir</x:v>
      </x:c>
      <x:c r="O216" s="22" t="str"/>
      <x:c r="P216" s="22" t="str"/>
      <x:c r="Q216" s="22" t="str">
        <x:f>IF(B216="","",IF(C216="","Falta ID venta",IF(D216="ID no encontrado","ID venta inválido",IF(COUNTIFS('PAGOS'!$A$5:$A$504,A216,'PAGOS'!$B$5:$B$504,"&gt;0")&gt;1,"ID duplicado",IF(AND(L216&lt;&gt;"",COUNTIFS('PAGOS'!$L$5:$L$504,L216,'PAGOS'!$B$5:$B$504,B216,'PAGOS'!$F$5:$F$504,F216)&gt;1),"Referencia repetida",IF(N216&lt;&gt;"Incluir",N216,IF(NOT(ISNUMBER(K216)),"Falta equivalente","Aplicar")))))))</x:f>
      </x:c>
    </x:row>
    <x:row r="217" ht="25" customHeight="1">
      <x:c r="A217" s="22" t="str">
        <x:v>P-213</x:v>
      </x:c>
      <x:c r="B217" s="25" t="str"/>
      <x:c r="C217" s="26" t="str"/>
      <x:c r="D217" s="22" t="str">
        <x:f>IF(C217="","",IF(COUNTIFS('VENTAS'!$A$5:$A$254,C217,'VENTAS'!$C$5:$C$254,"&lt;&gt;")=1,INDEX('VENTAS'!$C$5:$C$254,MATCH(C217,'VENTAS'!$A$5:$A$254,0)),"ID no encontrado"))</x:f>
      </x:c>
      <x:c r="E217" s="22" t="str">
        <x:f>IF(C217="","",IF(COUNTIFS('VENTAS'!$A$5:$A$254,C217,'VENTAS'!$C$5:$C$254,"&lt;&gt;")=1,INDEX('VENTAS'!$D$5:$D$254,MATCH(C217,'VENTAS'!$A$5:$A$254,0)),"ID no encontrado"))</x:f>
      </x:c>
      <x:c r="F217" s="26" t="str"/>
      <x:c r="G217" s="27" t="str"/>
      <x:c r="H217" s="27" t="str"/>
      <x:c r="I217" s="26" t="str"/>
      <x:c r="J217" s="30" t="str"/>
      <x:c r="K217" s="28" t="str">
        <x:f>IF(B217="","",IF(ISNUMBER(H217),H217,IF(AND(ISNUMBER(G217),ISNUMBER(J217),J217&gt;0),ROUND(G217/J217,2),"")))</x:f>
      </x:c>
      <x:c r="L217" s="31" t="str"/>
      <x:c r="M217" s="26" t="str"/>
      <x:c r="N217" s="26" t="str">
        <x:v>Incluir</x:v>
      </x:c>
      <x:c r="O217" s="22" t="str"/>
      <x:c r="P217" s="22" t="str"/>
      <x:c r="Q217" s="22" t="str">
        <x:f>IF(B217="","",IF(C217="","Falta ID venta",IF(D217="ID no encontrado","ID venta inválido",IF(COUNTIFS('PAGOS'!$A$5:$A$504,A217,'PAGOS'!$B$5:$B$504,"&gt;0")&gt;1,"ID duplicado",IF(AND(L217&lt;&gt;"",COUNTIFS('PAGOS'!$L$5:$L$504,L217,'PAGOS'!$B$5:$B$504,B217,'PAGOS'!$F$5:$F$504,F217)&gt;1),"Referencia repetida",IF(N217&lt;&gt;"Incluir",N217,IF(NOT(ISNUMBER(K217)),"Falta equivalente","Aplicar")))))))</x:f>
      </x:c>
    </x:row>
    <x:row r="218" ht="25" customHeight="1">
      <x:c r="A218" s="22" t="str">
        <x:v>P-214</x:v>
      </x:c>
      <x:c r="B218" s="25" t="str"/>
      <x:c r="C218" s="26" t="str"/>
      <x:c r="D218" s="22" t="str">
        <x:f>IF(C218="","",IF(COUNTIFS('VENTAS'!$A$5:$A$254,C218,'VENTAS'!$C$5:$C$254,"&lt;&gt;")=1,INDEX('VENTAS'!$C$5:$C$254,MATCH(C218,'VENTAS'!$A$5:$A$254,0)),"ID no encontrado"))</x:f>
      </x:c>
      <x:c r="E218" s="22" t="str">
        <x:f>IF(C218="","",IF(COUNTIFS('VENTAS'!$A$5:$A$254,C218,'VENTAS'!$C$5:$C$254,"&lt;&gt;")=1,INDEX('VENTAS'!$D$5:$D$254,MATCH(C218,'VENTAS'!$A$5:$A$254,0)),"ID no encontrado"))</x:f>
      </x:c>
      <x:c r="F218" s="26" t="str"/>
      <x:c r="G218" s="27" t="str"/>
      <x:c r="H218" s="27" t="str"/>
      <x:c r="I218" s="26" t="str"/>
      <x:c r="J218" s="30" t="str"/>
      <x:c r="K218" s="28" t="str">
        <x:f>IF(B218="","",IF(ISNUMBER(H218),H218,IF(AND(ISNUMBER(G218),ISNUMBER(J218),J218&gt;0),ROUND(G218/J218,2),"")))</x:f>
      </x:c>
      <x:c r="L218" s="31" t="str"/>
      <x:c r="M218" s="26" t="str"/>
      <x:c r="N218" s="26" t="str">
        <x:v>Incluir</x:v>
      </x:c>
      <x:c r="O218" s="22" t="str"/>
      <x:c r="P218" s="22" t="str"/>
      <x:c r="Q218" s="22" t="str">
        <x:f>IF(B218="","",IF(C218="","Falta ID venta",IF(D218="ID no encontrado","ID venta inválido",IF(COUNTIFS('PAGOS'!$A$5:$A$504,A218,'PAGOS'!$B$5:$B$504,"&gt;0")&gt;1,"ID duplicado",IF(AND(L218&lt;&gt;"",COUNTIFS('PAGOS'!$L$5:$L$504,L218,'PAGOS'!$B$5:$B$504,B218,'PAGOS'!$F$5:$F$504,F218)&gt;1),"Referencia repetida",IF(N218&lt;&gt;"Incluir",N218,IF(NOT(ISNUMBER(K218)),"Falta equivalente","Aplicar")))))))</x:f>
      </x:c>
    </x:row>
    <x:row r="219" ht="25" customHeight="1">
      <x:c r="A219" s="22" t="str">
        <x:v>P-215</x:v>
      </x:c>
      <x:c r="B219" s="25" t="str"/>
      <x:c r="C219" s="26" t="str"/>
      <x:c r="D219" s="22" t="str">
        <x:f>IF(C219="","",IF(COUNTIFS('VENTAS'!$A$5:$A$254,C219,'VENTAS'!$C$5:$C$254,"&lt;&gt;")=1,INDEX('VENTAS'!$C$5:$C$254,MATCH(C219,'VENTAS'!$A$5:$A$254,0)),"ID no encontrado"))</x:f>
      </x:c>
      <x:c r="E219" s="22" t="str">
        <x:f>IF(C219="","",IF(COUNTIFS('VENTAS'!$A$5:$A$254,C219,'VENTAS'!$C$5:$C$254,"&lt;&gt;")=1,INDEX('VENTAS'!$D$5:$D$254,MATCH(C219,'VENTAS'!$A$5:$A$254,0)),"ID no encontrado"))</x:f>
      </x:c>
      <x:c r="F219" s="26" t="str"/>
      <x:c r="G219" s="27" t="str"/>
      <x:c r="H219" s="27" t="str"/>
      <x:c r="I219" s="26" t="str"/>
      <x:c r="J219" s="30" t="str"/>
      <x:c r="K219" s="28" t="str">
        <x:f>IF(B219="","",IF(ISNUMBER(H219),H219,IF(AND(ISNUMBER(G219),ISNUMBER(J219),J219&gt;0),ROUND(G219/J219,2),"")))</x:f>
      </x:c>
      <x:c r="L219" s="31" t="str"/>
      <x:c r="M219" s="26" t="str"/>
      <x:c r="N219" s="26" t="str">
        <x:v>Incluir</x:v>
      </x:c>
      <x:c r="O219" s="22" t="str"/>
      <x:c r="P219" s="22" t="str"/>
      <x:c r="Q219" s="22" t="str">
        <x:f>IF(B219="","",IF(C219="","Falta ID venta",IF(D219="ID no encontrado","ID venta inválido",IF(COUNTIFS('PAGOS'!$A$5:$A$504,A219,'PAGOS'!$B$5:$B$504,"&gt;0")&gt;1,"ID duplicado",IF(AND(L219&lt;&gt;"",COUNTIFS('PAGOS'!$L$5:$L$504,L219,'PAGOS'!$B$5:$B$504,B219,'PAGOS'!$F$5:$F$504,F219)&gt;1),"Referencia repetida",IF(N219&lt;&gt;"Incluir",N219,IF(NOT(ISNUMBER(K219)),"Falta equivalente","Aplicar")))))))</x:f>
      </x:c>
    </x:row>
    <x:row r="220" ht="25" customHeight="1">
      <x:c r="A220" s="22" t="str">
        <x:v>P-216</x:v>
      </x:c>
      <x:c r="B220" s="25" t="str"/>
      <x:c r="C220" s="26" t="str"/>
      <x:c r="D220" s="22" t="str">
        <x:f>IF(C220="","",IF(COUNTIFS('VENTAS'!$A$5:$A$254,C220,'VENTAS'!$C$5:$C$254,"&lt;&gt;")=1,INDEX('VENTAS'!$C$5:$C$254,MATCH(C220,'VENTAS'!$A$5:$A$254,0)),"ID no encontrado"))</x:f>
      </x:c>
      <x:c r="E220" s="22" t="str">
        <x:f>IF(C220="","",IF(COUNTIFS('VENTAS'!$A$5:$A$254,C220,'VENTAS'!$C$5:$C$254,"&lt;&gt;")=1,INDEX('VENTAS'!$D$5:$D$254,MATCH(C220,'VENTAS'!$A$5:$A$254,0)),"ID no encontrado"))</x:f>
      </x:c>
      <x:c r="F220" s="26" t="str"/>
      <x:c r="G220" s="27" t="str"/>
      <x:c r="H220" s="27" t="str"/>
      <x:c r="I220" s="26" t="str"/>
      <x:c r="J220" s="30" t="str"/>
      <x:c r="K220" s="28" t="str">
        <x:f>IF(B220="","",IF(ISNUMBER(H220),H220,IF(AND(ISNUMBER(G220),ISNUMBER(J220),J220&gt;0),ROUND(G220/J220,2),"")))</x:f>
      </x:c>
      <x:c r="L220" s="31" t="str"/>
      <x:c r="M220" s="26" t="str"/>
      <x:c r="N220" s="26" t="str">
        <x:v>Incluir</x:v>
      </x:c>
      <x:c r="O220" s="22" t="str"/>
      <x:c r="P220" s="22" t="str"/>
      <x:c r="Q220" s="22" t="str">
        <x:f>IF(B220="","",IF(C220="","Falta ID venta",IF(D220="ID no encontrado","ID venta inválido",IF(COUNTIFS('PAGOS'!$A$5:$A$504,A220,'PAGOS'!$B$5:$B$504,"&gt;0")&gt;1,"ID duplicado",IF(AND(L220&lt;&gt;"",COUNTIFS('PAGOS'!$L$5:$L$504,L220,'PAGOS'!$B$5:$B$504,B220,'PAGOS'!$F$5:$F$504,F220)&gt;1),"Referencia repetida",IF(N220&lt;&gt;"Incluir",N220,IF(NOT(ISNUMBER(K220)),"Falta equivalente","Aplicar")))))))</x:f>
      </x:c>
    </x:row>
    <x:row r="221" ht="25" customHeight="1">
      <x:c r="A221" s="22" t="str">
        <x:v>P-217</x:v>
      </x:c>
      <x:c r="B221" s="25" t="str"/>
      <x:c r="C221" s="26" t="str"/>
      <x:c r="D221" s="22" t="str">
        <x:f>IF(C221="","",IF(COUNTIFS('VENTAS'!$A$5:$A$254,C221,'VENTAS'!$C$5:$C$254,"&lt;&gt;")=1,INDEX('VENTAS'!$C$5:$C$254,MATCH(C221,'VENTAS'!$A$5:$A$254,0)),"ID no encontrado"))</x:f>
      </x:c>
      <x:c r="E221" s="22" t="str">
        <x:f>IF(C221="","",IF(COUNTIFS('VENTAS'!$A$5:$A$254,C221,'VENTAS'!$C$5:$C$254,"&lt;&gt;")=1,INDEX('VENTAS'!$D$5:$D$254,MATCH(C221,'VENTAS'!$A$5:$A$254,0)),"ID no encontrado"))</x:f>
      </x:c>
      <x:c r="F221" s="26" t="str"/>
      <x:c r="G221" s="27" t="str"/>
      <x:c r="H221" s="27" t="str"/>
      <x:c r="I221" s="26" t="str"/>
      <x:c r="J221" s="30" t="str"/>
      <x:c r="K221" s="28" t="str">
        <x:f>IF(B221="","",IF(ISNUMBER(H221),H221,IF(AND(ISNUMBER(G221),ISNUMBER(J221),J221&gt;0),ROUND(G221/J221,2),"")))</x:f>
      </x:c>
      <x:c r="L221" s="31" t="str"/>
      <x:c r="M221" s="26" t="str"/>
      <x:c r="N221" s="26" t="str">
        <x:v>Incluir</x:v>
      </x:c>
      <x:c r="O221" s="22" t="str"/>
      <x:c r="P221" s="22" t="str"/>
      <x:c r="Q221" s="22" t="str">
        <x:f>IF(B221="","",IF(C221="","Falta ID venta",IF(D221="ID no encontrado","ID venta inválido",IF(COUNTIFS('PAGOS'!$A$5:$A$504,A221,'PAGOS'!$B$5:$B$504,"&gt;0")&gt;1,"ID duplicado",IF(AND(L221&lt;&gt;"",COUNTIFS('PAGOS'!$L$5:$L$504,L221,'PAGOS'!$B$5:$B$504,B221,'PAGOS'!$F$5:$F$504,F221)&gt;1),"Referencia repetida",IF(N221&lt;&gt;"Incluir",N221,IF(NOT(ISNUMBER(K221)),"Falta equivalente","Aplicar")))))))</x:f>
      </x:c>
    </x:row>
    <x:row r="222" ht="25" customHeight="1">
      <x:c r="A222" s="22" t="str">
        <x:v>P-218</x:v>
      </x:c>
      <x:c r="B222" s="25" t="str"/>
      <x:c r="C222" s="26" t="str"/>
      <x:c r="D222" s="22" t="str">
        <x:f>IF(C222="","",IF(COUNTIFS('VENTAS'!$A$5:$A$254,C222,'VENTAS'!$C$5:$C$254,"&lt;&gt;")=1,INDEX('VENTAS'!$C$5:$C$254,MATCH(C222,'VENTAS'!$A$5:$A$254,0)),"ID no encontrado"))</x:f>
      </x:c>
      <x:c r="E222" s="22" t="str">
        <x:f>IF(C222="","",IF(COUNTIFS('VENTAS'!$A$5:$A$254,C222,'VENTAS'!$C$5:$C$254,"&lt;&gt;")=1,INDEX('VENTAS'!$D$5:$D$254,MATCH(C222,'VENTAS'!$A$5:$A$254,0)),"ID no encontrado"))</x:f>
      </x:c>
      <x:c r="F222" s="26" t="str"/>
      <x:c r="G222" s="27" t="str"/>
      <x:c r="H222" s="27" t="str"/>
      <x:c r="I222" s="26" t="str"/>
      <x:c r="J222" s="30" t="str"/>
      <x:c r="K222" s="28" t="str">
        <x:f>IF(B222="","",IF(ISNUMBER(H222),H222,IF(AND(ISNUMBER(G222),ISNUMBER(J222),J222&gt;0),ROUND(G222/J222,2),"")))</x:f>
      </x:c>
      <x:c r="L222" s="31" t="str"/>
      <x:c r="M222" s="26" t="str"/>
      <x:c r="N222" s="26" t="str">
        <x:v>Incluir</x:v>
      </x:c>
      <x:c r="O222" s="22" t="str"/>
      <x:c r="P222" s="22" t="str"/>
      <x:c r="Q222" s="22" t="str">
        <x:f>IF(B222="","",IF(C222="","Falta ID venta",IF(D222="ID no encontrado","ID venta inválido",IF(COUNTIFS('PAGOS'!$A$5:$A$504,A222,'PAGOS'!$B$5:$B$504,"&gt;0")&gt;1,"ID duplicado",IF(AND(L222&lt;&gt;"",COUNTIFS('PAGOS'!$L$5:$L$504,L222,'PAGOS'!$B$5:$B$504,B222,'PAGOS'!$F$5:$F$504,F222)&gt;1),"Referencia repetida",IF(N222&lt;&gt;"Incluir",N222,IF(NOT(ISNUMBER(K222)),"Falta equivalente","Aplicar")))))))</x:f>
      </x:c>
    </x:row>
    <x:row r="223" ht="25" customHeight="1">
      <x:c r="A223" s="22" t="str">
        <x:v>P-219</x:v>
      </x:c>
      <x:c r="B223" s="25" t="str"/>
      <x:c r="C223" s="26" t="str"/>
      <x:c r="D223" s="22" t="str">
        <x:f>IF(C223="","",IF(COUNTIFS('VENTAS'!$A$5:$A$254,C223,'VENTAS'!$C$5:$C$254,"&lt;&gt;")=1,INDEX('VENTAS'!$C$5:$C$254,MATCH(C223,'VENTAS'!$A$5:$A$254,0)),"ID no encontrado"))</x:f>
      </x:c>
      <x:c r="E223" s="22" t="str">
        <x:f>IF(C223="","",IF(COUNTIFS('VENTAS'!$A$5:$A$254,C223,'VENTAS'!$C$5:$C$254,"&lt;&gt;")=1,INDEX('VENTAS'!$D$5:$D$254,MATCH(C223,'VENTAS'!$A$5:$A$254,0)),"ID no encontrado"))</x:f>
      </x:c>
      <x:c r="F223" s="26" t="str"/>
      <x:c r="G223" s="27" t="str"/>
      <x:c r="H223" s="27" t="str"/>
      <x:c r="I223" s="26" t="str"/>
      <x:c r="J223" s="30" t="str"/>
      <x:c r="K223" s="28" t="str">
        <x:f>IF(B223="","",IF(ISNUMBER(H223),H223,IF(AND(ISNUMBER(G223),ISNUMBER(J223),J223&gt;0),ROUND(G223/J223,2),"")))</x:f>
      </x:c>
      <x:c r="L223" s="31" t="str"/>
      <x:c r="M223" s="26" t="str"/>
      <x:c r="N223" s="26" t="str">
        <x:v>Incluir</x:v>
      </x:c>
      <x:c r="O223" s="22" t="str"/>
      <x:c r="P223" s="22" t="str"/>
      <x:c r="Q223" s="22" t="str">
        <x:f>IF(B223="","",IF(C223="","Falta ID venta",IF(D223="ID no encontrado","ID venta inválido",IF(COUNTIFS('PAGOS'!$A$5:$A$504,A223,'PAGOS'!$B$5:$B$504,"&gt;0")&gt;1,"ID duplicado",IF(AND(L223&lt;&gt;"",COUNTIFS('PAGOS'!$L$5:$L$504,L223,'PAGOS'!$B$5:$B$504,B223,'PAGOS'!$F$5:$F$504,F223)&gt;1),"Referencia repetida",IF(N223&lt;&gt;"Incluir",N223,IF(NOT(ISNUMBER(K223)),"Falta equivalente","Aplicar")))))))</x:f>
      </x:c>
    </x:row>
    <x:row r="224" ht="25" customHeight="1">
      <x:c r="A224" s="22" t="str">
        <x:v>P-220</x:v>
      </x:c>
      <x:c r="B224" s="25" t="str"/>
      <x:c r="C224" s="26" t="str"/>
      <x:c r="D224" s="22" t="str">
        <x:f>IF(C224="","",IF(COUNTIFS('VENTAS'!$A$5:$A$254,C224,'VENTAS'!$C$5:$C$254,"&lt;&gt;")=1,INDEX('VENTAS'!$C$5:$C$254,MATCH(C224,'VENTAS'!$A$5:$A$254,0)),"ID no encontrado"))</x:f>
      </x:c>
      <x:c r="E224" s="22" t="str">
        <x:f>IF(C224="","",IF(COUNTIFS('VENTAS'!$A$5:$A$254,C224,'VENTAS'!$C$5:$C$254,"&lt;&gt;")=1,INDEX('VENTAS'!$D$5:$D$254,MATCH(C224,'VENTAS'!$A$5:$A$254,0)),"ID no encontrado"))</x:f>
      </x:c>
      <x:c r="F224" s="26" t="str"/>
      <x:c r="G224" s="27" t="str"/>
      <x:c r="H224" s="27" t="str"/>
      <x:c r="I224" s="26" t="str"/>
      <x:c r="J224" s="30" t="str"/>
      <x:c r="K224" s="28" t="str">
        <x:f>IF(B224="","",IF(ISNUMBER(H224),H224,IF(AND(ISNUMBER(G224),ISNUMBER(J224),J224&gt;0),ROUND(G224/J224,2),"")))</x:f>
      </x:c>
      <x:c r="L224" s="31" t="str"/>
      <x:c r="M224" s="26" t="str"/>
      <x:c r="N224" s="26" t="str">
        <x:v>Incluir</x:v>
      </x:c>
      <x:c r="O224" s="22" t="str"/>
      <x:c r="P224" s="22" t="str"/>
      <x:c r="Q224" s="22" t="str">
        <x:f>IF(B224="","",IF(C224="","Falta ID venta",IF(D224="ID no encontrado","ID venta inválido",IF(COUNTIFS('PAGOS'!$A$5:$A$504,A224,'PAGOS'!$B$5:$B$504,"&gt;0")&gt;1,"ID duplicado",IF(AND(L224&lt;&gt;"",COUNTIFS('PAGOS'!$L$5:$L$504,L224,'PAGOS'!$B$5:$B$504,B224,'PAGOS'!$F$5:$F$504,F224)&gt;1),"Referencia repetida",IF(N224&lt;&gt;"Incluir",N224,IF(NOT(ISNUMBER(K224)),"Falta equivalente","Aplicar")))))))</x:f>
      </x:c>
    </x:row>
    <x:row r="225" ht="25" customHeight="1">
      <x:c r="A225" s="22" t="str">
        <x:v>P-221</x:v>
      </x:c>
      <x:c r="B225" s="25" t="str"/>
      <x:c r="C225" s="26" t="str"/>
      <x:c r="D225" s="22" t="str">
        <x:f>IF(C225="","",IF(COUNTIFS('VENTAS'!$A$5:$A$254,C225,'VENTAS'!$C$5:$C$254,"&lt;&gt;")=1,INDEX('VENTAS'!$C$5:$C$254,MATCH(C225,'VENTAS'!$A$5:$A$254,0)),"ID no encontrado"))</x:f>
      </x:c>
      <x:c r="E225" s="22" t="str">
        <x:f>IF(C225="","",IF(COUNTIFS('VENTAS'!$A$5:$A$254,C225,'VENTAS'!$C$5:$C$254,"&lt;&gt;")=1,INDEX('VENTAS'!$D$5:$D$254,MATCH(C225,'VENTAS'!$A$5:$A$254,0)),"ID no encontrado"))</x:f>
      </x:c>
      <x:c r="F225" s="26" t="str"/>
      <x:c r="G225" s="27" t="str"/>
      <x:c r="H225" s="27" t="str"/>
      <x:c r="I225" s="26" t="str"/>
      <x:c r="J225" s="30" t="str"/>
      <x:c r="K225" s="28" t="str">
        <x:f>IF(B225="","",IF(ISNUMBER(H225),H225,IF(AND(ISNUMBER(G225),ISNUMBER(J225),J225&gt;0),ROUND(G225/J225,2),"")))</x:f>
      </x:c>
      <x:c r="L225" s="31" t="str"/>
      <x:c r="M225" s="26" t="str"/>
      <x:c r="N225" s="26" t="str">
        <x:v>Incluir</x:v>
      </x:c>
      <x:c r="O225" s="22" t="str"/>
      <x:c r="P225" s="22" t="str"/>
      <x:c r="Q225" s="22" t="str">
        <x:f>IF(B225="","",IF(C225="","Falta ID venta",IF(D225="ID no encontrado","ID venta inválido",IF(COUNTIFS('PAGOS'!$A$5:$A$504,A225,'PAGOS'!$B$5:$B$504,"&gt;0")&gt;1,"ID duplicado",IF(AND(L225&lt;&gt;"",COUNTIFS('PAGOS'!$L$5:$L$504,L225,'PAGOS'!$B$5:$B$504,B225,'PAGOS'!$F$5:$F$504,F225)&gt;1),"Referencia repetida",IF(N225&lt;&gt;"Incluir",N225,IF(NOT(ISNUMBER(K225)),"Falta equivalente","Aplicar")))))))</x:f>
      </x:c>
    </x:row>
    <x:row r="226" ht="25" customHeight="1">
      <x:c r="A226" s="22" t="str">
        <x:v>P-222</x:v>
      </x:c>
      <x:c r="B226" s="25" t="str"/>
      <x:c r="C226" s="26" t="str"/>
      <x:c r="D226" s="22" t="str">
        <x:f>IF(C226="","",IF(COUNTIFS('VENTAS'!$A$5:$A$254,C226,'VENTAS'!$C$5:$C$254,"&lt;&gt;")=1,INDEX('VENTAS'!$C$5:$C$254,MATCH(C226,'VENTAS'!$A$5:$A$254,0)),"ID no encontrado"))</x:f>
      </x:c>
      <x:c r="E226" s="22" t="str">
        <x:f>IF(C226="","",IF(COUNTIFS('VENTAS'!$A$5:$A$254,C226,'VENTAS'!$C$5:$C$254,"&lt;&gt;")=1,INDEX('VENTAS'!$D$5:$D$254,MATCH(C226,'VENTAS'!$A$5:$A$254,0)),"ID no encontrado"))</x:f>
      </x:c>
      <x:c r="F226" s="26" t="str"/>
      <x:c r="G226" s="27" t="str"/>
      <x:c r="H226" s="27" t="str"/>
      <x:c r="I226" s="26" t="str"/>
      <x:c r="J226" s="30" t="str"/>
      <x:c r="K226" s="28" t="str">
        <x:f>IF(B226="","",IF(ISNUMBER(H226),H226,IF(AND(ISNUMBER(G226),ISNUMBER(J226),J226&gt;0),ROUND(G226/J226,2),"")))</x:f>
      </x:c>
      <x:c r="L226" s="31" t="str"/>
      <x:c r="M226" s="26" t="str"/>
      <x:c r="N226" s="26" t="str">
        <x:v>Incluir</x:v>
      </x:c>
      <x:c r="O226" s="22" t="str"/>
      <x:c r="P226" s="22" t="str"/>
      <x:c r="Q226" s="22" t="str">
        <x:f>IF(B226="","",IF(C226="","Falta ID venta",IF(D226="ID no encontrado","ID venta inválido",IF(COUNTIFS('PAGOS'!$A$5:$A$504,A226,'PAGOS'!$B$5:$B$504,"&gt;0")&gt;1,"ID duplicado",IF(AND(L226&lt;&gt;"",COUNTIFS('PAGOS'!$L$5:$L$504,L226,'PAGOS'!$B$5:$B$504,B226,'PAGOS'!$F$5:$F$504,F226)&gt;1),"Referencia repetida",IF(N226&lt;&gt;"Incluir",N226,IF(NOT(ISNUMBER(K226)),"Falta equivalente","Aplicar")))))))</x:f>
      </x:c>
    </x:row>
    <x:row r="227" ht="25" customHeight="1">
      <x:c r="A227" s="22" t="str">
        <x:v>P-223</x:v>
      </x:c>
      <x:c r="B227" s="25" t="str"/>
      <x:c r="C227" s="26" t="str"/>
      <x:c r="D227" s="22" t="str">
        <x:f>IF(C227="","",IF(COUNTIFS('VENTAS'!$A$5:$A$254,C227,'VENTAS'!$C$5:$C$254,"&lt;&gt;")=1,INDEX('VENTAS'!$C$5:$C$254,MATCH(C227,'VENTAS'!$A$5:$A$254,0)),"ID no encontrado"))</x:f>
      </x:c>
      <x:c r="E227" s="22" t="str">
        <x:f>IF(C227="","",IF(COUNTIFS('VENTAS'!$A$5:$A$254,C227,'VENTAS'!$C$5:$C$254,"&lt;&gt;")=1,INDEX('VENTAS'!$D$5:$D$254,MATCH(C227,'VENTAS'!$A$5:$A$254,0)),"ID no encontrado"))</x:f>
      </x:c>
      <x:c r="F227" s="26" t="str"/>
      <x:c r="G227" s="27" t="str"/>
      <x:c r="H227" s="27" t="str"/>
      <x:c r="I227" s="26" t="str"/>
      <x:c r="J227" s="30" t="str"/>
      <x:c r="K227" s="28" t="str">
        <x:f>IF(B227="","",IF(ISNUMBER(H227),H227,IF(AND(ISNUMBER(G227),ISNUMBER(J227),J227&gt;0),ROUND(G227/J227,2),"")))</x:f>
      </x:c>
      <x:c r="L227" s="31" t="str"/>
      <x:c r="M227" s="26" t="str"/>
      <x:c r="N227" s="26" t="str">
        <x:v>Incluir</x:v>
      </x:c>
      <x:c r="O227" s="22" t="str"/>
      <x:c r="P227" s="22" t="str"/>
      <x:c r="Q227" s="22" t="str">
        <x:f>IF(B227="","",IF(C227="","Falta ID venta",IF(D227="ID no encontrado","ID venta inválido",IF(COUNTIFS('PAGOS'!$A$5:$A$504,A227,'PAGOS'!$B$5:$B$504,"&gt;0")&gt;1,"ID duplicado",IF(AND(L227&lt;&gt;"",COUNTIFS('PAGOS'!$L$5:$L$504,L227,'PAGOS'!$B$5:$B$504,B227,'PAGOS'!$F$5:$F$504,F227)&gt;1),"Referencia repetida",IF(N227&lt;&gt;"Incluir",N227,IF(NOT(ISNUMBER(K227)),"Falta equivalente","Aplicar")))))))</x:f>
      </x:c>
    </x:row>
    <x:row r="228" ht="25" customHeight="1">
      <x:c r="A228" s="22" t="str">
        <x:v>P-224</x:v>
      </x:c>
      <x:c r="B228" s="25" t="str"/>
      <x:c r="C228" s="26" t="str"/>
      <x:c r="D228" s="22" t="str">
        <x:f>IF(C228="","",IF(COUNTIFS('VENTAS'!$A$5:$A$254,C228,'VENTAS'!$C$5:$C$254,"&lt;&gt;")=1,INDEX('VENTAS'!$C$5:$C$254,MATCH(C228,'VENTAS'!$A$5:$A$254,0)),"ID no encontrado"))</x:f>
      </x:c>
      <x:c r="E228" s="22" t="str">
        <x:f>IF(C228="","",IF(COUNTIFS('VENTAS'!$A$5:$A$254,C228,'VENTAS'!$C$5:$C$254,"&lt;&gt;")=1,INDEX('VENTAS'!$D$5:$D$254,MATCH(C228,'VENTAS'!$A$5:$A$254,0)),"ID no encontrado"))</x:f>
      </x:c>
      <x:c r="F228" s="26" t="str"/>
      <x:c r="G228" s="27" t="str"/>
      <x:c r="H228" s="27" t="str"/>
      <x:c r="I228" s="26" t="str"/>
      <x:c r="J228" s="30" t="str"/>
      <x:c r="K228" s="28" t="str">
        <x:f>IF(B228="","",IF(ISNUMBER(H228),H228,IF(AND(ISNUMBER(G228),ISNUMBER(J228),J228&gt;0),ROUND(G228/J228,2),"")))</x:f>
      </x:c>
      <x:c r="L228" s="31" t="str"/>
      <x:c r="M228" s="26" t="str"/>
      <x:c r="N228" s="26" t="str">
        <x:v>Incluir</x:v>
      </x:c>
      <x:c r="O228" s="22" t="str"/>
      <x:c r="P228" s="22" t="str"/>
      <x:c r="Q228" s="22" t="str">
        <x:f>IF(B228="","",IF(C228="","Falta ID venta",IF(D228="ID no encontrado","ID venta inválido",IF(COUNTIFS('PAGOS'!$A$5:$A$504,A228,'PAGOS'!$B$5:$B$504,"&gt;0")&gt;1,"ID duplicado",IF(AND(L228&lt;&gt;"",COUNTIFS('PAGOS'!$L$5:$L$504,L228,'PAGOS'!$B$5:$B$504,B228,'PAGOS'!$F$5:$F$504,F228)&gt;1),"Referencia repetida",IF(N228&lt;&gt;"Incluir",N228,IF(NOT(ISNUMBER(K228)),"Falta equivalente","Aplicar")))))))</x:f>
      </x:c>
    </x:row>
    <x:row r="229" ht="25" customHeight="1">
      <x:c r="A229" s="22" t="str">
        <x:v>P-225</x:v>
      </x:c>
      <x:c r="B229" s="25" t="str"/>
      <x:c r="C229" s="26" t="str"/>
      <x:c r="D229" s="22" t="str">
        <x:f>IF(C229="","",IF(COUNTIFS('VENTAS'!$A$5:$A$254,C229,'VENTAS'!$C$5:$C$254,"&lt;&gt;")=1,INDEX('VENTAS'!$C$5:$C$254,MATCH(C229,'VENTAS'!$A$5:$A$254,0)),"ID no encontrado"))</x:f>
      </x:c>
      <x:c r="E229" s="22" t="str">
        <x:f>IF(C229="","",IF(COUNTIFS('VENTAS'!$A$5:$A$254,C229,'VENTAS'!$C$5:$C$254,"&lt;&gt;")=1,INDEX('VENTAS'!$D$5:$D$254,MATCH(C229,'VENTAS'!$A$5:$A$254,0)),"ID no encontrado"))</x:f>
      </x:c>
      <x:c r="F229" s="26" t="str"/>
      <x:c r="G229" s="27" t="str"/>
      <x:c r="H229" s="27" t="str"/>
      <x:c r="I229" s="26" t="str"/>
      <x:c r="J229" s="30" t="str"/>
      <x:c r="K229" s="28" t="str">
        <x:f>IF(B229="","",IF(ISNUMBER(H229),H229,IF(AND(ISNUMBER(G229),ISNUMBER(J229),J229&gt;0),ROUND(G229/J229,2),"")))</x:f>
      </x:c>
      <x:c r="L229" s="31" t="str"/>
      <x:c r="M229" s="26" t="str"/>
      <x:c r="N229" s="26" t="str">
        <x:v>Incluir</x:v>
      </x:c>
      <x:c r="O229" s="22" t="str"/>
      <x:c r="P229" s="22" t="str"/>
      <x:c r="Q229" s="22" t="str">
        <x:f>IF(B229="","",IF(C229="","Falta ID venta",IF(D229="ID no encontrado","ID venta inválido",IF(COUNTIFS('PAGOS'!$A$5:$A$504,A229,'PAGOS'!$B$5:$B$504,"&gt;0")&gt;1,"ID duplicado",IF(AND(L229&lt;&gt;"",COUNTIFS('PAGOS'!$L$5:$L$504,L229,'PAGOS'!$B$5:$B$504,B229,'PAGOS'!$F$5:$F$504,F229)&gt;1),"Referencia repetida",IF(N229&lt;&gt;"Incluir",N229,IF(NOT(ISNUMBER(K229)),"Falta equivalente","Aplicar")))))))</x:f>
      </x:c>
    </x:row>
    <x:row r="230" ht="25" customHeight="1">
      <x:c r="A230" s="22" t="str">
        <x:v>P-226</x:v>
      </x:c>
      <x:c r="B230" s="25" t="str"/>
      <x:c r="C230" s="26" t="str"/>
      <x:c r="D230" s="22" t="str">
        <x:f>IF(C230="","",IF(COUNTIFS('VENTAS'!$A$5:$A$254,C230,'VENTAS'!$C$5:$C$254,"&lt;&gt;")=1,INDEX('VENTAS'!$C$5:$C$254,MATCH(C230,'VENTAS'!$A$5:$A$254,0)),"ID no encontrado"))</x:f>
      </x:c>
      <x:c r="E230" s="22" t="str">
        <x:f>IF(C230="","",IF(COUNTIFS('VENTAS'!$A$5:$A$254,C230,'VENTAS'!$C$5:$C$254,"&lt;&gt;")=1,INDEX('VENTAS'!$D$5:$D$254,MATCH(C230,'VENTAS'!$A$5:$A$254,0)),"ID no encontrado"))</x:f>
      </x:c>
      <x:c r="F230" s="26" t="str"/>
      <x:c r="G230" s="27" t="str"/>
      <x:c r="H230" s="27" t="str"/>
      <x:c r="I230" s="26" t="str"/>
      <x:c r="J230" s="30" t="str"/>
      <x:c r="K230" s="28" t="str">
        <x:f>IF(B230="","",IF(ISNUMBER(H230),H230,IF(AND(ISNUMBER(G230),ISNUMBER(J230),J230&gt;0),ROUND(G230/J230,2),"")))</x:f>
      </x:c>
      <x:c r="L230" s="31" t="str"/>
      <x:c r="M230" s="26" t="str"/>
      <x:c r="N230" s="26" t="str">
        <x:v>Incluir</x:v>
      </x:c>
      <x:c r="O230" s="22" t="str"/>
      <x:c r="P230" s="22" t="str"/>
      <x:c r="Q230" s="22" t="str">
        <x:f>IF(B230="","",IF(C230="","Falta ID venta",IF(D230="ID no encontrado","ID venta inválido",IF(COUNTIFS('PAGOS'!$A$5:$A$504,A230,'PAGOS'!$B$5:$B$504,"&gt;0")&gt;1,"ID duplicado",IF(AND(L230&lt;&gt;"",COUNTIFS('PAGOS'!$L$5:$L$504,L230,'PAGOS'!$B$5:$B$504,B230,'PAGOS'!$F$5:$F$504,F230)&gt;1),"Referencia repetida",IF(N230&lt;&gt;"Incluir",N230,IF(NOT(ISNUMBER(K230)),"Falta equivalente","Aplicar")))))))</x:f>
      </x:c>
    </x:row>
    <x:row r="231" ht="25" customHeight="1">
      <x:c r="A231" s="22" t="str">
        <x:v>P-227</x:v>
      </x:c>
      <x:c r="B231" s="25" t="str"/>
      <x:c r="C231" s="26" t="str"/>
      <x:c r="D231" s="22" t="str">
        <x:f>IF(C231="","",IF(COUNTIFS('VENTAS'!$A$5:$A$254,C231,'VENTAS'!$C$5:$C$254,"&lt;&gt;")=1,INDEX('VENTAS'!$C$5:$C$254,MATCH(C231,'VENTAS'!$A$5:$A$254,0)),"ID no encontrado"))</x:f>
      </x:c>
      <x:c r="E231" s="22" t="str">
        <x:f>IF(C231="","",IF(COUNTIFS('VENTAS'!$A$5:$A$254,C231,'VENTAS'!$C$5:$C$254,"&lt;&gt;")=1,INDEX('VENTAS'!$D$5:$D$254,MATCH(C231,'VENTAS'!$A$5:$A$254,0)),"ID no encontrado"))</x:f>
      </x:c>
      <x:c r="F231" s="26" t="str"/>
      <x:c r="G231" s="27" t="str"/>
      <x:c r="H231" s="27" t="str"/>
      <x:c r="I231" s="26" t="str"/>
      <x:c r="J231" s="30" t="str"/>
      <x:c r="K231" s="28" t="str">
        <x:f>IF(B231="","",IF(ISNUMBER(H231),H231,IF(AND(ISNUMBER(G231),ISNUMBER(J231),J231&gt;0),ROUND(G231/J231,2),"")))</x:f>
      </x:c>
      <x:c r="L231" s="31" t="str"/>
      <x:c r="M231" s="26" t="str"/>
      <x:c r="N231" s="26" t="str">
        <x:v>Incluir</x:v>
      </x:c>
      <x:c r="O231" s="22" t="str"/>
      <x:c r="P231" s="22" t="str"/>
      <x:c r="Q231" s="22" t="str">
        <x:f>IF(B231="","",IF(C231="","Falta ID venta",IF(D231="ID no encontrado","ID venta inválido",IF(COUNTIFS('PAGOS'!$A$5:$A$504,A231,'PAGOS'!$B$5:$B$504,"&gt;0")&gt;1,"ID duplicado",IF(AND(L231&lt;&gt;"",COUNTIFS('PAGOS'!$L$5:$L$504,L231,'PAGOS'!$B$5:$B$504,B231,'PAGOS'!$F$5:$F$504,F231)&gt;1),"Referencia repetida",IF(N231&lt;&gt;"Incluir",N231,IF(NOT(ISNUMBER(K231)),"Falta equivalente","Aplicar")))))))</x:f>
      </x:c>
    </x:row>
    <x:row r="232" ht="25" customHeight="1">
      <x:c r="A232" s="22" t="str">
        <x:v>P-228</x:v>
      </x:c>
      <x:c r="B232" s="25" t="str"/>
      <x:c r="C232" s="26" t="str"/>
      <x:c r="D232" s="22" t="str">
        <x:f>IF(C232="","",IF(COUNTIFS('VENTAS'!$A$5:$A$254,C232,'VENTAS'!$C$5:$C$254,"&lt;&gt;")=1,INDEX('VENTAS'!$C$5:$C$254,MATCH(C232,'VENTAS'!$A$5:$A$254,0)),"ID no encontrado"))</x:f>
      </x:c>
      <x:c r="E232" s="22" t="str">
        <x:f>IF(C232="","",IF(COUNTIFS('VENTAS'!$A$5:$A$254,C232,'VENTAS'!$C$5:$C$254,"&lt;&gt;")=1,INDEX('VENTAS'!$D$5:$D$254,MATCH(C232,'VENTAS'!$A$5:$A$254,0)),"ID no encontrado"))</x:f>
      </x:c>
      <x:c r="F232" s="26" t="str"/>
      <x:c r="G232" s="27" t="str"/>
      <x:c r="H232" s="27" t="str"/>
      <x:c r="I232" s="26" t="str"/>
      <x:c r="J232" s="30" t="str"/>
      <x:c r="K232" s="28" t="str">
        <x:f>IF(B232="","",IF(ISNUMBER(H232),H232,IF(AND(ISNUMBER(G232),ISNUMBER(J232),J232&gt;0),ROUND(G232/J232,2),"")))</x:f>
      </x:c>
      <x:c r="L232" s="31" t="str"/>
      <x:c r="M232" s="26" t="str"/>
      <x:c r="N232" s="26" t="str">
        <x:v>Incluir</x:v>
      </x:c>
      <x:c r="O232" s="22" t="str"/>
      <x:c r="P232" s="22" t="str"/>
      <x:c r="Q232" s="22" t="str">
        <x:f>IF(B232="","",IF(C232="","Falta ID venta",IF(D232="ID no encontrado","ID venta inválido",IF(COUNTIFS('PAGOS'!$A$5:$A$504,A232,'PAGOS'!$B$5:$B$504,"&gt;0")&gt;1,"ID duplicado",IF(AND(L232&lt;&gt;"",COUNTIFS('PAGOS'!$L$5:$L$504,L232,'PAGOS'!$B$5:$B$504,B232,'PAGOS'!$F$5:$F$504,F232)&gt;1),"Referencia repetida",IF(N232&lt;&gt;"Incluir",N232,IF(NOT(ISNUMBER(K232)),"Falta equivalente","Aplicar")))))))</x:f>
      </x:c>
    </x:row>
    <x:row r="233" ht="25" customHeight="1">
      <x:c r="A233" s="22" t="str">
        <x:v>P-229</x:v>
      </x:c>
      <x:c r="B233" s="25" t="str"/>
      <x:c r="C233" s="26" t="str"/>
      <x:c r="D233" s="22" t="str">
        <x:f>IF(C233="","",IF(COUNTIFS('VENTAS'!$A$5:$A$254,C233,'VENTAS'!$C$5:$C$254,"&lt;&gt;")=1,INDEX('VENTAS'!$C$5:$C$254,MATCH(C233,'VENTAS'!$A$5:$A$254,0)),"ID no encontrado"))</x:f>
      </x:c>
      <x:c r="E233" s="22" t="str">
        <x:f>IF(C233="","",IF(COUNTIFS('VENTAS'!$A$5:$A$254,C233,'VENTAS'!$C$5:$C$254,"&lt;&gt;")=1,INDEX('VENTAS'!$D$5:$D$254,MATCH(C233,'VENTAS'!$A$5:$A$254,0)),"ID no encontrado"))</x:f>
      </x:c>
      <x:c r="F233" s="26" t="str"/>
      <x:c r="G233" s="27" t="str"/>
      <x:c r="H233" s="27" t="str"/>
      <x:c r="I233" s="26" t="str"/>
      <x:c r="J233" s="30" t="str"/>
      <x:c r="K233" s="28" t="str">
        <x:f>IF(B233="","",IF(ISNUMBER(H233),H233,IF(AND(ISNUMBER(G233),ISNUMBER(J233),J233&gt;0),ROUND(G233/J233,2),"")))</x:f>
      </x:c>
      <x:c r="L233" s="31" t="str"/>
      <x:c r="M233" s="26" t="str"/>
      <x:c r="N233" s="26" t="str">
        <x:v>Incluir</x:v>
      </x:c>
      <x:c r="O233" s="22" t="str"/>
      <x:c r="P233" s="22" t="str"/>
      <x:c r="Q233" s="22" t="str">
        <x:f>IF(B233="","",IF(C233="","Falta ID venta",IF(D233="ID no encontrado","ID venta inválido",IF(COUNTIFS('PAGOS'!$A$5:$A$504,A233,'PAGOS'!$B$5:$B$504,"&gt;0")&gt;1,"ID duplicado",IF(AND(L233&lt;&gt;"",COUNTIFS('PAGOS'!$L$5:$L$504,L233,'PAGOS'!$B$5:$B$504,B233,'PAGOS'!$F$5:$F$504,F233)&gt;1),"Referencia repetida",IF(N233&lt;&gt;"Incluir",N233,IF(NOT(ISNUMBER(K233)),"Falta equivalente","Aplicar")))))))</x:f>
      </x:c>
    </x:row>
    <x:row r="234" ht="25" customHeight="1">
      <x:c r="A234" s="22" t="str">
        <x:v>P-230</x:v>
      </x:c>
      <x:c r="B234" s="25" t="str"/>
      <x:c r="C234" s="26" t="str"/>
      <x:c r="D234" s="22" t="str">
        <x:f>IF(C234="","",IF(COUNTIFS('VENTAS'!$A$5:$A$254,C234,'VENTAS'!$C$5:$C$254,"&lt;&gt;")=1,INDEX('VENTAS'!$C$5:$C$254,MATCH(C234,'VENTAS'!$A$5:$A$254,0)),"ID no encontrado"))</x:f>
      </x:c>
      <x:c r="E234" s="22" t="str">
        <x:f>IF(C234="","",IF(COUNTIFS('VENTAS'!$A$5:$A$254,C234,'VENTAS'!$C$5:$C$254,"&lt;&gt;")=1,INDEX('VENTAS'!$D$5:$D$254,MATCH(C234,'VENTAS'!$A$5:$A$254,0)),"ID no encontrado"))</x:f>
      </x:c>
      <x:c r="F234" s="26" t="str"/>
      <x:c r="G234" s="27" t="str"/>
      <x:c r="H234" s="27" t="str"/>
      <x:c r="I234" s="26" t="str"/>
      <x:c r="J234" s="30" t="str"/>
      <x:c r="K234" s="28" t="str">
        <x:f>IF(B234="","",IF(ISNUMBER(H234),H234,IF(AND(ISNUMBER(G234),ISNUMBER(J234),J234&gt;0),ROUND(G234/J234,2),"")))</x:f>
      </x:c>
      <x:c r="L234" s="31" t="str"/>
      <x:c r="M234" s="26" t="str"/>
      <x:c r="N234" s="26" t="str">
        <x:v>Incluir</x:v>
      </x:c>
      <x:c r="O234" s="22" t="str"/>
      <x:c r="P234" s="22" t="str"/>
      <x:c r="Q234" s="22" t="str">
        <x:f>IF(B234="","",IF(C234="","Falta ID venta",IF(D234="ID no encontrado","ID venta inválido",IF(COUNTIFS('PAGOS'!$A$5:$A$504,A234,'PAGOS'!$B$5:$B$504,"&gt;0")&gt;1,"ID duplicado",IF(AND(L234&lt;&gt;"",COUNTIFS('PAGOS'!$L$5:$L$504,L234,'PAGOS'!$B$5:$B$504,B234,'PAGOS'!$F$5:$F$504,F234)&gt;1),"Referencia repetida",IF(N234&lt;&gt;"Incluir",N234,IF(NOT(ISNUMBER(K234)),"Falta equivalente","Aplicar")))))))</x:f>
      </x:c>
    </x:row>
    <x:row r="235" ht="25" customHeight="1">
      <x:c r="A235" s="22" t="str">
        <x:v>P-231</x:v>
      </x:c>
      <x:c r="B235" s="25" t="str"/>
      <x:c r="C235" s="26" t="str"/>
      <x:c r="D235" s="22" t="str">
        <x:f>IF(C235="","",IF(COUNTIFS('VENTAS'!$A$5:$A$254,C235,'VENTAS'!$C$5:$C$254,"&lt;&gt;")=1,INDEX('VENTAS'!$C$5:$C$254,MATCH(C235,'VENTAS'!$A$5:$A$254,0)),"ID no encontrado"))</x:f>
      </x:c>
      <x:c r="E235" s="22" t="str">
        <x:f>IF(C235="","",IF(COUNTIFS('VENTAS'!$A$5:$A$254,C235,'VENTAS'!$C$5:$C$254,"&lt;&gt;")=1,INDEX('VENTAS'!$D$5:$D$254,MATCH(C235,'VENTAS'!$A$5:$A$254,0)),"ID no encontrado"))</x:f>
      </x:c>
      <x:c r="F235" s="26" t="str"/>
      <x:c r="G235" s="27" t="str"/>
      <x:c r="H235" s="27" t="str"/>
      <x:c r="I235" s="26" t="str"/>
      <x:c r="J235" s="30" t="str"/>
      <x:c r="K235" s="28" t="str">
        <x:f>IF(B235="","",IF(ISNUMBER(H235),H235,IF(AND(ISNUMBER(G235),ISNUMBER(J235),J235&gt;0),ROUND(G235/J235,2),"")))</x:f>
      </x:c>
      <x:c r="L235" s="31" t="str"/>
      <x:c r="M235" s="26" t="str"/>
      <x:c r="N235" s="26" t="str">
        <x:v>Incluir</x:v>
      </x:c>
      <x:c r="O235" s="22" t="str"/>
      <x:c r="P235" s="22" t="str"/>
      <x:c r="Q235" s="22" t="str">
        <x:f>IF(B235="","",IF(C235="","Falta ID venta",IF(D235="ID no encontrado","ID venta inválido",IF(COUNTIFS('PAGOS'!$A$5:$A$504,A235,'PAGOS'!$B$5:$B$504,"&gt;0")&gt;1,"ID duplicado",IF(AND(L235&lt;&gt;"",COUNTIFS('PAGOS'!$L$5:$L$504,L235,'PAGOS'!$B$5:$B$504,B235,'PAGOS'!$F$5:$F$504,F235)&gt;1),"Referencia repetida",IF(N235&lt;&gt;"Incluir",N235,IF(NOT(ISNUMBER(K235)),"Falta equivalente","Aplicar")))))))</x:f>
      </x:c>
    </x:row>
    <x:row r="236" ht="25" customHeight="1">
      <x:c r="A236" s="22" t="str">
        <x:v>P-232</x:v>
      </x:c>
      <x:c r="B236" s="25" t="str"/>
      <x:c r="C236" s="26" t="str"/>
      <x:c r="D236" s="22" t="str">
        <x:f>IF(C236="","",IF(COUNTIFS('VENTAS'!$A$5:$A$254,C236,'VENTAS'!$C$5:$C$254,"&lt;&gt;")=1,INDEX('VENTAS'!$C$5:$C$254,MATCH(C236,'VENTAS'!$A$5:$A$254,0)),"ID no encontrado"))</x:f>
      </x:c>
      <x:c r="E236" s="22" t="str">
        <x:f>IF(C236="","",IF(COUNTIFS('VENTAS'!$A$5:$A$254,C236,'VENTAS'!$C$5:$C$254,"&lt;&gt;")=1,INDEX('VENTAS'!$D$5:$D$254,MATCH(C236,'VENTAS'!$A$5:$A$254,0)),"ID no encontrado"))</x:f>
      </x:c>
      <x:c r="F236" s="26" t="str"/>
      <x:c r="G236" s="27" t="str"/>
      <x:c r="H236" s="27" t="str"/>
      <x:c r="I236" s="26" t="str"/>
      <x:c r="J236" s="30" t="str"/>
      <x:c r="K236" s="28" t="str">
        <x:f>IF(B236="","",IF(ISNUMBER(H236),H236,IF(AND(ISNUMBER(G236),ISNUMBER(J236),J236&gt;0),ROUND(G236/J236,2),"")))</x:f>
      </x:c>
      <x:c r="L236" s="31" t="str"/>
      <x:c r="M236" s="26" t="str"/>
      <x:c r="N236" s="26" t="str">
        <x:v>Incluir</x:v>
      </x:c>
      <x:c r="O236" s="22" t="str"/>
      <x:c r="P236" s="22" t="str"/>
      <x:c r="Q236" s="22" t="str">
        <x:f>IF(B236="","",IF(C236="","Falta ID venta",IF(D236="ID no encontrado","ID venta inválido",IF(COUNTIFS('PAGOS'!$A$5:$A$504,A236,'PAGOS'!$B$5:$B$504,"&gt;0")&gt;1,"ID duplicado",IF(AND(L236&lt;&gt;"",COUNTIFS('PAGOS'!$L$5:$L$504,L236,'PAGOS'!$B$5:$B$504,B236,'PAGOS'!$F$5:$F$504,F236)&gt;1),"Referencia repetida",IF(N236&lt;&gt;"Incluir",N236,IF(NOT(ISNUMBER(K236)),"Falta equivalente","Aplicar")))))))</x:f>
      </x:c>
    </x:row>
    <x:row r="237" ht="25" customHeight="1">
      <x:c r="A237" s="22" t="str">
        <x:v>P-233</x:v>
      </x:c>
      <x:c r="B237" s="25" t="str"/>
      <x:c r="C237" s="26" t="str"/>
      <x:c r="D237" s="22" t="str">
        <x:f>IF(C237="","",IF(COUNTIFS('VENTAS'!$A$5:$A$254,C237,'VENTAS'!$C$5:$C$254,"&lt;&gt;")=1,INDEX('VENTAS'!$C$5:$C$254,MATCH(C237,'VENTAS'!$A$5:$A$254,0)),"ID no encontrado"))</x:f>
      </x:c>
      <x:c r="E237" s="22" t="str">
        <x:f>IF(C237="","",IF(COUNTIFS('VENTAS'!$A$5:$A$254,C237,'VENTAS'!$C$5:$C$254,"&lt;&gt;")=1,INDEX('VENTAS'!$D$5:$D$254,MATCH(C237,'VENTAS'!$A$5:$A$254,0)),"ID no encontrado"))</x:f>
      </x:c>
      <x:c r="F237" s="26" t="str"/>
      <x:c r="G237" s="27" t="str"/>
      <x:c r="H237" s="27" t="str"/>
      <x:c r="I237" s="26" t="str"/>
      <x:c r="J237" s="30" t="str"/>
      <x:c r="K237" s="28" t="str">
        <x:f>IF(B237="","",IF(ISNUMBER(H237),H237,IF(AND(ISNUMBER(G237),ISNUMBER(J237),J237&gt;0),ROUND(G237/J237,2),"")))</x:f>
      </x:c>
      <x:c r="L237" s="31" t="str"/>
      <x:c r="M237" s="26" t="str"/>
      <x:c r="N237" s="26" t="str">
        <x:v>Incluir</x:v>
      </x:c>
      <x:c r="O237" s="22" t="str"/>
      <x:c r="P237" s="22" t="str"/>
      <x:c r="Q237" s="22" t="str">
        <x:f>IF(B237="","",IF(C237="","Falta ID venta",IF(D237="ID no encontrado","ID venta inválido",IF(COUNTIFS('PAGOS'!$A$5:$A$504,A237,'PAGOS'!$B$5:$B$504,"&gt;0")&gt;1,"ID duplicado",IF(AND(L237&lt;&gt;"",COUNTIFS('PAGOS'!$L$5:$L$504,L237,'PAGOS'!$B$5:$B$504,B237,'PAGOS'!$F$5:$F$504,F237)&gt;1),"Referencia repetida",IF(N237&lt;&gt;"Incluir",N237,IF(NOT(ISNUMBER(K237)),"Falta equivalente","Aplicar")))))))</x:f>
      </x:c>
    </x:row>
    <x:row r="238" ht="25" customHeight="1">
      <x:c r="A238" s="22" t="str">
        <x:v>P-234</x:v>
      </x:c>
      <x:c r="B238" s="25" t="str"/>
      <x:c r="C238" s="26" t="str"/>
      <x:c r="D238" s="22" t="str">
        <x:f>IF(C238="","",IF(COUNTIFS('VENTAS'!$A$5:$A$254,C238,'VENTAS'!$C$5:$C$254,"&lt;&gt;")=1,INDEX('VENTAS'!$C$5:$C$254,MATCH(C238,'VENTAS'!$A$5:$A$254,0)),"ID no encontrado"))</x:f>
      </x:c>
      <x:c r="E238" s="22" t="str">
        <x:f>IF(C238="","",IF(COUNTIFS('VENTAS'!$A$5:$A$254,C238,'VENTAS'!$C$5:$C$254,"&lt;&gt;")=1,INDEX('VENTAS'!$D$5:$D$254,MATCH(C238,'VENTAS'!$A$5:$A$254,0)),"ID no encontrado"))</x:f>
      </x:c>
      <x:c r="F238" s="26" t="str"/>
      <x:c r="G238" s="27" t="str"/>
      <x:c r="H238" s="27" t="str"/>
      <x:c r="I238" s="26" t="str"/>
      <x:c r="J238" s="30" t="str"/>
      <x:c r="K238" s="28" t="str">
        <x:f>IF(B238="","",IF(ISNUMBER(H238),H238,IF(AND(ISNUMBER(G238),ISNUMBER(J238),J238&gt;0),ROUND(G238/J238,2),"")))</x:f>
      </x:c>
      <x:c r="L238" s="31" t="str"/>
      <x:c r="M238" s="26" t="str"/>
      <x:c r="N238" s="26" t="str">
        <x:v>Incluir</x:v>
      </x:c>
      <x:c r="O238" s="22" t="str"/>
      <x:c r="P238" s="22" t="str"/>
      <x:c r="Q238" s="22" t="str">
        <x:f>IF(B238="","",IF(C238="","Falta ID venta",IF(D238="ID no encontrado","ID venta inválido",IF(COUNTIFS('PAGOS'!$A$5:$A$504,A238,'PAGOS'!$B$5:$B$504,"&gt;0")&gt;1,"ID duplicado",IF(AND(L238&lt;&gt;"",COUNTIFS('PAGOS'!$L$5:$L$504,L238,'PAGOS'!$B$5:$B$504,B238,'PAGOS'!$F$5:$F$504,F238)&gt;1),"Referencia repetida",IF(N238&lt;&gt;"Incluir",N238,IF(NOT(ISNUMBER(K238)),"Falta equivalente","Aplicar")))))))</x:f>
      </x:c>
    </x:row>
    <x:row r="239" ht="25" customHeight="1">
      <x:c r="A239" s="22" t="str">
        <x:v>P-235</x:v>
      </x:c>
      <x:c r="B239" s="25" t="str"/>
      <x:c r="C239" s="26" t="str"/>
      <x:c r="D239" s="22" t="str">
        <x:f>IF(C239="","",IF(COUNTIFS('VENTAS'!$A$5:$A$254,C239,'VENTAS'!$C$5:$C$254,"&lt;&gt;")=1,INDEX('VENTAS'!$C$5:$C$254,MATCH(C239,'VENTAS'!$A$5:$A$254,0)),"ID no encontrado"))</x:f>
      </x:c>
      <x:c r="E239" s="22" t="str">
        <x:f>IF(C239="","",IF(COUNTIFS('VENTAS'!$A$5:$A$254,C239,'VENTAS'!$C$5:$C$254,"&lt;&gt;")=1,INDEX('VENTAS'!$D$5:$D$254,MATCH(C239,'VENTAS'!$A$5:$A$254,0)),"ID no encontrado"))</x:f>
      </x:c>
      <x:c r="F239" s="26" t="str"/>
      <x:c r="G239" s="27" t="str"/>
      <x:c r="H239" s="27" t="str"/>
      <x:c r="I239" s="26" t="str"/>
      <x:c r="J239" s="30" t="str"/>
      <x:c r="K239" s="28" t="str">
        <x:f>IF(B239="","",IF(ISNUMBER(H239),H239,IF(AND(ISNUMBER(G239),ISNUMBER(J239),J239&gt;0),ROUND(G239/J239,2),"")))</x:f>
      </x:c>
      <x:c r="L239" s="31" t="str"/>
      <x:c r="M239" s="26" t="str"/>
      <x:c r="N239" s="26" t="str">
        <x:v>Incluir</x:v>
      </x:c>
      <x:c r="O239" s="22" t="str"/>
      <x:c r="P239" s="22" t="str"/>
      <x:c r="Q239" s="22" t="str">
        <x:f>IF(B239="","",IF(C239="","Falta ID venta",IF(D239="ID no encontrado","ID venta inválido",IF(COUNTIFS('PAGOS'!$A$5:$A$504,A239,'PAGOS'!$B$5:$B$504,"&gt;0")&gt;1,"ID duplicado",IF(AND(L239&lt;&gt;"",COUNTIFS('PAGOS'!$L$5:$L$504,L239,'PAGOS'!$B$5:$B$504,B239,'PAGOS'!$F$5:$F$504,F239)&gt;1),"Referencia repetida",IF(N239&lt;&gt;"Incluir",N239,IF(NOT(ISNUMBER(K239)),"Falta equivalente","Aplicar")))))))</x:f>
      </x:c>
    </x:row>
    <x:row r="240" ht="25" customHeight="1">
      <x:c r="A240" s="22" t="str">
        <x:v>P-236</x:v>
      </x:c>
      <x:c r="B240" s="25" t="str"/>
      <x:c r="C240" s="26" t="str"/>
      <x:c r="D240" s="22" t="str">
        <x:f>IF(C240="","",IF(COUNTIFS('VENTAS'!$A$5:$A$254,C240,'VENTAS'!$C$5:$C$254,"&lt;&gt;")=1,INDEX('VENTAS'!$C$5:$C$254,MATCH(C240,'VENTAS'!$A$5:$A$254,0)),"ID no encontrado"))</x:f>
      </x:c>
      <x:c r="E240" s="22" t="str">
        <x:f>IF(C240="","",IF(COUNTIFS('VENTAS'!$A$5:$A$254,C240,'VENTAS'!$C$5:$C$254,"&lt;&gt;")=1,INDEX('VENTAS'!$D$5:$D$254,MATCH(C240,'VENTAS'!$A$5:$A$254,0)),"ID no encontrado"))</x:f>
      </x:c>
      <x:c r="F240" s="26" t="str"/>
      <x:c r="G240" s="27" t="str"/>
      <x:c r="H240" s="27" t="str"/>
      <x:c r="I240" s="26" t="str"/>
      <x:c r="J240" s="30" t="str"/>
      <x:c r="K240" s="28" t="str">
        <x:f>IF(B240="","",IF(ISNUMBER(H240),H240,IF(AND(ISNUMBER(G240),ISNUMBER(J240),J240&gt;0),ROUND(G240/J240,2),"")))</x:f>
      </x:c>
      <x:c r="L240" s="31" t="str"/>
      <x:c r="M240" s="26" t="str"/>
      <x:c r="N240" s="26" t="str">
        <x:v>Incluir</x:v>
      </x:c>
      <x:c r="O240" s="22" t="str"/>
      <x:c r="P240" s="22" t="str"/>
      <x:c r="Q240" s="22" t="str">
        <x:f>IF(B240="","",IF(C240="","Falta ID venta",IF(D240="ID no encontrado","ID venta inválido",IF(COUNTIFS('PAGOS'!$A$5:$A$504,A240,'PAGOS'!$B$5:$B$504,"&gt;0")&gt;1,"ID duplicado",IF(AND(L240&lt;&gt;"",COUNTIFS('PAGOS'!$L$5:$L$504,L240,'PAGOS'!$B$5:$B$504,B240,'PAGOS'!$F$5:$F$504,F240)&gt;1),"Referencia repetida",IF(N240&lt;&gt;"Incluir",N240,IF(NOT(ISNUMBER(K240)),"Falta equivalente","Aplicar")))))))</x:f>
      </x:c>
    </x:row>
    <x:row r="241" ht="25" customHeight="1">
      <x:c r="A241" s="22" t="str">
        <x:v>P-237</x:v>
      </x:c>
      <x:c r="B241" s="25" t="str"/>
      <x:c r="C241" s="26" t="str"/>
      <x:c r="D241" s="22" t="str">
        <x:f>IF(C241="","",IF(COUNTIFS('VENTAS'!$A$5:$A$254,C241,'VENTAS'!$C$5:$C$254,"&lt;&gt;")=1,INDEX('VENTAS'!$C$5:$C$254,MATCH(C241,'VENTAS'!$A$5:$A$254,0)),"ID no encontrado"))</x:f>
      </x:c>
      <x:c r="E241" s="22" t="str">
        <x:f>IF(C241="","",IF(COUNTIFS('VENTAS'!$A$5:$A$254,C241,'VENTAS'!$C$5:$C$254,"&lt;&gt;")=1,INDEX('VENTAS'!$D$5:$D$254,MATCH(C241,'VENTAS'!$A$5:$A$254,0)),"ID no encontrado"))</x:f>
      </x:c>
      <x:c r="F241" s="26" t="str"/>
      <x:c r="G241" s="27" t="str"/>
      <x:c r="H241" s="27" t="str"/>
      <x:c r="I241" s="26" t="str"/>
      <x:c r="J241" s="30" t="str"/>
      <x:c r="K241" s="28" t="str">
        <x:f>IF(B241="","",IF(ISNUMBER(H241),H241,IF(AND(ISNUMBER(G241),ISNUMBER(J241),J241&gt;0),ROUND(G241/J241,2),"")))</x:f>
      </x:c>
      <x:c r="L241" s="31" t="str"/>
      <x:c r="M241" s="26" t="str"/>
      <x:c r="N241" s="26" t="str">
        <x:v>Incluir</x:v>
      </x:c>
      <x:c r="O241" s="22" t="str"/>
      <x:c r="P241" s="22" t="str"/>
      <x:c r="Q241" s="22" t="str">
        <x:f>IF(B241="","",IF(C241="","Falta ID venta",IF(D241="ID no encontrado","ID venta inválido",IF(COUNTIFS('PAGOS'!$A$5:$A$504,A241,'PAGOS'!$B$5:$B$504,"&gt;0")&gt;1,"ID duplicado",IF(AND(L241&lt;&gt;"",COUNTIFS('PAGOS'!$L$5:$L$504,L241,'PAGOS'!$B$5:$B$504,B241,'PAGOS'!$F$5:$F$504,F241)&gt;1),"Referencia repetida",IF(N241&lt;&gt;"Incluir",N241,IF(NOT(ISNUMBER(K241)),"Falta equivalente","Aplicar")))))))</x:f>
      </x:c>
    </x:row>
    <x:row r="242" ht="25" customHeight="1">
      <x:c r="A242" s="22" t="str">
        <x:v>P-238</x:v>
      </x:c>
      <x:c r="B242" s="25" t="str"/>
      <x:c r="C242" s="26" t="str"/>
      <x:c r="D242" s="22" t="str">
        <x:f>IF(C242="","",IF(COUNTIFS('VENTAS'!$A$5:$A$254,C242,'VENTAS'!$C$5:$C$254,"&lt;&gt;")=1,INDEX('VENTAS'!$C$5:$C$254,MATCH(C242,'VENTAS'!$A$5:$A$254,0)),"ID no encontrado"))</x:f>
      </x:c>
      <x:c r="E242" s="22" t="str">
        <x:f>IF(C242="","",IF(COUNTIFS('VENTAS'!$A$5:$A$254,C242,'VENTAS'!$C$5:$C$254,"&lt;&gt;")=1,INDEX('VENTAS'!$D$5:$D$254,MATCH(C242,'VENTAS'!$A$5:$A$254,0)),"ID no encontrado"))</x:f>
      </x:c>
      <x:c r="F242" s="26" t="str"/>
      <x:c r="G242" s="27" t="str"/>
      <x:c r="H242" s="27" t="str"/>
      <x:c r="I242" s="26" t="str"/>
      <x:c r="J242" s="30" t="str"/>
      <x:c r="K242" s="28" t="str">
        <x:f>IF(B242="","",IF(ISNUMBER(H242),H242,IF(AND(ISNUMBER(G242),ISNUMBER(J242),J242&gt;0),ROUND(G242/J242,2),"")))</x:f>
      </x:c>
      <x:c r="L242" s="31" t="str"/>
      <x:c r="M242" s="26" t="str"/>
      <x:c r="N242" s="26" t="str">
        <x:v>Incluir</x:v>
      </x:c>
      <x:c r="O242" s="22" t="str"/>
      <x:c r="P242" s="22" t="str"/>
      <x:c r="Q242" s="22" t="str">
        <x:f>IF(B242="","",IF(C242="","Falta ID venta",IF(D242="ID no encontrado","ID venta inválido",IF(COUNTIFS('PAGOS'!$A$5:$A$504,A242,'PAGOS'!$B$5:$B$504,"&gt;0")&gt;1,"ID duplicado",IF(AND(L242&lt;&gt;"",COUNTIFS('PAGOS'!$L$5:$L$504,L242,'PAGOS'!$B$5:$B$504,B242,'PAGOS'!$F$5:$F$504,F242)&gt;1),"Referencia repetida",IF(N242&lt;&gt;"Incluir",N242,IF(NOT(ISNUMBER(K242)),"Falta equivalente","Aplicar")))))))</x:f>
      </x:c>
    </x:row>
    <x:row r="243" ht="25" customHeight="1">
      <x:c r="A243" s="22" t="str">
        <x:v>P-239</x:v>
      </x:c>
      <x:c r="B243" s="25" t="str"/>
      <x:c r="C243" s="26" t="str"/>
      <x:c r="D243" s="22" t="str">
        <x:f>IF(C243="","",IF(COUNTIFS('VENTAS'!$A$5:$A$254,C243,'VENTAS'!$C$5:$C$254,"&lt;&gt;")=1,INDEX('VENTAS'!$C$5:$C$254,MATCH(C243,'VENTAS'!$A$5:$A$254,0)),"ID no encontrado"))</x:f>
      </x:c>
      <x:c r="E243" s="22" t="str">
        <x:f>IF(C243="","",IF(COUNTIFS('VENTAS'!$A$5:$A$254,C243,'VENTAS'!$C$5:$C$254,"&lt;&gt;")=1,INDEX('VENTAS'!$D$5:$D$254,MATCH(C243,'VENTAS'!$A$5:$A$254,0)),"ID no encontrado"))</x:f>
      </x:c>
      <x:c r="F243" s="26" t="str"/>
      <x:c r="G243" s="27" t="str"/>
      <x:c r="H243" s="27" t="str"/>
      <x:c r="I243" s="26" t="str"/>
      <x:c r="J243" s="30" t="str"/>
      <x:c r="K243" s="28" t="str">
        <x:f>IF(B243="","",IF(ISNUMBER(H243),H243,IF(AND(ISNUMBER(G243),ISNUMBER(J243),J243&gt;0),ROUND(G243/J243,2),"")))</x:f>
      </x:c>
      <x:c r="L243" s="31" t="str"/>
      <x:c r="M243" s="26" t="str"/>
      <x:c r="N243" s="26" t="str">
        <x:v>Incluir</x:v>
      </x:c>
      <x:c r="O243" s="22" t="str"/>
      <x:c r="P243" s="22" t="str"/>
      <x:c r="Q243" s="22" t="str">
        <x:f>IF(B243="","",IF(C243="","Falta ID venta",IF(D243="ID no encontrado","ID venta inválido",IF(COUNTIFS('PAGOS'!$A$5:$A$504,A243,'PAGOS'!$B$5:$B$504,"&gt;0")&gt;1,"ID duplicado",IF(AND(L243&lt;&gt;"",COUNTIFS('PAGOS'!$L$5:$L$504,L243,'PAGOS'!$B$5:$B$504,B243,'PAGOS'!$F$5:$F$504,F243)&gt;1),"Referencia repetida",IF(N243&lt;&gt;"Incluir",N243,IF(NOT(ISNUMBER(K243)),"Falta equivalente","Aplicar")))))))</x:f>
      </x:c>
    </x:row>
    <x:row r="244" ht="25" customHeight="1">
      <x:c r="A244" s="22" t="str">
        <x:v>P-240</x:v>
      </x:c>
      <x:c r="B244" s="25" t="str"/>
      <x:c r="C244" s="26" t="str"/>
      <x:c r="D244" s="22" t="str">
        <x:f>IF(C244="","",IF(COUNTIFS('VENTAS'!$A$5:$A$254,C244,'VENTAS'!$C$5:$C$254,"&lt;&gt;")=1,INDEX('VENTAS'!$C$5:$C$254,MATCH(C244,'VENTAS'!$A$5:$A$254,0)),"ID no encontrado"))</x:f>
      </x:c>
      <x:c r="E244" s="22" t="str">
        <x:f>IF(C244="","",IF(COUNTIFS('VENTAS'!$A$5:$A$254,C244,'VENTAS'!$C$5:$C$254,"&lt;&gt;")=1,INDEX('VENTAS'!$D$5:$D$254,MATCH(C244,'VENTAS'!$A$5:$A$254,0)),"ID no encontrado"))</x:f>
      </x:c>
      <x:c r="F244" s="26" t="str"/>
      <x:c r="G244" s="27" t="str"/>
      <x:c r="H244" s="27" t="str"/>
      <x:c r="I244" s="26" t="str"/>
      <x:c r="J244" s="30" t="str"/>
      <x:c r="K244" s="28" t="str">
        <x:f>IF(B244="","",IF(ISNUMBER(H244),H244,IF(AND(ISNUMBER(G244),ISNUMBER(J244),J244&gt;0),ROUND(G244/J244,2),"")))</x:f>
      </x:c>
      <x:c r="L244" s="31" t="str"/>
      <x:c r="M244" s="26" t="str"/>
      <x:c r="N244" s="26" t="str">
        <x:v>Incluir</x:v>
      </x:c>
      <x:c r="O244" s="22" t="str"/>
      <x:c r="P244" s="22" t="str"/>
      <x:c r="Q244" s="22" t="str">
        <x:f>IF(B244="","",IF(C244="","Falta ID venta",IF(D244="ID no encontrado","ID venta inválido",IF(COUNTIFS('PAGOS'!$A$5:$A$504,A244,'PAGOS'!$B$5:$B$504,"&gt;0")&gt;1,"ID duplicado",IF(AND(L244&lt;&gt;"",COUNTIFS('PAGOS'!$L$5:$L$504,L244,'PAGOS'!$B$5:$B$504,B244,'PAGOS'!$F$5:$F$504,F244)&gt;1),"Referencia repetida",IF(N244&lt;&gt;"Incluir",N244,IF(NOT(ISNUMBER(K244)),"Falta equivalente","Aplicar")))))))</x:f>
      </x:c>
    </x:row>
    <x:row r="245" ht="25" customHeight="1">
      <x:c r="A245" s="22" t="str">
        <x:v>P-241</x:v>
      </x:c>
      <x:c r="B245" s="25" t="str"/>
      <x:c r="C245" s="26" t="str"/>
      <x:c r="D245" s="22" t="str">
        <x:f>IF(C245="","",IF(COUNTIFS('VENTAS'!$A$5:$A$254,C245,'VENTAS'!$C$5:$C$254,"&lt;&gt;")=1,INDEX('VENTAS'!$C$5:$C$254,MATCH(C245,'VENTAS'!$A$5:$A$254,0)),"ID no encontrado"))</x:f>
      </x:c>
      <x:c r="E245" s="22" t="str">
        <x:f>IF(C245="","",IF(COUNTIFS('VENTAS'!$A$5:$A$254,C245,'VENTAS'!$C$5:$C$254,"&lt;&gt;")=1,INDEX('VENTAS'!$D$5:$D$254,MATCH(C245,'VENTAS'!$A$5:$A$254,0)),"ID no encontrado"))</x:f>
      </x:c>
      <x:c r="F245" s="26" t="str"/>
      <x:c r="G245" s="27" t="str"/>
      <x:c r="H245" s="27" t="str"/>
      <x:c r="I245" s="26" t="str"/>
      <x:c r="J245" s="30" t="str"/>
      <x:c r="K245" s="28" t="str">
        <x:f>IF(B245="","",IF(ISNUMBER(H245),H245,IF(AND(ISNUMBER(G245),ISNUMBER(J245),J245&gt;0),ROUND(G245/J245,2),"")))</x:f>
      </x:c>
      <x:c r="L245" s="31" t="str"/>
      <x:c r="M245" s="26" t="str"/>
      <x:c r="N245" s="26" t="str">
        <x:v>Incluir</x:v>
      </x:c>
      <x:c r="O245" s="22" t="str"/>
      <x:c r="P245" s="22" t="str"/>
      <x:c r="Q245" s="22" t="str">
        <x:f>IF(B245="","",IF(C245="","Falta ID venta",IF(D245="ID no encontrado","ID venta inválido",IF(COUNTIFS('PAGOS'!$A$5:$A$504,A245,'PAGOS'!$B$5:$B$504,"&gt;0")&gt;1,"ID duplicado",IF(AND(L245&lt;&gt;"",COUNTIFS('PAGOS'!$L$5:$L$504,L245,'PAGOS'!$B$5:$B$504,B245,'PAGOS'!$F$5:$F$504,F245)&gt;1),"Referencia repetida",IF(N245&lt;&gt;"Incluir",N245,IF(NOT(ISNUMBER(K245)),"Falta equivalente","Aplicar")))))))</x:f>
      </x:c>
    </x:row>
    <x:row r="246" ht="25" customHeight="1">
      <x:c r="A246" s="22" t="str">
        <x:v>P-242</x:v>
      </x:c>
      <x:c r="B246" s="25" t="str"/>
      <x:c r="C246" s="26" t="str"/>
      <x:c r="D246" s="22" t="str">
        <x:f>IF(C246="","",IF(COUNTIFS('VENTAS'!$A$5:$A$254,C246,'VENTAS'!$C$5:$C$254,"&lt;&gt;")=1,INDEX('VENTAS'!$C$5:$C$254,MATCH(C246,'VENTAS'!$A$5:$A$254,0)),"ID no encontrado"))</x:f>
      </x:c>
      <x:c r="E246" s="22" t="str">
        <x:f>IF(C246="","",IF(COUNTIFS('VENTAS'!$A$5:$A$254,C246,'VENTAS'!$C$5:$C$254,"&lt;&gt;")=1,INDEX('VENTAS'!$D$5:$D$254,MATCH(C246,'VENTAS'!$A$5:$A$254,0)),"ID no encontrado"))</x:f>
      </x:c>
      <x:c r="F246" s="26" t="str"/>
      <x:c r="G246" s="27" t="str"/>
      <x:c r="H246" s="27" t="str"/>
      <x:c r="I246" s="26" t="str"/>
      <x:c r="J246" s="30" t="str"/>
      <x:c r="K246" s="28" t="str">
        <x:f>IF(B246="","",IF(ISNUMBER(H246),H246,IF(AND(ISNUMBER(G246),ISNUMBER(J246),J246&gt;0),ROUND(G246/J246,2),"")))</x:f>
      </x:c>
      <x:c r="L246" s="31" t="str"/>
      <x:c r="M246" s="26" t="str"/>
      <x:c r="N246" s="26" t="str">
        <x:v>Incluir</x:v>
      </x:c>
      <x:c r="O246" s="22" t="str"/>
      <x:c r="P246" s="22" t="str"/>
      <x:c r="Q246" s="22" t="str">
        <x:f>IF(B246="","",IF(C246="","Falta ID venta",IF(D246="ID no encontrado","ID venta inválido",IF(COUNTIFS('PAGOS'!$A$5:$A$504,A246,'PAGOS'!$B$5:$B$504,"&gt;0")&gt;1,"ID duplicado",IF(AND(L246&lt;&gt;"",COUNTIFS('PAGOS'!$L$5:$L$504,L246,'PAGOS'!$B$5:$B$504,B246,'PAGOS'!$F$5:$F$504,F246)&gt;1),"Referencia repetida",IF(N246&lt;&gt;"Incluir",N246,IF(NOT(ISNUMBER(K246)),"Falta equivalente","Aplicar")))))))</x:f>
      </x:c>
    </x:row>
    <x:row r="247" ht="25" customHeight="1">
      <x:c r="A247" s="22" t="str">
        <x:v>P-243</x:v>
      </x:c>
      <x:c r="B247" s="25" t="str"/>
      <x:c r="C247" s="26" t="str"/>
      <x:c r="D247" s="22" t="str">
        <x:f>IF(C247="","",IF(COUNTIFS('VENTAS'!$A$5:$A$254,C247,'VENTAS'!$C$5:$C$254,"&lt;&gt;")=1,INDEX('VENTAS'!$C$5:$C$254,MATCH(C247,'VENTAS'!$A$5:$A$254,0)),"ID no encontrado"))</x:f>
      </x:c>
      <x:c r="E247" s="22" t="str">
        <x:f>IF(C247="","",IF(COUNTIFS('VENTAS'!$A$5:$A$254,C247,'VENTAS'!$C$5:$C$254,"&lt;&gt;")=1,INDEX('VENTAS'!$D$5:$D$254,MATCH(C247,'VENTAS'!$A$5:$A$254,0)),"ID no encontrado"))</x:f>
      </x:c>
      <x:c r="F247" s="26" t="str"/>
      <x:c r="G247" s="27" t="str"/>
      <x:c r="H247" s="27" t="str"/>
      <x:c r="I247" s="26" t="str"/>
      <x:c r="J247" s="30" t="str"/>
      <x:c r="K247" s="28" t="str">
        <x:f>IF(B247="","",IF(ISNUMBER(H247),H247,IF(AND(ISNUMBER(G247),ISNUMBER(J247),J247&gt;0),ROUND(G247/J247,2),"")))</x:f>
      </x:c>
      <x:c r="L247" s="31" t="str"/>
      <x:c r="M247" s="26" t="str"/>
      <x:c r="N247" s="26" t="str">
        <x:v>Incluir</x:v>
      </x:c>
      <x:c r="O247" s="22" t="str"/>
      <x:c r="P247" s="22" t="str"/>
      <x:c r="Q247" s="22" t="str">
        <x:f>IF(B247="","",IF(C247="","Falta ID venta",IF(D247="ID no encontrado","ID venta inválido",IF(COUNTIFS('PAGOS'!$A$5:$A$504,A247,'PAGOS'!$B$5:$B$504,"&gt;0")&gt;1,"ID duplicado",IF(AND(L247&lt;&gt;"",COUNTIFS('PAGOS'!$L$5:$L$504,L247,'PAGOS'!$B$5:$B$504,B247,'PAGOS'!$F$5:$F$504,F247)&gt;1),"Referencia repetida",IF(N247&lt;&gt;"Incluir",N247,IF(NOT(ISNUMBER(K247)),"Falta equivalente","Aplicar")))))))</x:f>
      </x:c>
    </x:row>
    <x:row r="248" ht="25" customHeight="1">
      <x:c r="A248" s="22" t="str">
        <x:v>P-244</x:v>
      </x:c>
      <x:c r="B248" s="25" t="str"/>
      <x:c r="C248" s="26" t="str"/>
      <x:c r="D248" s="22" t="str">
        <x:f>IF(C248="","",IF(COUNTIFS('VENTAS'!$A$5:$A$254,C248,'VENTAS'!$C$5:$C$254,"&lt;&gt;")=1,INDEX('VENTAS'!$C$5:$C$254,MATCH(C248,'VENTAS'!$A$5:$A$254,0)),"ID no encontrado"))</x:f>
      </x:c>
      <x:c r="E248" s="22" t="str">
        <x:f>IF(C248="","",IF(COUNTIFS('VENTAS'!$A$5:$A$254,C248,'VENTAS'!$C$5:$C$254,"&lt;&gt;")=1,INDEX('VENTAS'!$D$5:$D$254,MATCH(C248,'VENTAS'!$A$5:$A$254,0)),"ID no encontrado"))</x:f>
      </x:c>
      <x:c r="F248" s="26" t="str"/>
      <x:c r="G248" s="27" t="str"/>
      <x:c r="H248" s="27" t="str"/>
      <x:c r="I248" s="26" t="str"/>
      <x:c r="J248" s="30" t="str"/>
      <x:c r="K248" s="28" t="str">
        <x:f>IF(B248="","",IF(ISNUMBER(H248),H248,IF(AND(ISNUMBER(G248),ISNUMBER(J248),J248&gt;0),ROUND(G248/J248,2),"")))</x:f>
      </x:c>
      <x:c r="L248" s="31" t="str"/>
      <x:c r="M248" s="26" t="str"/>
      <x:c r="N248" s="26" t="str">
        <x:v>Incluir</x:v>
      </x:c>
      <x:c r="O248" s="22" t="str"/>
      <x:c r="P248" s="22" t="str"/>
      <x:c r="Q248" s="22" t="str">
        <x:f>IF(B248="","",IF(C248="","Falta ID venta",IF(D248="ID no encontrado","ID venta inválido",IF(COUNTIFS('PAGOS'!$A$5:$A$504,A248,'PAGOS'!$B$5:$B$504,"&gt;0")&gt;1,"ID duplicado",IF(AND(L248&lt;&gt;"",COUNTIFS('PAGOS'!$L$5:$L$504,L248,'PAGOS'!$B$5:$B$504,B248,'PAGOS'!$F$5:$F$504,F248)&gt;1),"Referencia repetida",IF(N248&lt;&gt;"Incluir",N248,IF(NOT(ISNUMBER(K248)),"Falta equivalente","Aplicar")))))))</x:f>
      </x:c>
    </x:row>
    <x:row r="249" ht="25" customHeight="1">
      <x:c r="A249" s="22" t="str">
        <x:v>P-245</x:v>
      </x:c>
      <x:c r="B249" s="25" t="str"/>
      <x:c r="C249" s="26" t="str"/>
      <x:c r="D249" s="22" t="str">
        <x:f>IF(C249="","",IF(COUNTIFS('VENTAS'!$A$5:$A$254,C249,'VENTAS'!$C$5:$C$254,"&lt;&gt;")=1,INDEX('VENTAS'!$C$5:$C$254,MATCH(C249,'VENTAS'!$A$5:$A$254,0)),"ID no encontrado"))</x:f>
      </x:c>
      <x:c r="E249" s="22" t="str">
        <x:f>IF(C249="","",IF(COUNTIFS('VENTAS'!$A$5:$A$254,C249,'VENTAS'!$C$5:$C$254,"&lt;&gt;")=1,INDEX('VENTAS'!$D$5:$D$254,MATCH(C249,'VENTAS'!$A$5:$A$254,0)),"ID no encontrado"))</x:f>
      </x:c>
      <x:c r="F249" s="26" t="str"/>
      <x:c r="G249" s="27" t="str"/>
      <x:c r="H249" s="27" t="str"/>
      <x:c r="I249" s="26" t="str"/>
      <x:c r="J249" s="30" t="str"/>
      <x:c r="K249" s="28" t="str">
        <x:f>IF(B249="","",IF(ISNUMBER(H249),H249,IF(AND(ISNUMBER(G249),ISNUMBER(J249),J249&gt;0),ROUND(G249/J249,2),"")))</x:f>
      </x:c>
      <x:c r="L249" s="31" t="str"/>
      <x:c r="M249" s="26" t="str"/>
      <x:c r="N249" s="26" t="str">
        <x:v>Incluir</x:v>
      </x:c>
      <x:c r="O249" s="22" t="str"/>
      <x:c r="P249" s="22" t="str"/>
      <x:c r="Q249" s="22" t="str">
        <x:f>IF(B249="","",IF(C249="","Falta ID venta",IF(D249="ID no encontrado","ID venta inválido",IF(COUNTIFS('PAGOS'!$A$5:$A$504,A249,'PAGOS'!$B$5:$B$504,"&gt;0")&gt;1,"ID duplicado",IF(AND(L249&lt;&gt;"",COUNTIFS('PAGOS'!$L$5:$L$504,L249,'PAGOS'!$B$5:$B$504,B249,'PAGOS'!$F$5:$F$504,F249)&gt;1),"Referencia repetida",IF(N249&lt;&gt;"Incluir",N249,IF(NOT(ISNUMBER(K249)),"Falta equivalente","Aplicar")))))))</x:f>
      </x:c>
    </x:row>
    <x:row r="250" ht="25" customHeight="1">
      <x:c r="A250" s="22" t="str">
        <x:v>P-246</x:v>
      </x:c>
      <x:c r="B250" s="25" t="str"/>
      <x:c r="C250" s="26" t="str"/>
      <x:c r="D250" s="22" t="str">
        <x:f>IF(C250="","",IF(COUNTIFS('VENTAS'!$A$5:$A$254,C250,'VENTAS'!$C$5:$C$254,"&lt;&gt;")=1,INDEX('VENTAS'!$C$5:$C$254,MATCH(C250,'VENTAS'!$A$5:$A$254,0)),"ID no encontrado"))</x:f>
      </x:c>
      <x:c r="E250" s="22" t="str">
        <x:f>IF(C250="","",IF(COUNTIFS('VENTAS'!$A$5:$A$254,C250,'VENTAS'!$C$5:$C$254,"&lt;&gt;")=1,INDEX('VENTAS'!$D$5:$D$254,MATCH(C250,'VENTAS'!$A$5:$A$254,0)),"ID no encontrado"))</x:f>
      </x:c>
      <x:c r="F250" s="26" t="str"/>
      <x:c r="G250" s="27" t="str"/>
      <x:c r="H250" s="27" t="str"/>
      <x:c r="I250" s="26" t="str"/>
      <x:c r="J250" s="30" t="str"/>
      <x:c r="K250" s="28" t="str">
        <x:f>IF(B250="","",IF(ISNUMBER(H250),H250,IF(AND(ISNUMBER(G250),ISNUMBER(J250),J250&gt;0),ROUND(G250/J250,2),"")))</x:f>
      </x:c>
      <x:c r="L250" s="31" t="str"/>
      <x:c r="M250" s="26" t="str"/>
      <x:c r="N250" s="26" t="str">
        <x:v>Incluir</x:v>
      </x:c>
      <x:c r="O250" s="22" t="str"/>
      <x:c r="P250" s="22" t="str"/>
      <x:c r="Q250" s="22" t="str">
        <x:f>IF(B250="","",IF(C250="","Falta ID venta",IF(D250="ID no encontrado","ID venta inválido",IF(COUNTIFS('PAGOS'!$A$5:$A$504,A250,'PAGOS'!$B$5:$B$504,"&gt;0")&gt;1,"ID duplicado",IF(AND(L250&lt;&gt;"",COUNTIFS('PAGOS'!$L$5:$L$504,L250,'PAGOS'!$B$5:$B$504,B250,'PAGOS'!$F$5:$F$504,F250)&gt;1),"Referencia repetida",IF(N250&lt;&gt;"Incluir",N250,IF(NOT(ISNUMBER(K250)),"Falta equivalente","Aplicar")))))))</x:f>
      </x:c>
    </x:row>
    <x:row r="251" ht="25" customHeight="1">
      <x:c r="A251" s="22" t="str">
        <x:v>P-247</x:v>
      </x:c>
      <x:c r="B251" s="25" t="str"/>
      <x:c r="C251" s="26" t="str"/>
      <x:c r="D251" s="22" t="str">
        <x:f>IF(C251="","",IF(COUNTIFS('VENTAS'!$A$5:$A$254,C251,'VENTAS'!$C$5:$C$254,"&lt;&gt;")=1,INDEX('VENTAS'!$C$5:$C$254,MATCH(C251,'VENTAS'!$A$5:$A$254,0)),"ID no encontrado"))</x:f>
      </x:c>
      <x:c r="E251" s="22" t="str">
        <x:f>IF(C251="","",IF(COUNTIFS('VENTAS'!$A$5:$A$254,C251,'VENTAS'!$C$5:$C$254,"&lt;&gt;")=1,INDEX('VENTAS'!$D$5:$D$254,MATCH(C251,'VENTAS'!$A$5:$A$254,0)),"ID no encontrado"))</x:f>
      </x:c>
      <x:c r="F251" s="26" t="str"/>
      <x:c r="G251" s="27" t="str"/>
      <x:c r="H251" s="27" t="str"/>
      <x:c r="I251" s="26" t="str"/>
      <x:c r="J251" s="30" t="str"/>
      <x:c r="K251" s="28" t="str">
        <x:f>IF(B251="","",IF(ISNUMBER(H251),H251,IF(AND(ISNUMBER(G251),ISNUMBER(J251),J251&gt;0),ROUND(G251/J251,2),"")))</x:f>
      </x:c>
      <x:c r="L251" s="31" t="str"/>
      <x:c r="M251" s="26" t="str"/>
      <x:c r="N251" s="26" t="str">
        <x:v>Incluir</x:v>
      </x:c>
      <x:c r="O251" s="22" t="str"/>
      <x:c r="P251" s="22" t="str"/>
      <x:c r="Q251" s="22" t="str">
        <x:f>IF(B251="","",IF(C251="","Falta ID venta",IF(D251="ID no encontrado","ID venta inválido",IF(COUNTIFS('PAGOS'!$A$5:$A$504,A251,'PAGOS'!$B$5:$B$504,"&gt;0")&gt;1,"ID duplicado",IF(AND(L251&lt;&gt;"",COUNTIFS('PAGOS'!$L$5:$L$504,L251,'PAGOS'!$B$5:$B$504,B251,'PAGOS'!$F$5:$F$504,F251)&gt;1),"Referencia repetida",IF(N251&lt;&gt;"Incluir",N251,IF(NOT(ISNUMBER(K251)),"Falta equivalente","Aplicar")))))))</x:f>
      </x:c>
    </x:row>
    <x:row r="252" ht="25" customHeight="1">
      <x:c r="A252" s="22" t="str">
        <x:v>P-248</x:v>
      </x:c>
      <x:c r="B252" s="25" t="str"/>
      <x:c r="C252" s="26" t="str"/>
      <x:c r="D252" s="22" t="str">
        <x:f>IF(C252="","",IF(COUNTIFS('VENTAS'!$A$5:$A$254,C252,'VENTAS'!$C$5:$C$254,"&lt;&gt;")=1,INDEX('VENTAS'!$C$5:$C$254,MATCH(C252,'VENTAS'!$A$5:$A$254,0)),"ID no encontrado"))</x:f>
      </x:c>
      <x:c r="E252" s="22" t="str">
        <x:f>IF(C252="","",IF(COUNTIFS('VENTAS'!$A$5:$A$254,C252,'VENTAS'!$C$5:$C$254,"&lt;&gt;")=1,INDEX('VENTAS'!$D$5:$D$254,MATCH(C252,'VENTAS'!$A$5:$A$254,0)),"ID no encontrado"))</x:f>
      </x:c>
      <x:c r="F252" s="26" t="str"/>
      <x:c r="G252" s="27" t="str"/>
      <x:c r="H252" s="27" t="str"/>
      <x:c r="I252" s="26" t="str"/>
      <x:c r="J252" s="30" t="str"/>
      <x:c r="K252" s="28" t="str">
        <x:f>IF(B252="","",IF(ISNUMBER(H252),H252,IF(AND(ISNUMBER(G252),ISNUMBER(J252),J252&gt;0),ROUND(G252/J252,2),"")))</x:f>
      </x:c>
      <x:c r="L252" s="31" t="str"/>
      <x:c r="M252" s="26" t="str"/>
      <x:c r="N252" s="26" t="str">
        <x:v>Incluir</x:v>
      </x:c>
      <x:c r="O252" s="22" t="str"/>
      <x:c r="P252" s="22" t="str"/>
      <x:c r="Q252" s="22" t="str">
        <x:f>IF(B252="","",IF(C252="","Falta ID venta",IF(D252="ID no encontrado","ID venta inválido",IF(COUNTIFS('PAGOS'!$A$5:$A$504,A252,'PAGOS'!$B$5:$B$504,"&gt;0")&gt;1,"ID duplicado",IF(AND(L252&lt;&gt;"",COUNTIFS('PAGOS'!$L$5:$L$504,L252,'PAGOS'!$B$5:$B$504,B252,'PAGOS'!$F$5:$F$504,F252)&gt;1),"Referencia repetida",IF(N252&lt;&gt;"Incluir",N252,IF(NOT(ISNUMBER(K252)),"Falta equivalente","Aplicar")))))))</x:f>
      </x:c>
    </x:row>
    <x:row r="253" ht="25" customHeight="1">
      <x:c r="A253" s="22" t="str">
        <x:v>P-249</x:v>
      </x:c>
      <x:c r="B253" s="25" t="str"/>
      <x:c r="C253" s="26" t="str"/>
      <x:c r="D253" s="22" t="str">
        <x:f>IF(C253="","",IF(COUNTIFS('VENTAS'!$A$5:$A$254,C253,'VENTAS'!$C$5:$C$254,"&lt;&gt;")=1,INDEX('VENTAS'!$C$5:$C$254,MATCH(C253,'VENTAS'!$A$5:$A$254,0)),"ID no encontrado"))</x:f>
      </x:c>
      <x:c r="E253" s="22" t="str">
        <x:f>IF(C253="","",IF(COUNTIFS('VENTAS'!$A$5:$A$254,C253,'VENTAS'!$C$5:$C$254,"&lt;&gt;")=1,INDEX('VENTAS'!$D$5:$D$254,MATCH(C253,'VENTAS'!$A$5:$A$254,0)),"ID no encontrado"))</x:f>
      </x:c>
      <x:c r="F253" s="26" t="str"/>
      <x:c r="G253" s="27" t="str"/>
      <x:c r="H253" s="27" t="str"/>
      <x:c r="I253" s="26" t="str"/>
      <x:c r="J253" s="30" t="str"/>
      <x:c r="K253" s="28" t="str">
        <x:f>IF(B253="","",IF(ISNUMBER(H253),H253,IF(AND(ISNUMBER(G253),ISNUMBER(J253),J253&gt;0),ROUND(G253/J253,2),"")))</x:f>
      </x:c>
      <x:c r="L253" s="31" t="str"/>
      <x:c r="M253" s="26" t="str"/>
      <x:c r="N253" s="26" t="str">
        <x:v>Incluir</x:v>
      </x:c>
      <x:c r="O253" s="22" t="str"/>
      <x:c r="P253" s="22" t="str"/>
      <x:c r="Q253" s="22" t="str">
        <x:f>IF(B253="","",IF(C253="","Falta ID venta",IF(D253="ID no encontrado","ID venta inválido",IF(COUNTIFS('PAGOS'!$A$5:$A$504,A253,'PAGOS'!$B$5:$B$504,"&gt;0")&gt;1,"ID duplicado",IF(AND(L253&lt;&gt;"",COUNTIFS('PAGOS'!$L$5:$L$504,L253,'PAGOS'!$B$5:$B$504,B253,'PAGOS'!$F$5:$F$504,F253)&gt;1),"Referencia repetida",IF(N253&lt;&gt;"Incluir",N253,IF(NOT(ISNUMBER(K253)),"Falta equivalente","Aplicar")))))))</x:f>
      </x:c>
    </x:row>
    <x:row r="254" ht="25" customHeight="1">
      <x:c r="A254" s="22" t="str">
        <x:v>P-250</x:v>
      </x:c>
      <x:c r="B254" s="25" t="str"/>
      <x:c r="C254" s="26" t="str"/>
      <x:c r="D254" s="22" t="str">
        <x:f>IF(C254="","",IF(COUNTIFS('VENTAS'!$A$5:$A$254,C254,'VENTAS'!$C$5:$C$254,"&lt;&gt;")=1,INDEX('VENTAS'!$C$5:$C$254,MATCH(C254,'VENTAS'!$A$5:$A$254,0)),"ID no encontrado"))</x:f>
      </x:c>
      <x:c r="E254" s="22" t="str">
        <x:f>IF(C254="","",IF(COUNTIFS('VENTAS'!$A$5:$A$254,C254,'VENTAS'!$C$5:$C$254,"&lt;&gt;")=1,INDEX('VENTAS'!$D$5:$D$254,MATCH(C254,'VENTAS'!$A$5:$A$254,0)),"ID no encontrado"))</x:f>
      </x:c>
      <x:c r="F254" s="26" t="str"/>
      <x:c r="G254" s="27" t="str"/>
      <x:c r="H254" s="27" t="str"/>
      <x:c r="I254" s="26" t="str"/>
      <x:c r="J254" s="30" t="str"/>
      <x:c r="K254" s="28" t="str">
        <x:f>IF(B254="","",IF(ISNUMBER(H254),H254,IF(AND(ISNUMBER(G254),ISNUMBER(J254),J254&gt;0),ROUND(G254/J254,2),"")))</x:f>
      </x:c>
      <x:c r="L254" s="31" t="str"/>
      <x:c r="M254" s="26" t="str"/>
      <x:c r="N254" s="26" t="str">
        <x:v>Incluir</x:v>
      </x:c>
      <x:c r="O254" s="22" t="str"/>
      <x:c r="P254" s="22" t="str"/>
      <x:c r="Q254" s="22" t="str">
        <x:f>IF(B254="","",IF(C254="","Falta ID venta",IF(D254="ID no encontrado","ID venta inválido",IF(COUNTIFS('PAGOS'!$A$5:$A$504,A254,'PAGOS'!$B$5:$B$504,"&gt;0")&gt;1,"ID duplicado",IF(AND(L254&lt;&gt;"",COUNTIFS('PAGOS'!$L$5:$L$504,L254,'PAGOS'!$B$5:$B$504,B254,'PAGOS'!$F$5:$F$504,F254)&gt;1),"Referencia repetida",IF(N254&lt;&gt;"Incluir",N254,IF(NOT(ISNUMBER(K254)),"Falta equivalente","Aplicar")))))))</x:f>
      </x:c>
    </x:row>
    <x:row r="255" ht="25" customHeight="1">
      <x:c r="A255" s="22" t="str">
        <x:v>P-251</x:v>
      </x:c>
      <x:c r="B255" s="25" t="str"/>
      <x:c r="C255" s="26" t="str"/>
      <x:c r="D255" s="22" t="str">
        <x:f>IF(C255="","",IF(COUNTIFS('VENTAS'!$A$5:$A$254,C255,'VENTAS'!$C$5:$C$254,"&lt;&gt;")=1,INDEX('VENTAS'!$C$5:$C$254,MATCH(C255,'VENTAS'!$A$5:$A$254,0)),"ID no encontrado"))</x:f>
      </x:c>
      <x:c r="E255" s="22" t="str">
        <x:f>IF(C255="","",IF(COUNTIFS('VENTAS'!$A$5:$A$254,C255,'VENTAS'!$C$5:$C$254,"&lt;&gt;")=1,INDEX('VENTAS'!$D$5:$D$254,MATCH(C255,'VENTAS'!$A$5:$A$254,0)),"ID no encontrado"))</x:f>
      </x:c>
      <x:c r="F255" s="26" t="str"/>
      <x:c r="G255" s="27" t="str"/>
      <x:c r="H255" s="27" t="str"/>
      <x:c r="I255" s="26" t="str"/>
      <x:c r="J255" s="30" t="str"/>
      <x:c r="K255" s="28" t="str">
        <x:f>IF(B255="","",IF(ISNUMBER(H255),H255,IF(AND(ISNUMBER(G255),ISNUMBER(J255),J255&gt;0),ROUND(G255/J255,2),"")))</x:f>
      </x:c>
      <x:c r="L255" s="31" t="str"/>
      <x:c r="M255" s="26" t="str"/>
      <x:c r="N255" s="26" t="str">
        <x:v>Incluir</x:v>
      </x:c>
      <x:c r="O255" s="22" t="str"/>
      <x:c r="P255" s="22" t="str"/>
      <x:c r="Q255" s="22" t="str">
        <x:f>IF(B255="","",IF(C255="","Falta ID venta",IF(D255="ID no encontrado","ID venta inválido",IF(COUNTIFS('PAGOS'!$A$5:$A$504,A255,'PAGOS'!$B$5:$B$504,"&gt;0")&gt;1,"ID duplicado",IF(AND(L255&lt;&gt;"",COUNTIFS('PAGOS'!$L$5:$L$504,L255,'PAGOS'!$B$5:$B$504,B255,'PAGOS'!$F$5:$F$504,F255)&gt;1),"Referencia repetida",IF(N255&lt;&gt;"Incluir",N255,IF(NOT(ISNUMBER(K255)),"Falta equivalente","Aplicar")))))))</x:f>
      </x:c>
    </x:row>
    <x:row r="256" ht="25" customHeight="1">
      <x:c r="A256" s="22" t="str">
        <x:v>P-252</x:v>
      </x:c>
      <x:c r="B256" s="25" t="str"/>
      <x:c r="C256" s="26" t="str"/>
      <x:c r="D256" s="22" t="str">
        <x:f>IF(C256="","",IF(COUNTIFS('VENTAS'!$A$5:$A$254,C256,'VENTAS'!$C$5:$C$254,"&lt;&gt;")=1,INDEX('VENTAS'!$C$5:$C$254,MATCH(C256,'VENTAS'!$A$5:$A$254,0)),"ID no encontrado"))</x:f>
      </x:c>
      <x:c r="E256" s="22" t="str">
        <x:f>IF(C256="","",IF(COUNTIFS('VENTAS'!$A$5:$A$254,C256,'VENTAS'!$C$5:$C$254,"&lt;&gt;")=1,INDEX('VENTAS'!$D$5:$D$254,MATCH(C256,'VENTAS'!$A$5:$A$254,0)),"ID no encontrado"))</x:f>
      </x:c>
      <x:c r="F256" s="26" t="str"/>
      <x:c r="G256" s="27" t="str"/>
      <x:c r="H256" s="27" t="str"/>
      <x:c r="I256" s="26" t="str"/>
      <x:c r="J256" s="30" t="str"/>
      <x:c r="K256" s="28" t="str">
        <x:f>IF(B256="","",IF(ISNUMBER(H256),H256,IF(AND(ISNUMBER(G256),ISNUMBER(J256),J256&gt;0),ROUND(G256/J256,2),"")))</x:f>
      </x:c>
      <x:c r="L256" s="31" t="str"/>
      <x:c r="M256" s="26" t="str"/>
      <x:c r="N256" s="26" t="str">
        <x:v>Incluir</x:v>
      </x:c>
      <x:c r="O256" s="22" t="str"/>
      <x:c r="P256" s="22" t="str"/>
      <x:c r="Q256" s="22" t="str">
        <x:f>IF(B256="","",IF(C256="","Falta ID venta",IF(D256="ID no encontrado","ID venta inválido",IF(COUNTIFS('PAGOS'!$A$5:$A$504,A256,'PAGOS'!$B$5:$B$504,"&gt;0")&gt;1,"ID duplicado",IF(AND(L256&lt;&gt;"",COUNTIFS('PAGOS'!$L$5:$L$504,L256,'PAGOS'!$B$5:$B$504,B256,'PAGOS'!$F$5:$F$504,F256)&gt;1),"Referencia repetida",IF(N256&lt;&gt;"Incluir",N256,IF(NOT(ISNUMBER(K256)),"Falta equivalente","Aplicar")))))))</x:f>
      </x:c>
    </x:row>
    <x:row r="257" ht="25" customHeight="1">
      <x:c r="A257" s="22" t="str">
        <x:v>P-253</x:v>
      </x:c>
      <x:c r="B257" s="25" t="str"/>
      <x:c r="C257" s="26" t="str"/>
      <x:c r="D257" s="22" t="str">
        <x:f>IF(C257="","",IF(COUNTIFS('VENTAS'!$A$5:$A$254,C257,'VENTAS'!$C$5:$C$254,"&lt;&gt;")=1,INDEX('VENTAS'!$C$5:$C$254,MATCH(C257,'VENTAS'!$A$5:$A$254,0)),"ID no encontrado"))</x:f>
      </x:c>
      <x:c r="E257" s="22" t="str">
        <x:f>IF(C257="","",IF(COUNTIFS('VENTAS'!$A$5:$A$254,C257,'VENTAS'!$C$5:$C$254,"&lt;&gt;")=1,INDEX('VENTAS'!$D$5:$D$254,MATCH(C257,'VENTAS'!$A$5:$A$254,0)),"ID no encontrado"))</x:f>
      </x:c>
      <x:c r="F257" s="26" t="str"/>
      <x:c r="G257" s="27" t="str"/>
      <x:c r="H257" s="27" t="str"/>
      <x:c r="I257" s="26" t="str"/>
      <x:c r="J257" s="30" t="str"/>
      <x:c r="K257" s="28" t="str">
        <x:f>IF(B257="","",IF(ISNUMBER(H257),H257,IF(AND(ISNUMBER(G257),ISNUMBER(J257),J257&gt;0),ROUND(G257/J257,2),"")))</x:f>
      </x:c>
      <x:c r="L257" s="31" t="str"/>
      <x:c r="M257" s="26" t="str"/>
      <x:c r="N257" s="26" t="str">
        <x:v>Incluir</x:v>
      </x:c>
      <x:c r="O257" s="22" t="str"/>
      <x:c r="P257" s="22" t="str"/>
      <x:c r="Q257" s="22" t="str">
        <x:f>IF(B257="","",IF(C257="","Falta ID venta",IF(D257="ID no encontrado","ID venta inválido",IF(COUNTIFS('PAGOS'!$A$5:$A$504,A257,'PAGOS'!$B$5:$B$504,"&gt;0")&gt;1,"ID duplicado",IF(AND(L257&lt;&gt;"",COUNTIFS('PAGOS'!$L$5:$L$504,L257,'PAGOS'!$B$5:$B$504,B257,'PAGOS'!$F$5:$F$504,F257)&gt;1),"Referencia repetida",IF(N257&lt;&gt;"Incluir",N257,IF(NOT(ISNUMBER(K257)),"Falta equivalente","Aplicar")))))))</x:f>
      </x:c>
    </x:row>
    <x:row r="258" ht="25" customHeight="1">
      <x:c r="A258" s="22" t="str">
        <x:v>P-254</x:v>
      </x:c>
      <x:c r="B258" s="25" t="str"/>
      <x:c r="C258" s="26" t="str"/>
      <x:c r="D258" s="22" t="str">
        <x:f>IF(C258="","",IF(COUNTIFS('VENTAS'!$A$5:$A$254,C258,'VENTAS'!$C$5:$C$254,"&lt;&gt;")=1,INDEX('VENTAS'!$C$5:$C$254,MATCH(C258,'VENTAS'!$A$5:$A$254,0)),"ID no encontrado"))</x:f>
      </x:c>
      <x:c r="E258" s="22" t="str">
        <x:f>IF(C258="","",IF(COUNTIFS('VENTAS'!$A$5:$A$254,C258,'VENTAS'!$C$5:$C$254,"&lt;&gt;")=1,INDEX('VENTAS'!$D$5:$D$254,MATCH(C258,'VENTAS'!$A$5:$A$254,0)),"ID no encontrado"))</x:f>
      </x:c>
      <x:c r="F258" s="26" t="str"/>
      <x:c r="G258" s="27" t="str"/>
      <x:c r="H258" s="27" t="str"/>
      <x:c r="I258" s="26" t="str"/>
      <x:c r="J258" s="30" t="str"/>
      <x:c r="K258" s="28" t="str">
        <x:f>IF(B258="","",IF(ISNUMBER(H258),H258,IF(AND(ISNUMBER(G258),ISNUMBER(J258),J258&gt;0),ROUND(G258/J258,2),"")))</x:f>
      </x:c>
      <x:c r="L258" s="31" t="str"/>
      <x:c r="M258" s="26" t="str"/>
      <x:c r="N258" s="26" t="str">
        <x:v>Incluir</x:v>
      </x:c>
      <x:c r="O258" s="22" t="str"/>
      <x:c r="P258" s="22" t="str"/>
      <x:c r="Q258" s="22" t="str">
        <x:f>IF(B258="","",IF(C258="","Falta ID venta",IF(D258="ID no encontrado","ID venta inválido",IF(COUNTIFS('PAGOS'!$A$5:$A$504,A258,'PAGOS'!$B$5:$B$504,"&gt;0")&gt;1,"ID duplicado",IF(AND(L258&lt;&gt;"",COUNTIFS('PAGOS'!$L$5:$L$504,L258,'PAGOS'!$B$5:$B$504,B258,'PAGOS'!$F$5:$F$504,F258)&gt;1),"Referencia repetida",IF(N258&lt;&gt;"Incluir",N258,IF(NOT(ISNUMBER(K258)),"Falta equivalente","Aplicar")))))))</x:f>
      </x:c>
    </x:row>
    <x:row r="259" ht="25" customHeight="1">
      <x:c r="A259" s="22" t="str">
        <x:v>P-255</x:v>
      </x:c>
      <x:c r="B259" s="25" t="str"/>
      <x:c r="C259" s="26" t="str"/>
      <x:c r="D259" s="22" t="str">
        <x:f>IF(C259="","",IF(COUNTIFS('VENTAS'!$A$5:$A$254,C259,'VENTAS'!$C$5:$C$254,"&lt;&gt;")=1,INDEX('VENTAS'!$C$5:$C$254,MATCH(C259,'VENTAS'!$A$5:$A$254,0)),"ID no encontrado"))</x:f>
      </x:c>
      <x:c r="E259" s="22" t="str">
        <x:f>IF(C259="","",IF(COUNTIFS('VENTAS'!$A$5:$A$254,C259,'VENTAS'!$C$5:$C$254,"&lt;&gt;")=1,INDEX('VENTAS'!$D$5:$D$254,MATCH(C259,'VENTAS'!$A$5:$A$254,0)),"ID no encontrado"))</x:f>
      </x:c>
      <x:c r="F259" s="26" t="str"/>
      <x:c r="G259" s="27" t="str"/>
      <x:c r="H259" s="27" t="str"/>
      <x:c r="I259" s="26" t="str"/>
      <x:c r="J259" s="30" t="str"/>
      <x:c r="K259" s="28" t="str">
        <x:f>IF(B259="","",IF(ISNUMBER(H259),H259,IF(AND(ISNUMBER(G259),ISNUMBER(J259),J259&gt;0),ROUND(G259/J259,2),"")))</x:f>
      </x:c>
      <x:c r="L259" s="31" t="str"/>
      <x:c r="M259" s="26" t="str"/>
      <x:c r="N259" s="26" t="str">
        <x:v>Incluir</x:v>
      </x:c>
      <x:c r="O259" s="22" t="str"/>
      <x:c r="P259" s="22" t="str"/>
      <x:c r="Q259" s="22" t="str">
        <x:f>IF(B259="","",IF(C259="","Falta ID venta",IF(D259="ID no encontrado","ID venta inválido",IF(COUNTIFS('PAGOS'!$A$5:$A$504,A259,'PAGOS'!$B$5:$B$504,"&gt;0")&gt;1,"ID duplicado",IF(AND(L259&lt;&gt;"",COUNTIFS('PAGOS'!$L$5:$L$504,L259,'PAGOS'!$B$5:$B$504,B259,'PAGOS'!$F$5:$F$504,F259)&gt;1),"Referencia repetida",IF(N259&lt;&gt;"Incluir",N259,IF(NOT(ISNUMBER(K259)),"Falta equivalente","Aplicar")))))))</x:f>
      </x:c>
    </x:row>
    <x:row r="260" ht="25" customHeight="1">
      <x:c r="A260" s="22" t="str">
        <x:v>P-256</x:v>
      </x:c>
      <x:c r="B260" s="25" t="str"/>
      <x:c r="C260" s="26" t="str"/>
      <x:c r="D260" s="22" t="str">
        <x:f>IF(C260="","",IF(COUNTIFS('VENTAS'!$A$5:$A$254,C260,'VENTAS'!$C$5:$C$254,"&lt;&gt;")=1,INDEX('VENTAS'!$C$5:$C$254,MATCH(C260,'VENTAS'!$A$5:$A$254,0)),"ID no encontrado"))</x:f>
      </x:c>
      <x:c r="E260" s="22" t="str">
        <x:f>IF(C260="","",IF(COUNTIFS('VENTAS'!$A$5:$A$254,C260,'VENTAS'!$C$5:$C$254,"&lt;&gt;")=1,INDEX('VENTAS'!$D$5:$D$254,MATCH(C260,'VENTAS'!$A$5:$A$254,0)),"ID no encontrado"))</x:f>
      </x:c>
      <x:c r="F260" s="26" t="str"/>
      <x:c r="G260" s="27" t="str"/>
      <x:c r="H260" s="27" t="str"/>
      <x:c r="I260" s="26" t="str"/>
      <x:c r="J260" s="30" t="str"/>
      <x:c r="K260" s="28" t="str">
        <x:f>IF(B260="","",IF(ISNUMBER(H260),H260,IF(AND(ISNUMBER(G260),ISNUMBER(J260),J260&gt;0),ROUND(G260/J260,2),"")))</x:f>
      </x:c>
      <x:c r="L260" s="31" t="str"/>
      <x:c r="M260" s="26" t="str"/>
      <x:c r="N260" s="26" t="str">
        <x:v>Incluir</x:v>
      </x:c>
      <x:c r="O260" s="22" t="str"/>
      <x:c r="P260" s="22" t="str"/>
      <x:c r="Q260" s="22" t="str">
        <x:f>IF(B260="","",IF(C260="","Falta ID venta",IF(D260="ID no encontrado","ID venta inválido",IF(COUNTIFS('PAGOS'!$A$5:$A$504,A260,'PAGOS'!$B$5:$B$504,"&gt;0")&gt;1,"ID duplicado",IF(AND(L260&lt;&gt;"",COUNTIFS('PAGOS'!$L$5:$L$504,L260,'PAGOS'!$B$5:$B$504,B260,'PAGOS'!$F$5:$F$504,F260)&gt;1),"Referencia repetida",IF(N260&lt;&gt;"Incluir",N260,IF(NOT(ISNUMBER(K260)),"Falta equivalente","Aplicar")))))))</x:f>
      </x:c>
    </x:row>
    <x:row r="261" ht="25" customHeight="1">
      <x:c r="A261" s="22" t="str">
        <x:v>P-257</x:v>
      </x:c>
      <x:c r="B261" s="25" t="str"/>
      <x:c r="C261" s="26" t="str"/>
      <x:c r="D261" s="22" t="str">
        <x:f>IF(C261="","",IF(COUNTIFS('VENTAS'!$A$5:$A$254,C261,'VENTAS'!$C$5:$C$254,"&lt;&gt;")=1,INDEX('VENTAS'!$C$5:$C$254,MATCH(C261,'VENTAS'!$A$5:$A$254,0)),"ID no encontrado"))</x:f>
      </x:c>
      <x:c r="E261" s="22" t="str">
        <x:f>IF(C261="","",IF(COUNTIFS('VENTAS'!$A$5:$A$254,C261,'VENTAS'!$C$5:$C$254,"&lt;&gt;")=1,INDEX('VENTAS'!$D$5:$D$254,MATCH(C261,'VENTAS'!$A$5:$A$254,0)),"ID no encontrado"))</x:f>
      </x:c>
      <x:c r="F261" s="26" t="str"/>
      <x:c r="G261" s="27" t="str"/>
      <x:c r="H261" s="27" t="str"/>
      <x:c r="I261" s="26" t="str"/>
      <x:c r="J261" s="30" t="str"/>
      <x:c r="K261" s="28" t="str">
        <x:f>IF(B261="","",IF(ISNUMBER(H261),H261,IF(AND(ISNUMBER(G261),ISNUMBER(J261),J261&gt;0),ROUND(G261/J261,2),"")))</x:f>
      </x:c>
      <x:c r="L261" s="31" t="str"/>
      <x:c r="M261" s="26" t="str"/>
      <x:c r="N261" s="26" t="str">
        <x:v>Incluir</x:v>
      </x:c>
      <x:c r="O261" s="22" t="str"/>
      <x:c r="P261" s="22" t="str"/>
      <x:c r="Q261" s="22" t="str">
        <x:f>IF(B261="","",IF(C261="","Falta ID venta",IF(D261="ID no encontrado","ID venta inválido",IF(COUNTIFS('PAGOS'!$A$5:$A$504,A261,'PAGOS'!$B$5:$B$504,"&gt;0")&gt;1,"ID duplicado",IF(AND(L261&lt;&gt;"",COUNTIFS('PAGOS'!$L$5:$L$504,L261,'PAGOS'!$B$5:$B$504,B261,'PAGOS'!$F$5:$F$504,F261)&gt;1),"Referencia repetida",IF(N261&lt;&gt;"Incluir",N261,IF(NOT(ISNUMBER(K261)),"Falta equivalente","Aplicar")))))))</x:f>
      </x:c>
    </x:row>
    <x:row r="262" ht="25" customHeight="1">
      <x:c r="A262" s="22" t="str">
        <x:v>P-258</x:v>
      </x:c>
      <x:c r="B262" s="25" t="str"/>
      <x:c r="C262" s="26" t="str"/>
      <x:c r="D262" s="22" t="str">
        <x:f>IF(C262="","",IF(COUNTIFS('VENTAS'!$A$5:$A$254,C262,'VENTAS'!$C$5:$C$254,"&lt;&gt;")=1,INDEX('VENTAS'!$C$5:$C$254,MATCH(C262,'VENTAS'!$A$5:$A$254,0)),"ID no encontrado"))</x:f>
      </x:c>
      <x:c r="E262" s="22" t="str">
        <x:f>IF(C262="","",IF(COUNTIFS('VENTAS'!$A$5:$A$254,C262,'VENTAS'!$C$5:$C$254,"&lt;&gt;")=1,INDEX('VENTAS'!$D$5:$D$254,MATCH(C262,'VENTAS'!$A$5:$A$254,0)),"ID no encontrado"))</x:f>
      </x:c>
      <x:c r="F262" s="26" t="str"/>
      <x:c r="G262" s="27" t="str"/>
      <x:c r="H262" s="27" t="str"/>
      <x:c r="I262" s="26" t="str"/>
      <x:c r="J262" s="30" t="str"/>
      <x:c r="K262" s="28" t="str">
        <x:f>IF(B262="","",IF(ISNUMBER(H262),H262,IF(AND(ISNUMBER(G262),ISNUMBER(J262),J262&gt;0),ROUND(G262/J262,2),"")))</x:f>
      </x:c>
      <x:c r="L262" s="31" t="str"/>
      <x:c r="M262" s="26" t="str"/>
      <x:c r="N262" s="26" t="str">
        <x:v>Incluir</x:v>
      </x:c>
      <x:c r="O262" s="22" t="str"/>
      <x:c r="P262" s="22" t="str"/>
      <x:c r="Q262" s="22" t="str">
        <x:f>IF(B262="","",IF(C262="","Falta ID venta",IF(D262="ID no encontrado","ID venta inválido",IF(COUNTIFS('PAGOS'!$A$5:$A$504,A262,'PAGOS'!$B$5:$B$504,"&gt;0")&gt;1,"ID duplicado",IF(AND(L262&lt;&gt;"",COUNTIFS('PAGOS'!$L$5:$L$504,L262,'PAGOS'!$B$5:$B$504,B262,'PAGOS'!$F$5:$F$504,F262)&gt;1),"Referencia repetida",IF(N262&lt;&gt;"Incluir",N262,IF(NOT(ISNUMBER(K262)),"Falta equivalente","Aplicar")))))))</x:f>
      </x:c>
    </x:row>
    <x:row r="263" ht="25" customHeight="1">
      <x:c r="A263" s="22" t="str">
        <x:v>P-259</x:v>
      </x:c>
      <x:c r="B263" s="25" t="str"/>
      <x:c r="C263" s="26" t="str"/>
      <x:c r="D263" s="22" t="str">
        <x:f>IF(C263="","",IF(COUNTIFS('VENTAS'!$A$5:$A$254,C263,'VENTAS'!$C$5:$C$254,"&lt;&gt;")=1,INDEX('VENTAS'!$C$5:$C$254,MATCH(C263,'VENTAS'!$A$5:$A$254,0)),"ID no encontrado"))</x:f>
      </x:c>
      <x:c r="E263" s="22" t="str">
        <x:f>IF(C263="","",IF(COUNTIFS('VENTAS'!$A$5:$A$254,C263,'VENTAS'!$C$5:$C$254,"&lt;&gt;")=1,INDEX('VENTAS'!$D$5:$D$254,MATCH(C263,'VENTAS'!$A$5:$A$254,0)),"ID no encontrado"))</x:f>
      </x:c>
      <x:c r="F263" s="26" t="str"/>
      <x:c r="G263" s="27" t="str"/>
      <x:c r="H263" s="27" t="str"/>
      <x:c r="I263" s="26" t="str"/>
      <x:c r="J263" s="30" t="str"/>
      <x:c r="K263" s="28" t="str">
        <x:f>IF(B263="","",IF(ISNUMBER(H263),H263,IF(AND(ISNUMBER(G263),ISNUMBER(J263),J263&gt;0),ROUND(G263/J263,2),"")))</x:f>
      </x:c>
      <x:c r="L263" s="31" t="str"/>
      <x:c r="M263" s="26" t="str"/>
      <x:c r="N263" s="26" t="str">
        <x:v>Incluir</x:v>
      </x:c>
      <x:c r="O263" s="22" t="str"/>
      <x:c r="P263" s="22" t="str"/>
      <x:c r="Q263" s="22" t="str">
        <x:f>IF(B263="","",IF(C263="","Falta ID venta",IF(D263="ID no encontrado","ID venta inválido",IF(COUNTIFS('PAGOS'!$A$5:$A$504,A263,'PAGOS'!$B$5:$B$504,"&gt;0")&gt;1,"ID duplicado",IF(AND(L263&lt;&gt;"",COUNTIFS('PAGOS'!$L$5:$L$504,L263,'PAGOS'!$B$5:$B$504,B263,'PAGOS'!$F$5:$F$504,F263)&gt;1),"Referencia repetida",IF(N263&lt;&gt;"Incluir",N263,IF(NOT(ISNUMBER(K263)),"Falta equivalente","Aplicar")))))))</x:f>
      </x:c>
    </x:row>
    <x:row r="264" ht="25" customHeight="1">
      <x:c r="A264" s="22" t="str">
        <x:v>P-260</x:v>
      </x:c>
      <x:c r="B264" s="25" t="str"/>
      <x:c r="C264" s="26" t="str"/>
      <x:c r="D264" s="22" t="str">
        <x:f>IF(C264="","",IF(COUNTIFS('VENTAS'!$A$5:$A$254,C264,'VENTAS'!$C$5:$C$254,"&lt;&gt;")=1,INDEX('VENTAS'!$C$5:$C$254,MATCH(C264,'VENTAS'!$A$5:$A$254,0)),"ID no encontrado"))</x:f>
      </x:c>
      <x:c r="E264" s="22" t="str">
        <x:f>IF(C264="","",IF(COUNTIFS('VENTAS'!$A$5:$A$254,C264,'VENTAS'!$C$5:$C$254,"&lt;&gt;")=1,INDEX('VENTAS'!$D$5:$D$254,MATCH(C264,'VENTAS'!$A$5:$A$254,0)),"ID no encontrado"))</x:f>
      </x:c>
      <x:c r="F264" s="26" t="str"/>
      <x:c r="G264" s="27" t="str"/>
      <x:c r="H264" s="27" t="str"/>
      <x:c r="I264" s="26" t="str"/>
      <x:c r="J264" s="30" t="str"/>
      <x:c r="K264" s="28" t="str">
        <x:f>IF(B264="","",IF(ISNUMBER(H264),H264,IF(AND(ISNUMBER(G264),ISNUMBER(J264),J264&gt;0),ROUND(G264/J264,2),"")))</x:f>
      </x:c>
      <x:c r="L264" s="31" t="str"/>
      <x:c r="M264" s="26" t="str"/>
      <x:c r="N264" s="26" t="str">
        <x:v>Incluir</x:v>
      </x:c>
      <x:c r="O264" s="22" t="str"/>
      <x:c r="P264" s="22" t="str"/>
      <x:c r="Q264" s="22" t="str">
        <x:f>IF(B264="","",IF(C264="","Falta ID venta",IF(D264="ID no encontrado","ID venta inválido",IF(COUNTIFS('PAGOS'!$A$5:$A$504,A264,'PAGOS'!$B$5:$B$504,"&gt;0")&gt;1,"ID duplicado",IF(AND(L264&lt;&gt;"",COUNTIFS('PAGOS'!$L$5:$L$504,L264,'PAGOS'!$B$5:$B$504,B264,'PAGOS'!$F$5:$F$504,F264)&gt;1),"Referencia repetida",IF(N264&lt;&gt;"Incluir",N264,IF(NOT(ISNUMBER(K264)),"Falta equivalente","Aplicar")))))))</x:f>
      </x:c>
    </x:row>
    <x:row r="265" ht="25" customHeight="1">
      <x:c r="A265" s="22" t="str">
        <x:v>P-261</x:v>
      </x:c>
      <x:c r="B265" s="25" t="str"/>
      <x:c r="C265" s="26" t="str"/>
      <x:c r="D265" s="22" t="str">
        <x:f>IF(C265="","",IF(COUNTIFS('VENTAS'!$A$5:$A$254,C265,'VENTAS'!$C$5:$C$254,"&lt;&gt;")=1,INDEX('VENTAS'!$C$5:$C$254,MATCH(C265,'VENTAS'!$A$5:$A$254,0)),"ID no encontrado"))</x:f>
      </x:c>
      <x:c r="E265" s="22" t="str">
        <x:f>IF(C265="","",IF(COUNTIFS('VENTAS'!$A$5:$A$254,C265,'VENTAS'!$C$5:$C$254,"&lt;&gt;")=1,INDEX('VENTAS'!$D$5:$D$254,MATCH(C265,'VENTAS'!$A$5:$A$254,0)),"ID no encontrado"))</x:f>
      </x:c>
      <x:c r="F265" s="26" t="str"/>
      <x:c r="G265" s="27" t="str"/>
      <x:c r="H265" s="27" t="str"/>
      <x:c r="I265" s="26" t="str"/>
      <x:c r="J265" s="30" t="str"/>
      <x:c r="K265" s="28" t="str">
        <x:f>IF(B265="","",IF(ISNUMBER(H265),H265,IF(AND(ISNUMBER(G265),ISNUMBER(J265),J265&gt;0),ROUND(G265/J265,2),"")))</x:f>
      </x:c>
      <x:c r="L265" s="31" t="str"/>
      <x:c r="M265" s="26" t="str"/>
      <x:c r="N265" s="26" t="str">
        <x:v>Incluir</x:v>
      </x:c>
      <x:c r="O265" s="22" t="str"/>
      <x:c r="P265" s="22" t="str"/>
      <x:c r="Q265" s="22" t="str">
        <x:f>IF(B265="","",IF(C265="","Falta ID venta",IF(D265="ID no encontrado","ID venta inválido",IF(COUNTIFS('PAGOS'!$A$5:$A$504,A265,'PAGOS'!$B$5:$B$504,"&gt;0")&gt;1,"ID duplicado",IF(AND(L265&lt;&gt;"",COUNTIFS('PAGOS'!$L$5:$L$504,L265,'PAGOS'!$B$5:$B$504,B265,'PAGOS'!$F$5:$F$504,F265)&gt;1),"Referencia repetida",IF(N265&lt;&gt;"Incluir",N265,IF(NOT(ISNUMBER(K265)),"Falta equivalente","Aplicar")))))))</x:f>
      </x:c>
    </x:row>
    <x:row r="266" ht="25" customHeight="1">
      <x:c r="A266" s="22" t="str">
        <x:v>P-262</x:v>
      </x:c>
      <x:c r="B266" s="25" t="str"/>
      <x:c r="C266" s="26" t="str"/>
      <x:c r="D266" s="22" t="str">
        <x:f>IF(C266="","",IF(COUNTIFS('VENTAS'!$A$5:$A$254,C266,'VENTAS'!$C$5:$C$254,"&lt;&gt;")=1,INDEX('VENTAS'!$C$5:$C$254,MATCH(C266,'VENTAS'!$A$5:$A$254,0)),"ID no encontrado"))</x:f>
      </x:c>
      <x:c r="E266" s="22" t="str">
        <x:f>IF(C266="","",IF(COUNTIFS('VENTAS'!$A$5:$A$254,C266,'VENTAS'!$C$5:$C$254,"&lt;&gt;")=1,INDEX('VENTAS'!$D$5:$D$254,MATCH(C266,'VENTAS'!$A$5:$A$254,0)),"ID no encontrado"))</x:f>
      </x:c>
      <x:c r="F266" s="26" t="str"/>
      <x:c r="G266" s="27" t="str"/>
      <x:c r="H266" s="27" t="str"/>
      <x:c r="I266" s="26" t="str"/>
      <x:c r="J266" s="30" t="str"/>
      <x:c r="K266" s="28" t="str">
        <x:f>IF(B266="","",IF(ISNUMBER(H266),H266,IF(AND(ISNUMBER(G266),ISNUMBER(J266),J266&gt;0),ROUND(G266/J266,2),"")))</x:f>
      </x:c>
      <x:c r="L266" s="31" t="str"/>
      <x:c r="M266" s="26" t="str"/>
      <x:c r="N266" s="26" t="str">
        <x:v>Incluir</x:v>
      </x:c>
      <x:c r="O266" s="22" t="str"/>
      <x:c r="P266" s="22" t="str"/>
      <x:c r="Q266" s="22" t="str">
        <x:f>IF(B266="","",IF(C266="","Falta ID venta",IF(D266="ID no encontrado","ID venta inválido",IF(COUNTIFS('PAGOS'!$A$5:$A$504,A266,'PAGOS'!$B$5:$B$504,"&gt;0")&gt;1,"ID duplicado",IF(AND(L266&lt;&gt;"",COUNTIFS('PAGOS'!$L$5:$L$504,L266,'PAGOS'!$B$5:$B$504,B266,'PAGOS'!$F$5:$F$504,F266)&gt;1),"Referencia repetida",IF(N266&lt;&gt;"Incluir",N266,IF(NOT(ISNUMBER(K266)),"Falta equivalente","Aplicar")))))))</x:f>
      </x:c>
    </x:row>
    <x:row r="267" ht="25" customHeight="1">
      <x:c r="A267" s="22" t="str">
        <x:v>P-263</x:v>
      </x:c>
      <x:c r="B267" s="25" t="str"/>
      <x:c r="C267" s="26" t="str"/>
      <x:c r="D267" s="22" t="str">
        <x:f>IF(C267="","",IF(COUNTIFS('VENTAS'!$A$5:$A$254,C267,'VENTAS'!$C$5:$C$254,"&lt;&gt;")=1,INDEX('VENTAS'!$C$5:$C$254,MATCH(C267,'VENTAS'!$A$5:$A$254,0)),"ID no encontrado"))</x:f>
      </x:c>
      <x:c r="E267" s="22" t="str">
        <x:f>IF(C267="","",IF(COUNTIFS('VENTAS'!$A$5:$A$254,C267,'VENTAS'!$C$5:$C$254,"&lt;&gt;")=1,INDEX('VENTAS'!$D$5:$D$254,MATCH(C267,'VENTAS'!$A$5:$A$254,0)),"ID no encontrado"))</x:f>
      </x:c>
      <x:c r="F267" s="26" t="str"/>
      <x:c r="G267" s="27" t="str"/>
      <x:c r="H267" s="27" t="str"/>
      <x:c r="I267" s="26" t="str"/>
      <x:c r="J267" s="30" t="str"/>
      <x:c r="K267" s="28" t="str">
        <x:f>IF(B267="","",IF(ISNUMBER(H267),H267,IF(AND(ISNUMBER(G267),ISNUMBER(J267),J267&gt;0),ROUND(G267/J267,2),"")))</x:f>
      </x:c>
      <x:c r="L267" s="31" t="str"/>
      <x:c r="M267" s="26" t="str"/>
      <x:c r="N267" s="26" t="str">
        <x:v>Incluir</x:v>
      </x:c>
      <x:c r="O267" s="22" t="str"/>
      <x:c r="P267" s="22" t="str"/>
      <x:c r="Q267" s="22" t="str">
        <x:f>IF(B267="","",IF(C267="","Falta ID venta",IF(D267="ID no encontrado","ID venta inválido",IF(COUNTIFS('PAGOS'!$A$5:$A$504,A267,'PAGOS'!$B$5:$B$504,"&gt;0")&gt;1,"ID duplicado",IF(AND(L267&lt;&gt;"",COUNTIFS('PAGOS'!$L$5:$L$504,L267,'PAGOS'!$B$5:$B$504,B267,'PAGOS'!$F$5:$F$504,F267)&gt;1),"Referencia repetida",IF(N267&lt;&gt;"Incluir",N267,IF(NOT(ISNUMBER(K267)),"Falta equivalente","Aplicar")))))))</x:f>
      </x:c>
    </x:row>
    <x:row r="268" ht="25" customHeight="1">
      <x:c r="A268" s="22" t="str">
        <x:v>P-264</x:v>
      </x:c>
      <x:c r="B268" s="25" t="str"/>
      <x:c r="C268" s="26" t="str"/>
      <x:c r="D268" s="22" t="str">
        <x:f>IF(C268="","",IF(COUNTIFS('VENTAS'!$A$5:$A$254,C268,'VENTAS'!$C$5:$C$254,"&lt;&gt;")=1,INDEX('VENTAS'!$C$5:$C$254,MATCH(C268,'VENTAS'!$A$5:$A$254,0)),"ID no encontrado"))</x:f>
      </x:c>
      <x:c r="E268" s="22" t="str">
        <x:f>IF(C268="","",IF(COUNTIFS('VENTAS'!$A$5:$A$254,C268,'VENTAS'!$C$5:$C$254,"&lt;&gt;")=1,INDEX('VENTAS'!$D$5:$D$254,MATCH(C268,'VENTAS'!$A$5:$A$254,0)),"ID no encontrado"))</x:f>
      </x:c>
      <x:c r="F268" s="26" t="str"/>
      <x:c r="G268" s="27" t="str"/>
      <x:c r="H268" s="27" t="str"/>
      <x:c r="I268" s="26" t="str"/>
      <x:c r="J268" s="30" t="str"/>
      <x:c r="K268" s="28" t="str">
        <x:f>IF(B268="","",IF(ISNUMBER(H268),H268,IF(AND(ISNUMBER(G268),ISNUMBER(J268),J268&gt;0),ROUND(G268/J268,2),"")))</x:f>
      </x:c>
      <x:c r="L268" s="31" t="str"/>
      <x:c r="M268" s="26" t="str"/>
      <x:c r="N268" s="26" t="str">
        <x:v>Incluir</x:v>
      </x:c>
      <x:c r="O268" s="22" t="str"/>
      <x:c r="P268" s="22" t="str"/>
      <x:c r="Q268" s="22" t="str">
        <x:f>IF(B268="","",IF(C268="","Falta ID venta",IF(D268="ID no encontrado","ID venta inválido",IF(COUNTIFS('PAGOS'!$A$5:$A$504,A268,'PAGOS'!$B$5:$B$504,"&gt;0")&gt;1,"ID duplicado",IF(AND(L268&lt;&gt;"",COUNTIFS('PAGOS'!$L$5:$L$504,L268,'PAGOS'!$B$5:$B$504,B268,'PAGOS'!$F$5:$F$504,F268)&gt;1),"Referencia repetida",IF(N268&lt;&gt;"Incluir",N268,IF(NOT(ISNUMBER(K268)),"Falta equivalente","Aplicar")))))))</x:f>
      </x:c>
    </x:row>
    <x:row r="269" ht="25" customHeight="1">
      <x:c r="A269" s="22" t="str">
        <x:v>P-265</x:v>
      </x:c>
      <x:c r="B269" s="25" t="str"/>
      <x:c r="C269" s="26" t="str"/>
      <x:c r="D269" s="22" t="str">
        <x:f>IF(C269="","",IF(COUNTIFS('VENTAS'!$A$5:$A$254,C269,'VENTAS'!$C$5:$C$254,"&lt;&gt;")=1,INDEX('VENTAS'!$C$5:$C$254,MATCH(C269,'VENTAS'!$A$5:$A$254,0)),"ID no encontrado"))</x:f>
      </x:c>
      <x:c r="E269" s="22" t="str">
        <x:f>IF(C269="","",IF(COUNTIFS('VENTAS'!$A$5:$A$254,C269,'VENTAS'!$C$5:$C$254,"&lt;&gt;")=1,INDEX('VENTAS'!$D$5:$D$254,MATCH(C269,'VENTAS'!$A$5:$A$254,0)),"ID no encontrado"))</x:f>
      </x:c>
      <x:c r="F269" s="26" t="str"/>
      <x:c r="G269" s="27" t="str"/>
      <x:c r="H269" s="27" t="str"/>
      <x:c r="I269" s="26" t="str"/>
      <x:c r="J269" s="30" t="str"/>
      <x:c r="K269" s="28" t="str">
        <x:f>IF(B269="","",IF(ISNUMBER(H269),H269,IF(AND(ISNUMBER(G269),ISNUMBER(J269),J269&gt;0),ROUND(G269/J269,2),"")))</x:f>
      </x:c>
      <x:c r="L269" s="31" t="str"/>
      <x:c r="M269" s="26" t="str"/>
      <x:c r="N269" s="26" t="str">
        <x:v>Incluir</x:v>
      </x:c>
      <x:c r="O269" s="22" t="str"/>
      <x:c r="P269" s="22" t="str"/>
      <x:c r="Q269" s="22" t="str">
        <x:f>IF(B269="","",IF(C269="","Falta ID venta",IF(D269="ID no encontrado","ID venta inválido",IF(COUNTIFS('PAGOS'!$A$5:$A$504,A269,'PAGOS'!$B$5:$B$504,"&gt;0")&gt;1,"ID duplicado",IF(AND(L269&lt;&gt;"",COUNTIFS('PAGOS'!$L$5:$L$504,L269,'PAGOS'!$B$5:$B$504,B269,'PAGOS'!$F$5:$F$504,F269)&gt;1),"Referencia repetida",IF(N269&lt;&gt;"Incluir",N269,IF(NOT(ISNUMBER(K269)),"Falta equivalente","Aplicar")))))))</x:f>
      </x:c>
    </x:row>
    <x:row r="270" ht="25" customHeight="1">
      <x:c r="A270" s="22" t="str">
        <x:v>P-266</x:v>
      </x:c>
      <x:c r="B270" s="25" t="str"/>
      <x:c r="C270" s="26" t="str"/>
      <x:c r="D270" s="22" t="str">
        <x:f>IF(C270="","",IF(COUNTIFS('VENTAS'!$A$5:$A$254,C270,'VENTAS'!$C$5:$C$254,"&lt;&gt;")=1,INDEX('VENTAS'!$C$5:$C$254,MATCH(C270,'VENTAS'!$A$5:$A$254,0)),"ID no encontrado"))</x:f>
      </x:c>
      <x:c r="E270" s="22" t="str">
        <x:f>IF(C270="","",IF(COUNTIFS('VENTAS'!$A$5:$A$254,C270,'VENTAS'!$C$5:$C$254,"&lt;&gt;")=1,INDEX('VENTAS'!$D$5:$D$254,MATCH(C270,'VENTAS'!$A$5:$A$254,0)),"ID no encontrado"))</x:f>
      </x:c>
      <x:c r="F270" s="26" t="str"/>
      <x:c r="G270" s="27" t="str"/>
      <x:c r="H270" s="27" t="str"/>
      <x:c r="I270" s="26" t="str"/>
      <x:c r="J270" s="30" t="str"/>
      <x:c r="K270" s="28" t="str">
        <x:f>IF(B270="","",IF(ISNUMBER(H270),H270,IF(AND(ISNUMBER(G270),ISNUMBER(J270),J270&gt;0),ROUND(G270/J270,2),"")))</x:f>
      </x:c>
      <x:c r="L270" s="31" t="str"/>
      <x:c r="M270" s="26" t="str"/>
      <x:c r="N270" s="26" t="str">
        <x:v>Incluir</x:v>
      </x:c>
      <x:c r="O270" s="22" t="str"/>
      <x:c r="P270" s="22" t="str"/>
      <x:c r="Q270" s="22" t="str">
        <x:f>IF(B270="","",IF(C270="","Falta ID venta",IF(D270="ID no encontrado","ID venta inválido",IF(COUNTIFS('PAGOS'!$A$5:$A$504,A270,'PAGOS'!$B$5:$B$504,"&gt;0")&gt;1,"ID duplicado",IF(AND(L270&lt;&gt;"",COUNTIFS('PAGOS'!$L$5:$L$504,L270,'PAGOS'!$B$5:$B$504,B270,'PAGOS'!$F$5:$F$504,F270)&gt;1),"Referencia repetida",IF(N270&lt;&gt;"Incluir",N270,IF(NOT(ISNUMBER(K270)),"Falta equivalente","Aplicar")))))))</x:f>
      </x:c>
    </x:row>
    <x:row r="271" ht="25" customHeight="1">
      <x:c r="A271" s="22" t="str">
        <x:v>P-267</x:v>
      </x:c>
      <x:c r="B271" s="25" t="str"/>
      <x:c r="C271" s="26" t="str"/>
      <x:c r="D271" s="22" t="str">
        <x:f>IF(C271="","",IF(COUNTIFS('VENTAS'!$A$5:$A$254,C271,'VENTAS'!$C$5:$C$254,"&lt;&gt;")=1,INDEX('VENTAS'!$C$5:$C$254,MATCH(C271,'VENTAS'!$A$5:$A$254,0)),"ID no encontrado"))</x:f>
      </x:c>
      <x:c r="E271" s="22" t="str">
        <x:f>IF(C271="","",IF(COUNTIFS('VENTAS'!$A$5:$A$254,C271,'VENTAS'!$C$5:$C$254,"&lt;&gt;")=1,INDEX('VENTAS'!$D$5:$D$254,MATCH(C271,'VENTAS'!$A$5:$A$254,0)),"ID no encontrado"))</x:f>
      </x:c>
      <x:c r="F271" s="26" t="str"/>
      <x:c r="G271" s="27" t="str"/>
      <x:c r="H271" s="27" t="str"/>
      <x:c r="I271" s="26" t="str"/>
      <x:c r="J271" s="30" t="str"/>
      <x:c r="K271" s="28" t="str">
        <x:f>IF(B271="","",IF(ISNUMBER(H271),H271,IF(AND(ISNUMBER(G271),ISNUMBER(J271),J271&gt;0),ROUND(G271/J271,2),"")))</x:f>
      </x:c>
      <x:c r="L271" s="31" t="str"/>
      <x:c r="M271" s="26" t="str"/>
      <x:c r="N271" s="26" t="str">
        <x:v>Incluir</x:v>
      </x:c>
      <x:c r="O271" s="22" t="str"/>
      <x:c r="P271" s="22" t="str"/>
      <x:c r="Q271" s="22" t="str">
        <x:f>IF(B271="","",IF(C271="","Falta ID venta",IF(D271="ID no encontrado","ID venta inválido",IF(COUNTIFS('PAGOS'!$A$5:$A$504,A271,'PAGOS'!$B$5:$B$504,"&gt;0")&gt;1,"ID duplicado",IF(AND(L271&lt;&gt;"",COUNTIFS('PAGOS'!$L$5:$L$504,L271,'PAGOS'!$B$5:$B$504,B271,'PAGOS'!$F$5:$F$504,F271)&gt;1),"Referencia repetida",IF(N271&lt;&gt;"Incluir",N271,IF(NOT(ISNUMBER(K271)),"Falta equivalente","Aplicar")))))))</x:f>
      </x:c>
    </x:row>
    <x:row r="272" ht="25" customHeight="1">
      <x:c r="A272" s="22" t="str">
        <x:v>P-268</x:v>
      </x:c>
      <x:c r="B272" s="25" t="str"/>
      <x:c r="C272" s="26" t="str"/>
      <x:c r="D272" s="22" t="str">
        <x:f>IF(C272="","",IF(COUNTIFS('VENTAS'!$A$5:$A$254,C272,'VENTAS'!$C$5:$C$254,"&lt;&gt;")=1,INDEX('VENTAS'!$C$5:$C$254,MATCH(C272,'VENTAS'!$A$5:$A$254,0)),"ID no encontrado"))</x:f>
      </x:c>
      <x:c r="E272" s="22" t="str">
        <x:f>IF(C272="","",IF(COUNTIFS('VENTAS'!$A$5:$A$254,C272,'VENTAS'!$C$5:$C$254,"&lt;&gt;")=1,INDEX('VENTAS'!$D$5:$D$254,MATCH(C272,'VENTAS'!$A$5:$A$254,0)),"ID no encontrado"))</x:f>
      </x:c>
      <x:c r="F272" s="26" t="str"/>
      <x:c r="G272" s="27" t="str"/>
      <x:c r="H272" s="27" t="str"/>
      <x:c r="I272" s="26" t="str"/>
      <x:c r="J272" s="30" t="str"/>
      <x:c r="K272" s="28" t="str">
        <x:f>IF(B272="","",IF(ISNUMBER(H272),H272,IF(AND(ISNUMBER(G272),ISNUMBER(J272),J272&gt;0),ROUND(G272/J272,2),"")))</x:f>
      </x:c>
      <x:c r="L272" s="31" t="str"/>
      <x:c r="M272" s="26" t="str"/>
      <x:c r="N272" s="26" t="str">
        <x:v>Incluir</x:v>
      </x:c>
      <x:c r="O272" s="22" t="str"/>
      <x:c r="P272" s="22" t="str"/>
      <x:c r="Q272" s="22" t="str">
        <x:f>IF(B272="","",IF(C272="","Falta ID venta",IF(D272="ID no encontrado","ID venta inválido",IF(COUNTIFS('PAGOS'!$A$5:$A$504,A272,'PAGOS'!$B$5:$B$504,"&gt;0")&gt;1,"ID duplicado",IF(AND(L272&lt;&gt;"",COUNTIFS('PAGOS'!$L$5:$L$504,L272,'PAGOS'!$B$5:$B$504,B272,'PAGOS'!$F$5:$F$504,F272)&gt;1),"Referencia repetida",IF(N272&lt;&gt;"Incluir",N272,IF(NOT(ISNUMBER(K272)),"Falta equivalente","Aplicar")))))))</x:f>
      </x:c>
    </x:row>
    <x:row r="273" ht="25" customHeight="1">
      <x:c r="A273" s="22" t="str">
        <x:v>P-269</x:v>
      </x:c>
      <x:c r="B273" s="25" t="str"/>
      <x:c r="C273" s="26" t="str"/>
      <x:c r="D273" s="22" t="str">
        <x:f>IF(C273="","",IF(COUNTIFS('VENTAS'!$A$5:$A$254,C273,'VENTAS'!$C$5:$C$254,"&lt;&gt;")=1,INDEX('VENTAS'!$C$5:$C$254,MATCH(C273,'VENTAS'!$A$5:$A$254,0)),"ID no encontrado"))</x:f>
      </x:c>
      <x:c r="E273" s="22" t="str">
        <x:f>IF(C273="","",IF(COUNTIFS('VENTAS'!$A$5:$A$254,C273,'VENTAS'!$C$5:$C$254,"&lt;&gt;")=1,INDEX('VENTAS'!$D$5:$D$254,MATCH(C273,'VENTAS'!$A$5:$A$254,0)),"ID no encontrado"))</x:f>
      </x:c>
      <x:c r="F273" s="26" t="str"/>
      <x:c r="G273" s="27" t="str"/>
      <x:c r="H273" s="27" t="str"/>
      <x:c r="I273" s="26" t="str"/>
      <x:c r="J273" s="30" t="str"/>
      <x:c r="K273" s="28" t="str">
        <x:f>IF(B273="","",IF(ISNUMBER(H273),H273,IF(AND(ISNUMBER(G273),ISNUMBER(J273),J273&gt;0),ROUND(G273/J273,2),"")))</x:f>
      </x:c>
      <x:c r="L273" s="31" t="str"/>
      <x:c r="M273" s="26" t="str"/>
      <x:c r="N273" s="26" t="str">
        <x:v>Incluir</x:v>
      </x:c>
      <x:c r="O273" s="22" t="str"/>
      <x:c r="P273" s="22" t="str"/>
      <x:c r="Q273" s="22" t="str">
        <x:f>IF(B273="","",IF(C273="","Falta ID venta",IF(D273="ID no encontrado","ID venta inválido",IF(COUNTIFS('PAGOS'!$A$5:$A$504,A273,'PAGOS'!$B$5:$B$504,"&gt;0")&gt;1,"ID duplicado",IF(AND(L273&lt;&gt;"",COUNTIFS('PAGOS'!$L$5:$L$504,L273,'PAGOS'!$B$5:$B$504,B273,'PAGOS'!$F$5:$F$504,F273)&gt;1),"Referencia repetida",IF(N273&lt;&gt;"Incluir",N273,IF(NOT(ISNUMBER(K273)),"Falta equivalente","Aplicar")))))))</x:f>
      </x:c>
    </x:row>
    <x:row r="274" ht="25" customHeight="1">
      <x:c r="A274" s="22" t="str">
        <x:v>P-270</x:v>
      </x:c>
      <x:c r="B274" s="25" t="str"/>
      <x:c r="C274" s="26" t="str"/>
      <x:c r="D274" s="22" t="str">
        <x:f>IF(C274="","",IF(COUNTIFS('VENTAS'!$A$5:$A$254,C274,'VENTAS'!$C$5:$C$254,"&lt;&gt;")=1,INDEX('VENTAS'!$C$5:$C$254,MATCH(C274,'VENTAS'!$A$5:$A$254,0)),"ID no encontrado"))</x:f>
      </x:c>
      <x:c r="E274" s="22" t="str">
        <x:f>IF(C274="","",IF(COUNTIFS('VENTAS'!$A$5:$A$254,C274,'VENTAS'!$C$5:$C$254,"&lt;&gt;")=1,INDEX('VENTAS'!$D$5:$D$254,MATCH(C274,'VENTAS'!$A$5:$A$254,0)),"ID no encontrado"))</x:f>
      </x:c>
      <x:c r="F274" s="26" t="str"/>
      <x:c r="G274" s="27" t="str"/>
      <x:c r="H274" s="27" t="str"/>
      <x:c r="I274" s="26" t="str"/>
      <x:c r="J274" s="30" t="str"/>
      <x:c r="K274" s="28" t="str">
        <x:f>IF(B274="","",IF(ISNUMBER(H274),H274,IF(AND(ISNUMBER(G274),ISNUMBER(J274),J274&gt;0),ROUND(G274/J274,2),"")))</x:f>
      </x:c>
      <x:c r="L274" s="31" t="str"/>
      <x:c r="M274" s="26" t="str"/>
      <x:c r="N274" s="26" t="str">
        <x:v>Incluir</x:v>
      </x:c>
      <x:c r="O274" s="22" t="str"/>
      <x:c r="P274" s="22" t="str"/>
      <x:c r="Q274" s="22" t="str">
        <x:f>IF(B274="","",IF(C274="","Falta ID venta",IF(D274="ID no encontrado","ID venta inválido",IF(COUNTIFS('PAGOS'!$A$5:$A$504,A274,'PAGOS'!$B$5:$B$504,"&gt;0")&gt;1,"ID duplicado",IF(AND(L274&lt;&gt;"",COUNTIFS('PAGOS'!$L$5:$L$504,L274,'PAGOS'!$B$5:$B$504,B274,'PAGOS'!$F$5:$F$504,F274)&gt;1),"Referencia repetida",IF(N274&lt;&gt;"Incluir",N274,IF(NOT(ISNUMBER(K274)),"Falta equivalente","Aplicar")))))))</x:f>
      </x:c>
    </x:row>
    <x:row r="275" ht="25" customHeight="1">
      <x:c r="A275" s="22" t="str">
        <x:v>P-271</x:v>
      </x:c>
      <x:c r="B275" s="25" t="str"/>
      <x:c r="C275" s="26" t="str"/>
      <x:c r="D275" s="22" t="str">
        <x:f>IF(C275="","",IF(COUNTIFS('VENTAS'!$A$5:$A$254,C275,'VENTAS'!$C$5:$C$254,"&lt;&gt;")=1,INDEX('VENTAS'!$C$5:$C$254,MATCH(C275,'VENTAS'!$A$5:$A$254,0)),"ID no encontrado"))</x:f>
      </x:c>
      <x:c r="E275" s="22" t="str">
        <x:f>IF(C275="","",IF(COUNTIFS('VENTAS'!$A$5:$A$254,C275,'VENTAS'!$C$5:$C$254,"&lt;&gt;")=1,INDEX('VENTAS'!$D$5:$D$254,MATCH(C275,'VENTAS'!$A$5:$A$254,0)),"ID no encontrado"))</x:f>
      </x:c>
      <x:c r="F275" s="26" t="str"/>
      <x:c r="G275" s="27" t="str"/>
      <x:c r="H275" s="27" t="str"/>
      <x:c r="I275" s="26" t="str"/>
      <x:c r="J275" s="30" t="str"/>
      <x:c r="K275" s="28" t="str">
        <x:f>IF(B275="","",IF(ISNUMBER(H275),H275,IF(AND(ISNUMBER(G275),ISNUMBER(J275),J275&gt;0),ROUND(G275/J275,2),"")))</x:f>
      </x:c>
      <x:c r="L275" s="31" t="str"/>
      <x:c r="M275" s="26" t="str"/>
      <x:c r="N275" s="26" t="str">
        <x:v>Incluir</x:v>
      </x:c>
      <x:c r="O275" s="22" t="str"/>
      <x:c r="P275" s="22" t="str"/>
      <x:c r="Q275" s="22" t="str">
        <x:f>IF(B275="","",IF(C275="","Falta ID venta",IF(D275="ID no encontrado","ID venta inválido",IF(COUNTIFS('PAGOS'!$A$5:$A$504,A275,'PAGOS'!$B$5:$B$504,"&gt;0")&gt;1,"ID duplicado",IF(AND(L275&lt;&gt;"",COUNTIFS('PAGOS'!$L$5:$L$504,L275,'PAGOS'!$B$5:$B$504,B275,'PAGOS'!$F$5:$F$504,F275)&gt;1),"Referencia repetida",IF(N275&lt;&gt;"Incluir",N275,IF(NOT(ISNUMBER(K275)),"Falta equivalente","Aplicar")))))))</x:f>
      </x:c>
    </x:row>
    <x:row r="276" ht="25" customHeight="1">
      <x:c r="A276" s="22" t="str">
        <x:v>P-272</x:v>
      </x:c>
      <x:c r="B276" s="25" t="str"/>
      <x:c r="C276" s="26" t="str"/>
      <x:c r="D276" s="22" t="str">
        <x:f>IF(C276="","",IF(COUNTIFS('VENTAS'!$A$5:$A$254,C276,'VENTAS'!$C$5:$C$254,"&lt;&gt;")=1,INDEX('VENTAS'!$C$5:$C$254,MATCH(C276,'VENTAS'!$A$5:$A$254,0)),"ID no encontrado"))</x:f>
      </x:c>
      <x:c r="E276" s="22" t="str">
        <x:f>IF(C276="","",IF(COUNTIFS('VENTAS'!$A$5:$A$254,C276,'VENTAS'!$C$5:$C$254,"&lt;&gt;")=1,INDEX('VENTAS'!$D$5:$D$254,MATCH(C276,'VENTAS'!$A$5:$A$254,0)),"ID no encontrado"))</x:f>
      </x:c>
      <x:c r="F276" s="26" t="str"/>
      <x:c r="G276" s="27" t="str"/>
      <x:c r="H276" s="27" t="str"/>
      <x:c r="I276" s="26" t="str"/>
      <x:c r="J276" s="30" t="str"/>
      <x:c r="K276" s="28" t="str">
        <x:f>IF(B276="","",IF(ISNUMBER(H276),H276,IF(AND(ISNUMBER(G276),ISNUMBER(J276),J276&gt;0),ROUND(G276/J276,2),"")))</x:f>
      </x:c>
      <x:c r="L276" s="31" t="str"/>
      <x:c r="M276" s="26" t="str"/>
      <x:c r="N276" s="26" t="str">
        <x:v>Incluir</x:v>
      </x:c>
      <x:c r="O276" s="22" t="str"/>
      <x:c r="P276" s="22" t="str"/>
      <x:c r="Q276" s="22" t="str">
        <x:f>IF(B276="","",IF(C276="","Falta ID venta",IF(D276="ID no encontrado","ID venta inválido",IF(COUNTIFS('PAGOS'!$A$5:$A$504,A276,'PAGOS'!$B$5:$B$504,"&gt;0")&gt;1,"ID duplicado",IF(AND(L276&lt;&gt;"",COUNTIFS('PAGOS'!$L$5:$L$504,L276,'PAGOS'!$B$5:$B$504,B276,'PAGOS'!$F$5:$F$504,F276)&gt;1),"Referencia repetida",IF(N276&lt;&gt;"Incluir",N276,IF(NOT(ISNUMBER(K276)),"Falta equivalente","Aplicar")))))))</x:f>
      </x:c>
    </x:row>
    <x:row r="277" ht="25" customHeight="1">
      <x:c r="A277" s="22" t="str">
        <x:v>P-273</x:v>
      </x:c>
      <x:c r="B277" s="25" t="str"/>
      <x:c r="C277" s="26" t="str"/>
      <x:c r="D277" s="22" t="str">
        <x:f>IF(C277="","",IF(COUNTIFS('VENTAS'!$A$5:$A$254,C277,'VENTAS'!$C$5:$C$254,"&lt;&gt;")=1,INDEX('VENTAS'!$C$5:$C$254,MATCH(C277,'VENTAS'!$A$5:$A$254,0)),"ID no encontrado"))</x:f>
      </x:c>
      <x:c r="E277" s="22" t="str">
        <x:f>IF(C277="","",IF(COUNTIFS('VENTAS'!$A$5:$A$254,C277,'VENTAS'!$C$5:$C$254,"&lt;&gt;")=1,INDEX('VENTAS'!$D$5:$D$254,MATCH(C277,'VENTAS'!$A$5:$A$254,0)),"ID no encontrado"))</x:f>
      </x:c>
      <x:c r="F277" s="26" t="str"/>
      <x:c r="G277" s="27" t="str"/>
      <x:c r="H277" s="27" t="str"/>
      <x:c r="I277" s="26" t="str"/>
      <x:c r="J277" s="30" t="str"/>
      <x:c r="K277" s="28" t="str">
        <x:f>IF(B277="","",IF(ISNUMBER(H277),H277,IF(AND(ISNUMBER(G277),ISNUMBER(J277),J277&gt;0),ROUND(G277/J277,2),"")))</x:f>
      </x:c>
      <x:c r="L277" s="31" t="str"/>
      <x:c r="M277" s="26" t="str"/>
      <x:c r="N277" s="26" t="str">
        <x:v>Incluir</x:v>
      </x:c>
      <x:c r="O277" s="22" t="str"/>
      <x:c r="P277" s="22" t="str"/>
      <x:c r="Q277" s="22" t="str">
        <x:f>IF(B277="","",IF(C277="","Falta ID venta",IF(D277="ID no encontrado","ID venta inválido",IF(COUNTIFS('PAGOS'!$A$5:$A$504,A277,'PAGOS'!$B$5:$B$504,"&gt;0")&gt;1,"ID duplicado",IF(AND(L277&lt;&gt;"",COUNTIFS('PAGOS'!$L$5:$L$504,L277,'PAGOS'!$B$5:$B$504,B277,'PAGOS'!$F$5:$F$504,F277)&gt;1),"Referencia repetida",IF(N277&lt;&gt;"Incluir",N277,IF(NOT(ISNUMBER(K277)),"Falta equivalente","Aplicar")))))))</x:f>
      </x:c>
    </x:row>
    <x:row r="278" ht="25" customHeight="1">
      <x:c r="A278" s="22" t="str">
        <x:v>P-274</x:v>
      </x:c>
      <x:c r="B278" s="25" t="str"/>
      <x:c r="C278" s="26" t="str"/>
      <x:c r="D278" s="22" t="str">
        <x:f>IF(C278="","",IF(COUNTIFS('VENTAS'!$A$5:$A$254,C278,'VENTAS'!$C$5:$C$254,"&lt;&gt;")=1,INDEX('VENTAS'!$C$5:$C$254,MATCH(C278,'VENTAS'!$A$5:$A$254,0)),"ID no encontrado"))</x:f>
      </x:c>
      <x:c r="E278" s="22" t="str">
        <x:f>IF(C278="","",IF(COUNTIFS('VENTAS'!$A$5:$A$254,C278,'VENTAS'!$C$5:$C$254,"&lt;&gt;")=1,INDEX('VENTAS'!$D$5:$D$254,MATCH(C278,'VENTAS'!$A$5:$A$254,0)),"ID no encontrado"))</x:f>
      </x:c>
      <x:c r="F278" s="26" t="str"/>
      <x:c r="G278" s="27" t="str"/>
      <x:c r="H278" s="27" t="str"/>
      <x:c r="I278" s="26" t="str"/>
      <x:c r="J278" s="30" t="str"/>
      <x:c r="K278" s="28" t="str">
        <x:f>IF(B278="","",IF(ISNUMBER(H278),H278,IF(AND(ISNUMBER(G278),ISNUMBER(J278),J278&gt;0),ROUND(G278/J278,2),"")))</x:f>
      </x:c>
      <x:c r="L278" s="31" t="str"/>
      <x:c r="M278" s="26" t="str"/>
      <x:c r="N278" s="26" t="str">
        <x:v>Incluir</x:v>
      </x:c>
      <x:c r="O278" s="22" t="str"/>
      <x:c r="P278" s="22" t="str"/>
      <x:c r="Q278" s="22" t="str">
        <x:f>IF(B278="","",IF(C278="","Falta ID venta",IF(D278="ID no encontrado","ID venta inválido",IF(COUNTIFS('PAGOS'!$A$5:$A$504,A278,'PAGOS'!$B$5:$B$504,"&gt;0")&gt;1,"ID duplicado",IF(AND(L278&lt;&gt;"",COUNTIFS('PAGOS'!$L$5:$L$504,L278,'PAGOS'!$B$5:$B$504,B278,'PAGOS'!$F$5:$F$504,F278)&gt;1),"Referencia repetida",IF(N278&lt;&gt;"Incluir",N278,IF(NOT(ISNUMBER(K278)),"Falta equivalente","Aplicar")))))))</x:f>
      </x:c>
    </x:row>
    <x:row r="279" ht="25" customHeight="1">
      <x:c r="A279" s="22" t="str">
        <x:v>P-275</x:v>
      </x:c>
      <x:c r="B279" s="25" t="str"/>
      <x:c r="C279" s="26" t="str"/>
      <x:c r="D279" s="22" t="str">
        <x:f>IF(C279="","",IF(COUNTIFS('VENTAS'!$A$5:$A$254,C279,'VENTAS'!$C$5:$C$254,"&lt;&gt;")=1,INDEX('VENTAS'!$C$5:$C$254,MATCH(C279,'VENTAS'!$A$5:$A$254,0)),"ID no encontrado"))</x:f>
      </x:c>
      <x:c r="E279" s="22" t="str">
        <x:f>IF(C279="","",IF(COUNTIFS('VENTAS'!$A$5:$A$254,C279,'VENTAS'!$C$5:$C$254,"&lt;&gt;")=1,INDEX('VENTAS'!$D$5:$D$254,MATCH(C279,'VENTAS'!$A$5:$A$254,0)),"ID no encontrado"))</x:f>
      </x:c>
      <x:c r="F279" s="26" t="str"/>
      <x:c r="G279" s="27" t="str"/>
      <x:c r="H279" s="27" t="str"/>
      <x:c r="I279" s="26" t="str"/>
      <x:c r="J279" s="30" t="str"/>
      <x:c r="K279" s="28" t="str">
        <x:f>IF(B279="","",IF(ISNUMBER(H279),H279,IF(AND(ISNUMBER(G279),ISNUMBER(J279),J279&gt;0),ROUND(G279/J279,2),"")))</x:f>
      </x:c>
      <x:c r="L279" s="31" t="str"/>
      <x:c r="M279" s="26" t="str"/>
      <x:c r="N279" s="26" t="str">
        <x:v>Incluir</x:v>
      </x:c>
      <x:c r="O279" s="22" t="str"/>
      <x:c r="P279" s="22" t="str"/>
      <x:c r="Q279" s="22" t="str">
        <x:f>IF(B279="","",IF(C279="","Falta ID venta",IF(D279="ID no encontrado","ID venta inválido",IF(COUNTIFS('PAGOS'!$A$5:$A$504,A279,'PAGOS'!$B$5:$B$504,"&gt;0")&gt;1,"ID duplicado",IF(AND(L279&lt;&gt;"",COUNTIFS('PAGOS'!$L$5:$L$504,L279,'PAGOS'!$B$5:$B$504,B279,'PAGOS'!$F$5:$F$504,F279)&gt;1),"Referencia repetida",IF(N279&lt;&gt;"Incluir",N279,IF(NOT(ISNUMBER(K279)),"Falta equivalente","Aplicar")))))))</x:f>
      </x:c>
    </x:row>
    <x:row r="280" ht="25" customHeight="1">
      <x:c r="A280" s="22" t="str">
        <x:v>P-276</x:v>
      </x:c>
      <x:c r="B280" s="25" t="str"/>
      <x:c r="C280" s="26" t="str"/>
      <x:c r="D280" s="22" t="str">
        <x:f>IF(C280="","",IF(COUNTIFS('VENTAS'!$A$5:$A$254,C280,'VENTAS'!$C$5:$C$254,"&lt;&gt;")=1,INDEX('VENTAS'!$C$5:$C$254,MATCH(C280,'VENTAS'!$A$5:$A$254,0)),"ID no encontrado"))</x:f>
      </x:c>
      <x:c r="E280" s="22" t="str">
        <x:f>IF(C280="","",IF(COUNTIFS('VENTAS'!$A$5:$A$254,C280,'VENTAS'!$C$5:$C$254,"&lt;&gt;")=1,INDEX('VENTAS'!$D$5:$D$254,MATCH(C280,'VENTAS'!$A$5:$A$254,0)),"ID no encontrado"))</x:f>
      </x:c>
      <x:c r="F280" s="26" t="str"/>
      <x:c r="G280" s="27" t="str"/>
      <x:c r="H280" s="27" t="str"/>
      <x:c r="I280" s="26" t="str"/>
      <x:c r="J280" s="30" t="str"/>
      <x:c r="K280" s="28" t="str">
        <x:f>IF(B280="","",IF(ISNUMBER(H280),H280,IF(AND(ISNUMBER(G280),ISNUMBER(J280),J280&gt;0),ROUND(G280/J280,2),"")))</x:f>
      </x:c>
      <x:c r="L280" s="31" t="str"/>
      <x:c r="M280" s="26" t="str"/>
      <x:c r="N280" s="26" t="str">
        <x:v>Incluir</x:v>
      </x:c>
      <x:c r="O280" s="22" t="str"/>
      <x:c r="P280" s="22" t="str"/>
      <x:c r="Q280" s="22" t="str">
        <x:f>IF(B280="","",IF(C280="","Falta ID venta",IF(D280="ID no encontrado","ID venta inválido",IF(COUNTIFS('PAGOS'!$A$5:$A$504,A280,'PAGOS'!$B$5:$B$504,"&gt;0")&gt;1,"ID duplicado",IF(AND(L280&lt;&gt;"",COUNTIFS('PAGOS'!$L$5:$L$504,L280,'PAGOS'!$B$5:$B$504,B280,'PAGOS'!$F$5:$F$504,F280)&gt;1),"Referencia repetida",IF(N280&lt;&gt;"Incluir",N280,IF(NOT(ISNUMBER(K280)),"Falta equivalente","Aplicar")))))))</x:f>
      </x:c>
    </x:row>
    <x:row r="281" ht="25" customHeight="1">
      <x:c r="A281" s="22" t="str">
        <x:v>P-277</x:v>
      </x:c>
      <x:c r="B281" s="25" t="str"/>
      <x:c r="C281" s="26" t="str"/>
      <x:c r="D281" s="22" t="str">
        <x:f>IF(C281="","",IF(COUNTIFS('VENTAS'!$A$5:$A$254,C281,'VENTAS'!$C$5:$C$254,"&lt;&gt;")=1,INDEX('VENTAS'!$C$5:$C$254,MATCH(C281,'VENTAS'!$A$5:$A$254,0)),"ID no encontrado"))</x:f>
      </x:c>
      <x:c r="E281" s="22" t="str">
        <x:f>IF(C281="","",IF(COUNTIFS('VENTAS'!$A$5:$A$254,C281,'VENTAS'!$C$5:$C$254,"&lt;&gt;")=1,INDEX('VENTAS'!$D$5:$D$254,MATCH(C281,'VENTAS'!$A$5:$A$254,0)),"ID no encontrado"))</x:f>
      </x:c>
      <x:c r="F281" s="26" t="str"/>
      <x:c r="G281" s="27" t="str"/>
      <x:c r="H281" s="27" t="str"/>
      <x:c r="I281" s="26" t="str"/>
      <x:c r="J281" s="30" t="str"/>
      <x:c r="K281" s="28" t="str">
        <x:f>IF(B281="","",IF(ISNUMBER(H281),H281,IF(AND(ISNUMBER(G281),ISNUMBER(J281),J281&gt;0),ROUND(G281/J281,2),"")))</x:f>
      </x:c>
      <x:c r="L281" s="31" t="str"/>
      <x:c r="M281" s="26" t="str"/>
      <x:c r="N281" s="26" t="str">
        <x:v>Incluir</x:v>
      </x:c>
      <x:c r="O281" s="22" t="str"/>
      <x:c r="P281" s="22" t="str"/>
      <x:c r="Q281" s="22" t="str">
        <x:f>IF(B281="","",IF(C281="","Falta ID venta",IF(D281="ID no encontrado","ID venta inválido",IF(COUNTIFS('PAGOS'!$A$5:$A$504,A281,'PAGOS'!$B$5:$B$504,"&gt;0")&gt;1,"ID duplicado",IF(AND(L281&lt;&gt;"",COUNTIFS('PAGOS'!$L$5:$L$504,L281,'PAGOS'!$B$5:$B$504,B281,'PAGOS'!$F$5:$F$504,F281)&gt;1),"Referencia repetida",IF(N281&lt;&gt;"Incluir",N281,IF(NOT(ISNUMBER(K281)),"Falta equivalente","Aplicar")))))))</x:f>
      </x:c>
    </x:row>
    <x:row r="282" ht="25" customHeight="1">
      <x:c r="A282" s="22" t="str">
        <x:v>P-278</x:v>
      </x:c>
      <x:c r="B282" s="25" t="str"/>
      <x:c r="C282" s="26" t="str"/>
      <x:c r="D282" s="22" t="str">
        <x:f>IF(C282="","",IF(COUNTIFS('VENTAS'!$A$5:$A$254,C282,'VENTAS'!$C$5:$C$254,"&lt;&gt;")=1,INDEX('VENTAS'!$C$5:$C$254,MATCH(C282,'VENTAS'!$A$5:$A$254,0)),"ID no encontrado"))</x:f>
      </x:c>
      <x:c r="E282" s="22" t="str">
        <x:f>IF(C282="","",IF(COUNTIFS('VENTAS'!$A$5:$A$254,C282,'VENTAS'!$C$5:$C$254,"&lt;&gt;")=1,INDEX('VENTAS'!$D$5:$D$254,MATCH(C282,'VENTAS'!$A$5:$A$254,0)),"ID no encontrado"))</x:f>
      </x:c>
      <x:c r="F282" s="26" t="str"/>
      <x:c r="G282" s="27" t="str"/>
      <x:c r="H282" s="27" t="str"/>
      <x:c r="I282" s="26" t="str"/>
      <x:c r="J282" s="30" t="str"/>
      <x:c r="K282" s="28" t="str">
        <x:f>IF(B282="","",IF(ISNUMBER(H282),H282,IF(AND(ISNUMBER(G282),ISNUMBER(J282),J282&gt;0),ROUND(G282/J282,2),"")))</x:f>
      </x:c>
      <x:c r="L282" s="31" t="str"/>
      <x:c r="M282" s="26" t="str"/>
      <x:c r="N282" s="26" t="str">
        <x:v>Incluir</x:v>
      </x:c>
      <x:c r="O282" s="22" t="str"/>
      <x:c r="P282" s="22" t="str"/>
      <x:c r="Q282" s="22" t="str">
        <x:f>IF(B282="","",IF(C282="","Falta ID venta",IF(D282="ID no encontrado","ID venta inválido",IF(COUNTIFS('PAGOS'!$A$5:$A$504,A282,'PAGOS'!$B$5:$B$504,"&gt;0")&gt;1,"ID duplicado",IF(AND(L282&lt;&gt;"",COUNTIFS('PAGOS'!$L$5:$L$504,L282,'PAGOS'!$B$5:$B$504,B282,'PAGOS'!$F$5:$F$504,F282)&gt;1),"Referencia repetida",IF(N282&lt;&gt;"Incluir",N282,IF(NOT(ISNUMBER(K282)),"Falta equivalente","Aplicar")))))))</x:f>
      </x:c>
    </x:row>
    <x:row r="283" ht="25" customHeight="1">
      <x:c r="A283" s="22" t="str">
        <x:v>P-279</x:v>
      </x:c>
      <x:c r="B283" s="25" t="str"/>
      <x:c r="C283" s="26" t="str"/>
      <x:c r="D283" s="22" t="str">
        <x:f>IF(C283="","",IF(COUNTIFS('VENTAS'!$A$5:$A$254,C283,'VENTAS'!$C$5:$C$254,"&lt;&gt;")=1,INDEX('VENTAS'!$C$5:$C$254,MATCH(C283,'VENTAS'!$A$5:$A$254,0)),"ID no encontrado"))</x:f>
      </x:c>
      <x:c r="E283" s="22" t="str">
        <x:f>IF(C283="","",IF(COUNTIFS('VENTAS'!$A$5:$A$254,C283,'VENTAS'!$C$5:$C$254,"&lt;&gt;")=1,INDEX('VENTAS'!$D$5:$D$254,MATCH(C283,'VENTAS'!$A$5:$A$254,0)),"ID no encontrado"))</x:f>
      </x:c>
      <x:c r="F283" s="26" t="str"/>
      <x:c r="G283" s="27" t="str"/>
      <x:c r="H283" s="27" t="str"/>
      <x:c r="I283" s="26" t="str"/>
      <x:c r="J283" s="30" t="str"/>
      <x:c r="K283" s="28" t="str">
        <x:f>IF(B283="","",IF(ISNUMBER(H283),H283,IF(AND(ISNUMBER(G283),ISNUMBER(J283),J283&gt;0),ROUND(G283/J283,2),"")))</x:f>
      </x:c>
      <x:c r="L283" s="31" t="str"/>
      <x:c r="M283" s="26" t="str"/>
      <x:c r="N283" s="26" t="str">
        <x:v>Incluir</x:v>
      </x:c>
      <x:c r="O283" s="22" t="str"/>
      <x:c r="P283" s="22" t="str"/>
      <x:c r="Q283" s="22" t="str">
        <x:f>IF(B283="","",IF(C283="","Falta ID venta",IF(D283="ID no encontrado","ID venta inválido",IF(COUNTIFS('PAGOS'!$A$5:$A$504,A283,'PAGOS'!$B$5:$B$504,"&gt;0")&gt;1,"ID duplicado",IF(AND(L283&lt;&gt;"",COUNTIFS('PAGOS'!$L$5:$L$504,L283,'PAGOS'!$B$5:$B$504,B283,'PAGOS'!$F$5:$F$504,F283)&gt;1),"Referencia repetida",IF(N283&lt;&gt;"Incluir",N283,IF(NOT(ISNUMBER(K283)),"Falta equivalente","Aplicar")))))))</x:f>
      </x:c>
    </x:row>
    <x:row r="284" ht="25" customHeight="1">
      <x:c r="A284" s="22" t="str">
        <x:v>P-280</x:v>
      </x:c>
      <x:c r="B284" s="25" t="str"/>
      <x:c r="C284" s="26" t="str"/>
      <x:c r="D284" s="22" t="str">
        <x:f>IF(C284="","",IF(COUNTIFS('VENTAS'!$A$5:$A$254,C284,'VENTAS'!$C$5:$C$254,"&lt;&gt;")=1,INDEX('VENTAS'!$C$5:$C$254,MATCH(C284,'VENTAS'!$A$5:$A$254,0)),"ID no encontrado"))</x:f>
      </x:c>
      <x:c r="E284" s="22" t="str">
        <x:f>IF(C284="","",IF(COUNTIFS('VENTAS'!$A$5:$A$254,C284,'VENTAS'!$C$5:$C$254,"&lt;&gt;")=1,INDEX('VENTAS'!$D$5:$D$254,MATCH(C284,'VENTAS'!$A$5:$A$254,0)),"ID no encontrado"))</x:f>
      </x:c>
      <x:c r="F284" s="26" t="str"/>
      <x:c r="G284" s="27" t="str"/>
      <x:c r="H284" s="27" t="str"/>
      <x:c r="I284" s="26" t="str"/>
      <x:c r="J284" s="30" t="str"/>
      <x:c r="K284" s="28" t="str">
        <x:f>IF(B284="","",IF(ISNUMBER(H284),H284,IF(AND(ISNUMBER(G284),ISNUMBER(J284),J284&gt;0),ROUND(G284/J284,2),"")))</x:f>
      </x:c>
      <x:c r="L284" s="31" t="str"/>
      <x:c r="M284" s="26" t="str"/>
      <x:c r="N284" s="26" t="str">
        <x:v>Incluir</x:v>
      </x:c>
      <x:c r="O284" s="22" t="str"/>
      <x:c r="P284" s="22" t="str"/>
      <x:c r="Q284" s="22" t="str">
        <x:f>IF(B284="","",IF(C284="","Falta ID venta",IF(D284="ID no encontrado","ID venta inválido",IF(COUNTIFS('PAGOS'!$A$5:$A$504,A284,'PAGOS'!$B$5:$B$504,"&gt;0")&gt;1,"ID duplicado",IF(AND(L284&lt;&gt;"",COUNTIFS('PAGOS'!$L$5:$L$504,L284,'PAGOS'!$B$5:$B$504,B284,'PAGOS'!$F$5:$F$504,F284)&gt;1),"Referencia repetida",IF(N284&lt;&gt;"Incluir",N284,IF(NOT(ISNUMBER(K284)),"Falta equivalente","Aplicar")))))))</x:f>
      </x:c>
    </x:row>
    <x:row r="285" ht="25" customHeight="1">
      <x:c r="A285" s="22" t="str">
        <x:v>P-281</x:v>
      </x:c>
      <x:c r="B285" s="25" t="str"/>
      <x:c r="C285" s="26" t="str"/>
      <x:c r="D285" s="22" t="str">
        <x:f>IF(C285="","",IF(COUNTIFS('VENTAS'!$A$5:$A$254,C285,'VENTAS'!$C$5:$C$254,"&lt;&gt;")=1,INDEX('VENTAS'!$C$5:$C$254,MATCH(C285,'VENTAS'!$A$5:$A$254,0)),"ID no encontrado"))</x:f>
      </x:c>
      <x:c r="E285" s="22" t="str">
        <x:f>IF(C285="","",IF(COUNTIFS('VENTAS'!$A$5:$A$254,C285,'VENTAS'!$C$5:$C$254,"&lt;&gt;")=1,INDEX('VENTAS'!$D$5:$D$254,MATCH(C285,'VENTAS'!$A$5:$A$254,0)),"ID no encontrado"))</x:f>
      </x:c>
      <x:c r="F285" s="26" t="str"/>
      <x:c r="G285" s="27" t="str"/>
      <x:c r="H285" s="27" t="str"/>
      <x:c r="I285" s="26" t="str"/>
      <x:c r="J285" s="30" t="str"/>
      <x:c r="K285" s="28" t="str">
        <x:f>IF(B285="","",IF(ISNUMBER(H285),H285,IF(AND(ISNUMBER(G285),ISNUMBER(J285),J285&gt;0),ROUND(G285/J285,2),"")))</x:f>
      </x:c>
      <x:c r="L285" s="31" t="str"/>
      <x:c r="M285" s="26" t="str"/>
      <x:c r="N285" s="26" t="str">
        <x:v>Incluir</x:v>
      </x:c>
      <x:c r="O285" s="22" t="str"/>
      <x:c r="P285" s="22" t="str"/>
      <x:c r="Q285" s="22" t="str">
        <x:f>IF(B285="","",IF(C285="","Falta ID venta",IF(D285="ID no encontrado","ID venta inválido",IF(COUNTIFS('PAGOS'!$A$5:$A$504,A285,'PAGOS'!$B$5:$B$504,"&gt;0")&gt;1,"ID duplicado",IF(AND(L285&lt;&gt;"",COUNTIFS('PAGOS'!$L$5:$L$504,L285,'PAGOS'!$B$5:$B$504,B285,'PAGOS'!$F$5:$F$504,F285)&gt;1),"Referencia repetida",IF(N285&lt;&gt;"Incluir",N285,IF(NOT(ISNUMBER(K285)),"Falta equivalente","Aplicar")))))))</x:f>
      </x:c>
    </x:row>
    <x:row r="286" ht="25" customHeight="1">
      <x:c r="A286" s="22" t="str">
        <x:v>P-282</x:v>
      </x:c>
      <x:c r="B286" s="25" t="str"/>
      <x:c r="C286" s="26" t="str"/>
      <x:c r="D286" s="22" t="str">
        <x:f>IF(C286="","",IF(COUNTIFS('VENTAS'!$A$5:$A$254,C286,'VENTAS'!$C$5:$C$254,"&lt;&gt;")=1,INDEX('VENTAS'!$C$5:$C$254,MATCH(C286,'VENTAS'!$A$5:$A$254,0)),"ID no encontrado"))</x:f>
      </x:c>
      <x:c r="E286" s="22" t="str">
        <x:f>IF(C286="","",IF(COUNTIFS('VENTAS'!$A$5:$A$254,C286,'VENTAS'!$C$5:$C$254,"&lt;&gt;")=1,INDEX('VENTAS'!$D$5:$D$254,MATCH(C286,'VENTAS'!$A$5:$A$254,0)),"ID no encontrado"))</x:f>
      </x:c>
      <x:c r="F286" s="26" t="str"/>
      <x:c r="G286" s="27" t="str"/>
      <x:c r="H286" s="27" t="str"/>
      <x:c r="I286" s="26" t="str"/>
      <x:c r="J286" s="30" t="str"/>
      <x:c r="K286" s="28" t="str">
        <x:f>IF(B286="","",IF(ISNUMBER(H286),H286,IF(AND(ISNUMBER(G286),ISNUMBER(J286),J286&gt;0),ROUND(G286/J286,2),"")))</x:f>
      </x:c>
      <x:c r="L286" s="31" t="str"/>
      <x:c r="M286" s="26" t="str"/>
      <x:c r="N286" s="26" t="str">
        <x:v>Incluir</x:v>
      </x:c>
      <x:c r="O286" s="22" t="str"/>
      <x:c r="P286" s="22" t="str"/>
      <x:c r="Q286" s="22" t="str">
        <x:f>IF(B286="","",IF(C286="","Falta ID venta",IF(D286="ID no encontrado","ID venta inválido",IF(COUNTIFS('PAGOS'!$A$5:$A$504,A286,'PAGOS'!$B$5:$B$504,"&gt;0")&gt;1,"ID duplicado",IF(AND(L286&lt;&gt;"",COUNTIFS('PAGOS'!$L$5:$L$504,L286,'PAGOS'!$B$5:$B$504,B286,'PAGOS'!$F$5:$F$504,F286)&gt;1),"Referencia repetida",IF(N286&lt;&gt;"Incluir",N286,IF(NOT(ISNUMBER(K286)),"Falta equivalente","Aplicar")))))))</x:f>
      </x:c>
    </x:row>
    <x:row r="287" ht="25" customHeight="1">
      <x:c r="A287" s="22" t="str">
        <x:v>P-283</x:v>
      </x:c>
      <x:c r="B287" s="25" t="str"/>
      <x:c r="C287" s="26" t="str"/>
      <x:c r="D287" s="22" t="str">
        <x:f>IF(C287="","",IF(COUNTIFS('VENTAS'!$A$5:$A$254,C287,'VENTAS'!$C$5:$C$254,"&lt;&gt;")=1,INDEX('VENTAS'!$C$5:$C$254,MATCH(C287,'VENTAS'!$A$5:$A$254,0)),"ID no encontrado"))</x:f>
      </x:c>
      <x:c r="E287" s="22" t="str">
        <x:f>IF(C287="","",IF(COUNTIFS('VENTAS'!$A$5:$A$254,C287,'VENTAS'!$C$5:$C$254,"&lt;&gt;")=1,INDEX('VENTAS'!$D$5:$D$254,MATCH(C287,'VENTAS'!$A$5:$A$254,0)),"ID no encontrado"))</x:f>
      </x:c>
      <x:c r="F287" s="26" t="str"/>
      <x:c r="G287" s="27" t="str"/>
      <x:c r="H287" s="27" t="str"/>
      <x:c r="I287" s="26" t="str"/>
      <x:c r="J287" s="30" t="str"/>
      <x:c r="K287" s="28" t="str">
        <x:f>IF(B287="","",IF(ISNUMBER(H287),H287,IF(AND(ISNUMBER(G287),ISNUMBER(J287),J287&gt;0),ROUND(G287/J287,2),"")))</x:f>
      </x:c>
      <x:c r="L287" s="31" t="str"/>
      <x:c r="M287" s="26" t="str"/>
      <x:c r="N287" s="26" t="str">
        <x:v>Incluir</x:v>
      </x:c>
      <x:c r="O287" s="22" t="str"/>
      <x:c r="P287" s="22" t="str"/>
      <x:c r="Q287" s="22" t="str">
        <x:f>IF(B287="","",IF(C287="","Falta ID venta",IF(D287="ID no encontrado","ID venta inválido",IF(COUNTIFS('PAGOS'!$A$5:$A$504,A287,'PAGOS'!$B$5:$B$504,"&gt;0")&gt;1,"ID duplicado",IF(AND(L287&lt;&gt;"",COUNTIFS('PAGOS'!$L$5:$L$504,L287,'PAGOS'!$B$5:$B$504,B287,'PAGOS'!$F$5:$F$504,F287)&gt;1),"Referencia repetida",IF(N287&lt;&gt;"Incluir",N287,IF(NOT(ISNUMBER(K287)),"Falta equivalente","Aplicar")))))))</x:f>
      </x:c>
    </x:row>
    <x:row r="288" ht="25" customHeight="1">
      <x:c r="A288" s="22" t="str">
        <x:v>P-284</x:v>
      </x:c>
      <x:c r="B288" s="25" t="str"/>
      <x:c r="C288" s="26" t="str"/>
      <x:c r="D288" s="22" t="str">
        <x:f>IF(C288="","",IF(COUNTIFS('VENTAS'!$A$5:$A$254,C288,'VENTAS'!$C$5:$C$254,"&lt;&gt;")=1,INDEX('VENTAS'!$C$5:$C$254,MATCH(C288,'VENTAS'!$A$5:$A$254,0)),"ID no encontrado"))</x:f>
      </x:c>
      <x:c r="E288" s="22" t="str">
        <x:f>IF(C288="","",IF(COUNTIFS('VENTAS'!$A$5:$A$254,C288,'VENTAS'!$C$5:$C$254,"&lt;&gt;")=1,INDEX('VENTAS'!$D$5:$D$254,MATCH(C288,'VENTAS'!$A$5:$A$254,0)),"ID no encontrado"))</x:f>
      </x:c>
      <x:c r="F288" s="26" t="str"/>
      <x:c r="G288" s="27" t="str"/>
      <x:c r="H288" s="27" t="str"/>
      <x:c r="I288" s="26" t="str"/>
      <x:c r="J288" s="30" t="str"/>
      <x:c r="K288" s="28" t="str">
        <x:f>IF(B288="","",IF(ISNUMBER(H288),H288,IF(AND(ISNUMBER(G288),ISNUMBER(J288),J288&gt;0),ROUND(G288/J288,2),"")))</x:f>
      </x:c>
      <x:c r="L288" s="31" t="str"/>
      <x:c r="M288" s="26" t="str"/>
      <x:c r="N288" s="26" t="str">
        <x:v>Incluir</x:v>
      </x:c>
      <x:c r="O288" s="22" t="str"/>
      <x:c r="P288" s="22" t="str"/>
      <x:c r="Q288" s="22" t="str">
        <x:f>IF(B288="","",IF(C288="","Falta ID venta",IF(D288="ID no encontrado","ID venta inválido",IF(COUNTIFS('PAGOS'!$A$5:$A$504,A288,'PAGOS'!$B$5:$B$504,"&gt;0")&gt;1,"ID duplicado",IF(AND(L288&lt;&gt;"",COUNTIFS('PAGOS'!$L$5:$L$504,L288,'PAGOS'!$B$5:$B$504,B288,'PAGOS'!$F$5:$F$504,F288)&gt;1),"Referencia repetida",IF(N288&lt;&gt;"Incluir",N288,IF(NOT(ISNUMBER(K288)),"Falta equivalente","Aplicar")))))))</x:f>
      </x:c>
    </x:row>
    <x:row r="289" ht="25" customHeight="1">
      <x:c r="A289" s="22" t="str">
        <x:v>P-285</x:v>
      </x:c>
      <x:c r="B289" s="25" t="str"/>
      <x:c r="C289" s="26" t="str"/>
      <x:c r="D289" s="22" t="str">
        <x:f>IF(C289="","",IF(COUNTIFS('VENTAS'!$A$5:$A$254,C289,'VENTAS'!$C$5:$C$254,"&lt;&gt;")=1,INDEX('VENTAS'!$C$5:$C$254,MATCH(C289,'VENTAS'!$A$5:$A$254,0)),"ID no encontrado"))</x:f>
      </x:c>
      <x:c r="E289" s="22" t="str">
        <x:f>IF(C289="","",IF(COUNTIFS('VENTAS'!$A$5:$A$254,C289,'VENTAS'!$C$5:$C$254,"&lt;&gt;")=1,INDEX('VENTAS'!$D$5:$D$254,MATCH(C289,'VENTAS'!$A$5:$A$254,0)),"ID no encontrado"))</x:f>
      </x:c>
      <x:c r="F289" s="26" t="str"/>
      <x:c r="G289" s="27" t="str"/>
      <x:c r="H289" s="27" t="str"/>
      <x:c r="I289" s="26" t="str"/>
      <x:c r="J289" s="30" t="str"/>
      <x:c r="K289" s="28" t="str">
        <x:f>IF(B289="","",IF(ISNUMBER(H289),H289,IF(AND(ISNUMBER(G289),ISNUMBER(J289),J289&gt;0),ROUND(G289/J289,2),"")))</x:f>
      </x:c>
      <x:c r="L289" s="31" t="str"/>
      <x:c r="M289" s="26" t="str"/>
      <x:c r="N289" s="26" t="str">
        <x:v>Incluir</x:v>
      </x:c>
      <x:c r="O289" s="22" t="str"/>
      <x:c r="P289" s="22" t="str"/>
      <x:c r="Q289" s="22" t="str">
        <x:f>IF(B289="","",IF(C289="","Falta ID venta",IF(D289="ID no encontrado","ID venta inválido",IF(COUNTIFS('PAGOS'!$A$5:$A$504,A289,'PAGOS'!$B$5:$B$504,"&gt;0")&gt;1,"ID duplicado",IF(AND(L289&lt;&gt;"",COUNTIFS('PAGOS'!$L$5:$L$504,L289,'PAGOS'!$B$5:$B$504,B289,'PAGOS'!$F$5:$F$504,F289)&gt;1),"Referencia repetida",IF(N289&lt;&gt;"Incluir",N289,IF(NOT(ISNUMBER(K289)),"Falta equivalente","Aplicar")))))))</x:f>
      </x:c>
    </x:row>
    <x:row r="290" ht="25" customHeight="1">
      <x:c r="A290" s="22" t="str">
        <x:v>P-286</x:v>
      </x:c>
      <x:c r="B290" s="25" t="str"/>
      <x:c r="C290" s="26" t="str"/>
      <x:c r="D290" s="22" t="str">
        <x:f>IF(C290="","",IF(COUNTIFS('VENTAS'!$A$5:$A$254,C290,'VENTAS'!$C$5:$C$254,"&lt;&gt;")=1,INDEX('VENTAS'!$C$5:$C$254,MATCH(C290,'VENTAS'!$A$5:$A$254,0)),"ID no encontrado"))</x:f>
      </x:c>
      <x:c r="E290" s="22" t="str">
        <x:f>IF(C290="","",IF(COUNTIFS('VENTAS'!$A$5:$A$254,C290,'VENTAS'!$C$5:$C$254,"&lt;&gt;")=1,INDEX('VENTAS'!$D$5:$D$254,MATCH(C290,'VENTAS'!$A$5:$A$254,0)),"ID no encontrado"))</x:f>
      </x:c>
      <x:c r="F290" s="26" t="str"/>
      <x:c r="G290" s="27" t="str"/>
      <x:c r="H290" s="27" t="str"/>
      <x:c r="I290" s="26" t="str"/>
      <x:c r="J290" s="30" t="str"/>
      <x:c r="K290" s="28" t="str">
        <x:f>IF(B290="","",IF(ISNUMBER(H290),H290,IF(AND(ISNUMBER(G290),ISNUMBER(J290),J290&gt;0),ROUND(G290/J290,2),"")))</x:f>
      </x:c>
      <x:c r="L290" s="31" t="str"/>
      <x:c r="M290" s="26" t="str"/>
      <x:c r="N290" s="26" t="str">
        <x:v>Incluir</x:v>
      </x:c>
      <x:c r="O290" s="22" t="str"/>
      <x:c r="P290" s="22" t="str"/>
      <x:c r="Q290" s="22" t="str">
        <x:f>IF(B290="","",IF(C290="","Falta ID venta",IF(D290="ID no encontrado","ID venta inválido",IF(COUNTIFS('PAGOS'!$A$5:$A$504,A290,'PAGOS'!$B$5:$B$504,"&gt;0")&gt;1,"ID duplicado",IF(AND(L290&lt;&gt;"",COUNTIFS('PAGOS'!$L$5:$L$504,L290,'PAGOS'!$B$5:$B$504,B290,'PAGOS'!$F$5:$F$504,F290)&gt;1),"Referencia repetida",IF(N290&lt;&gt;"Incluir",N290,IF(NOT(ISNUMBER(K290)),"Falta equivalente","Aplicar")))))))</x:f>
      </x:c>
    </x:row>
    <x:row r="291" ht="25" customHeight="1">
      <x:c r="A291" s="22" t="str">
        <x:v>P-287</x:v>
      </x:c>
      <x:c r="B291" s="25" t="str"/>
      <x:c r="C291" s="26" t="str"/>
      <x:c r="D291" s="22" t="str">
        <x:f>IF(C291="","",IF(COUNTIFS('VENTAS'!$A$5:$A$254,C291,'VENTAS'!$C$5:$C$254,"&lt;&gt;")=1,INDEX('VENTAS'!$C$5:$C$254,MATCH(C291,'VENTAS'!$A$5:$A$254,0)),"ID no encontrado"))</x:f>
      </x:c>
      <x:c r="E291" s="22" t="str">
        <x:f>IF(C291="","",IF(COUNTIFS('VENTAS'!$A$5:$A$254,C291,'VENTAS'!$C$5:$C$254,"&lt;&gt;")=1,INDEX('VENTAS'!$D$5:$D$254,MATCH(C291,'VENTAS'!$A$5:$A$254,0)),"ID no encontrado"))</x:f>
      </x:c>
      <x:c r="F291" s="26" t="str"/>
      <x:c r="G291" s="27" t="str"/>
      <x:c r="H291" s="27" t="str"/>
      <x:c r="I291" s="26" t="str"/>
      <x:c r="J291" s="30" t="str"/>
      <x:c r="K291" s="28" t="str">
        <x:f>IF(B291="","",IF(ISNUMBER(H291),H291,IF(AND(ISNUMBER(G291),ISNUMBER(J291),J291&gt;0),ROUND(G291/J291,2),"")))</x:f>
      </x:c>
      <x:c r="L291" s="31" t="str"/>
      <x:c r="M291" s="26" t="str"/>
      <x:c r="N291" s="26" t="str">
        <x:v>Incluir</x:v>
      </x:c>
      <x:c r="O291" s="22" t="str"/>
      <x:c r="P291" s="22" t="str"/>
      <x:c r="Q291" s="22" t="str">
        <x:f>IF(B291="","",IF(C291="","Falta ID venta",IF(D291="ID no encontrado","ID venta inválido",IF(COUNTIFS('PAGOS'!$A$5:$A$504,A291,'PAGOS'!$B$5:$B$504,"&gt;0")&gt;1,"ID duplicado",IF(AND(L291&lt;&gt;"",COUNTIFS('PAGOS'!$L$5:$L$504,L291,'PAGOS'!$B$5:$B$504,B291,'PAGOS'!$F$5:$F$504,F291)&gt;1),"Referencia repetida",IF(N291&lt;&gt;"Incluir",N291,IF(NOT(ISNUMBER(K291)),"Falta equivalente","Aplicar")))))))</x:f>
      </x:c>
    </x:row>
    <x:row r="292" ht="25" customHeight="1">
      <x:c r="A292" s="22" t="str">
        <x:v>P-288</x:v>
      </x:c>
      <x:c r="B292" s="25" t="str"/>
      <x:c r="C292" s="26" t="str"/>
      <x:c r="D292" s="22" t="str">
        <x:f>IF(C292="","",IF(COUNTIFS('VENTAS'!$A$5:$A$254,C292,'VENTAS'!$C$5:$C$254,"&lt;&gt;")=1,INDEX('VENTAS'!$C$5:$C$254,MATCH(C292,'VENTAS'!$A$5:$A$254,0)),"ID no encontrado"))</x:f>
      </x:c>
      <x:c r="E292" s="22" t="str">
        <x:f>IF(C292="","",IF(COUNTIFS('VENTAS'!$A$5:$A$254,C292,'VENTAS'!$C$5:$C$254,"&lt;&gt;")=1,INDEX('VENTAS'!$D$5:$D$254,MATCH(C292,'VENTAS'!$A$5:$A$254,0)),"ID no encontrado"))</x:f>
      </x:c>
      <x:c r="F292" s="26" t="str"/>
      <x:c r="G292" s="27" t="str"/>
      <x:c r="H292" s="27" t="str"/>
      <x:c r="I292" s="26" t="str"/>
      <x:c r="J292" s="30" t="str"/>
      <x:c r="K292" s="28" t="str">
        <x:f>IF(B292="","",IF(ISNUMBER(H292),H292,IF(AND(ISNUMBER(G292),ISNUMBER(J292),J292&gt;0),ROUND(G292/J292,2),"")))</x:f>
      </x:c>
      <x:c r="L292" s="31" t="str"/>
      <x:c r="M292" s="26" t="str"/>
      <x:c r="N292" s="26" t="str">
        <x:v>Incluir</x:v>
      </x:c>
      <x:c r="O292" s="22" t="str"/>
      <x:c r="P292" s="22" t="str"/>
      <x:c r="Q292" s="22" t="str">
        <x:f>IF(B292="","",IF(C292="","Falta ID venta",IF(D292="ID no encontrado","ID venta inválido",IF(COUNTIFS('PAGOS'!$A$5:$A$504,A292,'PAGOS'!$B$5:$B$504,"&gt;0")&gt;1,"ID duplicado",IF(AND(L292&lt;&gt;"",COUNTIFS('PAGOS'!$L$5:$L$504,L292,'PAGOS'!$B$5:$B$504,B292,'PAGOS'!$F$5:$F$504,F292)&gt;1),"Referencia repetida",IF(N292&lt;&gt;"Incluir",N292,IF(NOT(ISNUMBER(K292)),"Falta equivalente","Aplicar")))))))</x:f>
      </x:c>
    </x:row>
    <x:row r="293" ht="25" customHeight="1">
      <x:c r="A293" s="22" t="str">
        <x:v>P-289</x:v>
      </x:c>
      <x:c r="B293" s="25" t="str"/>
      <x:c r="C293" s="26" t="str"/>
      <x:c r="D293" s="22" t="str">
        <x:f>IF(C293="","",IF(COUNTIFS('VENTAS'!$A$5:$A$254,C293,'VENTAS'!$C$5:$C$254,"&lt;&gt;")=1,INDEX('VENTAS'!$C$5:$C$254,MATCH(C293,'VENTAS'!$A$5:$A$254,0)),"ID no encontrado"))</x:f>
      </x:c>
      <x:c r="E293" s="22" t="str">
        <x:f>IF(C293="","",IF(COUNTIFS('VENTAS'!$A$5:$A$254,C293,'VENTAS'!$C$5:$C$254,"&lt;&gt;")=1,INDEX('VENTAS'!$D$5:$D$254,MATCH(C293,'VENTAS'!$A$5:$A$254,0)),"ID no encontrado"))</x:f>
      </x:c>
      <x:c r="F293" s="26" t="str"/>
      <x:c r="G293" s="27" t="str"/>
      <x:c r="H293" s="27" t="str"/>
      <x:c r="I293" s="26" t="str"/>
      <x:c r="J293" s="30" t="str"/>
      <x:c r="K293" s="28" t="str">
        <x:f>IF(B293="","",IF(ISNUMBER(H293),H293,IF(AND(ISNUMBER(G293),ISNUMBER(J293),J293&gt;0),ROUND(G293/J293,2),"")))</x:f>
      </x:c>
      <x:c r="L293" s="31" t="str"/>
      <x:c r="M293" s="26" t="str"/>
      <x:c r="N293" s="26" t="str">
        <x:v>Incluir</x:v>
      </x:c>
      <x:c r="O293" s="22" t="str"/>
      <x:c r="P293" s="22" t="str"/>
      <x:c r="Q293" s="22" t="str">
        <x:f>IF(B293="","",IF(C293="","Falta ID venta",IF(D293="ID no encontrado","ID venta inválido",IF(COUNTIFS('PAGOS'!$A$5:$A$504,A293,'PAGOS'!$B$5:$B$504,"&gt;0")&gt;1,"ID duplicado",IF(AND(L293&lt;&gt;"",COUNTIFS('PAGOS'!$L$5:$L$504,L293,'PAGOS'!$B$5:$B$504,B293,'PAGOS'!$F$5:$F$504,F293)&gt;1),"Referencia repetida",IF(N293&lt;&gt;"Incluir",N293,IF(NOT(ISNUMBER(K293)),"Falta equivalente","Aplicar")))))))</x:f>
      </x:c>
    </x:row>
    <x:row r="294" ht="25" customHeight="1">
      <x:c r="A294" s="22" t="str">
        <x:v>P-290</x:v>
      </x:c>
      <x:c r="B294" s="25" t="str"/>
      <x:c r="C294" s="26" t="str"/>
      <x:c r="D294" s="22" t="str">
        <x:f>IF(C294="","",IF(COUNTIFS('VENTAS'!$A$5:$A$254,C294,'VENTAS'!$C$5:$C$254,"&lt;&gt;")=1,INDEX('VENTAS'!$C$5:$C$254,MATCH(C294,'VENTAS'!$A$5:$A$254,0)),"ID no encontrado"))</x:f>
      </x:c>
      <x:c r="E294" s="22" t="str">
        <x:f>IF(C294="","",IF(COUNTIFS('VENTAS'!$A$5:$A$254,C294,'VENTAS'!$C$5:$C$254,"&lt;&gt;")=1,INDEX('VENTAS'!$D$5:$D$254,MATCH(C294,'VENTAS'!$A$5:$A$254,0)),"ID no encontrado"))</x:f>
      </x:c>
      <x:c r="F294" s="26" t="str"/>
      <x:c r="G294" s="27" t="str"/>
      <x:c r="H294" s="27" t="str"/>
      <x:c r="I294" s="26" t="str"/>
      <x:c r="J294" s="30" t="str"/>
      <x:c r="K294" s="28" t="str">
        <x:f>IF(B294="","",IF(ISNUMBER(H294),H294,IF(AND(ISNUMBER(G294),ISNUMBER(J294),J294&gt;0),ROUND(G294/J294,2),"")))</x:f>
      </x:c>
      <x:c r="L294" s="31" t="str"/>
      <x:c r="M294" s="26" t="str"/>
      <x:c r="N294" s="26" t="str">
        <x:v>Incluir</x:v>
      </x:c>
      <x:c r="O294" s="22" t="str"/>
      <x:c r="P294" s="22" t="str"/>
      <x:c r="Q294" s="22" t="str">
        <x:f>IF(B294="","",IF(C294="","Falta ID venta",IF(D294="ID no encontrado","ID venta inválido",IF(COUNTIFS('PAGOS'!$A$5:$A$504,A294,'PAGOS'!$B$5:$B$504,"&gt;0")&gt;1,"ID duplicado",IF(AND(L294&lt;&gt;"",COUNTIFS('PAGOS'!$L$5:$L$504,L294,'PAGOS'!$B$5:$B$504,B294,'PAGOS'!$F$5:$F$504,F294)&gt;1),"Referencia repetida",IF(N294&lt;&gt;"Incluir",N294,IF(NOT(ISNUMBER(K294)),"Falta equivalente","Aplicar")))))))</x:f>
      </x:c>
    </x:row>
    <x:row r="295" ht="25" customHeight="1">
      <x:c r="A295" s="22" t="str">
        <x:v>P-291</x:v>
      </x:c>
      <x:c r="B295" s="25" t="str"/>
      <x:c r="C295" s="26" t="str"/>
      <x:c r="D295" s="22" t="str">
        <x:f>IF(C295="","",IF(COUNTIFS('VENTAS'!$A$5:$A$254,C295,'VENTAS'!$C$5:$C$254,"&lt;&gt;")=1,INDEX('VENTAS'!$C$5:$C$254,MATCH(C295,'VENTAS'!$A$5:$A$254,0)),"ID no encontrado"))</x:f>
      </x:c>
      <x:c r="E295" s="22" t="str">
        <x:f>IF(C295="","",IF(COUNTIFS('VENTAS'!$A$5:$A$254,C295,'VENTAS'!$C$5:$C$254,"&lt;&gt;")=1,INDEX('VENTAS'!$D$5:$D$254,MATCH(C295,'VENTAS'!$A$5:$A$254,0)),"ID no encontrado"))</x:f>
      </x:c>
      <x:c r="F295" s="26" t="str"/>
      <x:c r="G295" s="27" t="str"/>
      <x:c r="H295" s="27" t="str"/>
      <x:c r="I295" s="26" t="str"/>
      <x:c r="J295" s="30" t="str"/>
      <x:c r="K295" s="28" t="str">
        <x:f>IF(B295="","",IF(ISNUMBER(H295),H295,IF(AND(ISNUMBER(G295),ISNUMBER(J295),J295&gt;0),ROUND(G295/J295,2),"")))</x:f>
      </x:c>
      <x:c r="L295" s="31" t="str"/>
      <x:c r="M295" s="26" t="str"/>
      <x:c r="N295" s="26" t="str">
        <x:v>Incluir</x:v>
      </x:c>
      <x:c r="O295" s="22" t="str"/>
      <x:c r="P295" s="22" t="str"/>
      <x:c r="Q295" s="22" t="str">
        <x:f>IF(B295="","",IF(C295="","Falta ID venta",IF(D295="ID no encontrado","ID venta inválido",IF(COUNTIFS('PAGOS'!$A$5:$A$504,A295,'PAGOS'!$B$5:$B$504,"&gt;0")&gt;1,"ID duplicado",IF(AND(L295&lt;&gt;"",COUNTIFS('PAGOS'!$L$5:$L$504,L295,'PAGOS'!$B$5:$B$504,B295,'PAGOS'!$F$5:$F$504,F295)&gt;1),"Referencia repetida",IF(N295&lt;&gt;"Incluir",N295,IF(NOT(ISNUMBER(K295)),"Falta equivalente","Aplicar")))))))</x:f>
      </x:c>
    </x:row>
    <x:row r="296" ht="25" customHeight="1">
      <x:c r="A296" s="22" t="str">
        <x:v>P-292</x:v>
      </x:c>
      <x:c r="B296" s="25" t="str"/>
      <x:c r="C296" s="26" t="str"/>
      <x:c r="D296" s="22" t="str">
        <x:f>IF(C296="","",IF(COUNTIFS('VENTAS'!$A$5:$A$254,C296,'VENTAS'!$C$5:$C$254,"&lt;&gt;")=1,INDEX('VENTAS'!$C$5:$C$254,MATCH(C296,'VENTAS'!$A$5:$A$254,0)),"ID no encontrado"))</x:f>
      </x:c>
      <x:c r="E296" s="22" t="str">
        <x:f>IF(C296="","",IF(COUNTIFS('VENTAS'!$A$5:$A$254,C296,'VENTAS'!$C$5:$C$254,"&lt;&gt;")=1,INDEX('VENTAS'!$D$5:$D$254,MATCH(C296,'VENTAS'!$A$5:$A$254,0)),"ID no encontrado"))</x:f>
      </x:c>
      <x:c r="F296" s="26" t="str"/>
      <x:c r="G296" s="27" t="str"/>
      <x:c r="H296" s="27" t="str"/>
      <x:c r="I296" s="26" t="str"/>
      <x:c r="J296" s="30" t="str"/>
      <x:c r="K296" s="28" t="str">
        <x:f>IF(B296="","",IF(ISNUMBER(H296),H296,IF(AND(ISNUMBER(G296),ISNUMBER(J296),J296&gt;0),ROUND(G296/J296,2),"")))</x:f>
      </x:c>
      <x:c r="L296" s="31" t="str"/>
      <x:c r="M296" s="26" t="str"/>
      <x:c r="N296" s="26" t="str">
        <x:v>Incluir</x:v>
      </x:c>
      <x:c r="O296" s="22" t="str"/>
      <x:c r="P296" s="22" t="str"/>
      <x:c r="Q296" s="22" t="str">
        <x:f>IF(B296="","",IF(C296="","Falta ID venta",IF(D296="ID no encontrado","ID venta inválido",IF(COUNTIFS('PAGOS'!$A$5:$A$504,A296,'PAGOS'!$B$5:$B$504,"&gt;0")&gt;1,"ID duplicado",IF(AND(L296&lt;&gt;"",COUNTIFS('PAGOS'!$L$5:$L$504,L296,'PAGOS'!$B$5:$B$504,B296,'PAGOS'!$F$5:$F$504,F296)&gt;1),"Referencia repetida",IF(N296&lt;&gt;"Incluir",N296,IF(NOT(ISNUMBER(K296)),"Falta equivalente","Aplicar")))))))</x:f>
      </x:c>
    </x:row>
    <x:row r="297" ht="25" customHeight="1">
      <x:c r="A297" s="22" t="str">
        <x:v>P-293</x:v>
      </x:c>
      <x:c r="B297" s="25" t="str"/>
      <x:c r="C297" s="26" t="str"/>
      <x:c r="D297" s="22" t="str">
        <x:f>IF(C297="","",IF(COUNTIFS('VENTAS'!$A$5:$A$254,C297,'VENTAS'!$C$5:$C$254,"&lt;&gt;")=1,INDEX('VENTAS'!$C$5:$C$254,MATCH(C297,'VENTAS'!$A$5:$A$254,0)),"ID no encontrado"))</x:f>
      </x:c>
      <x:c r="E297" s="22" t="str">
        <x:f>IF(C297="","",IF(COUNTIFS('VENTAS'!$A$5:$A$254,C297,'VENTAS'!$C$5:$C$254,"&lt;&gt;")=1,INDEX('VENTAS'!$D$5:$D$254,MATCH(C297,'VENTAS'!$A$5:$A$254,0)),"ID no encontrado"))</x:f>
      </x:c>
      <x:c r="F297" s="26" t="str"/>
      <x:c r="G297" s="27" t="str"/>
      <x:c r="H297" s="27" t="str"/>
      <x:c r="I297" s="26" t="str"/>
      <x:c r="J297" s="30" t="str"/>
      <x:c r="K297" s="28" t="str">
        <x:f>IF(B297="","",IF(ISNUMBER(H297),H297,IF(AND(ISNUMBER(G297),ISNUMBER(J297),J297&gt;0),ROUND(G297/J297,2),"")))</x:f>
      </x:c>
      <x:c r="L297" s="31" t="str"/>
      <x:c r="M297" s="26" t="str"/>
      <x:c r="N297" s="26" t="str">
        <x:v>Incluir</x:v>
      </x:c>
      <x:c r="O297" s="22" t="str"/>
      <x:c r="P297" s="22" t="str"/>
      <x:c r="Q297" s="22" t="str">
        <x:f>IF(B297="","",IF(C297="","Falta ID venta",IF(D297="ID no encontrado","ID venta inválido",IF(COUNTIFS('PAGOS'!$A$5:$A$504,A297,'PAGOS'!$B$5:$B$504,"&gt;0")&gt;1,"ID duplicado",IF(AND(L297&lt;&gt;"",COUNTIFS('PAGOS'!$L$5:$L$504,L297,'PAGOS'!$B$5:$B$504,B297,'PAGOS'!$F$5:$F$504,F297)&gt;1),"Referencia repetida",IF(N297&lt;&gt;"Incluir",N297,IF(NOT(ISNUMBER(K297)),"Falta equivalente","Aplicar")))))))</x:f>
      </x:c>
    </x:row>
    <x:row r="298" ht="25" customHeight="1">
      <x:c r="A298" s="22" t="str">
        <x:v>P-294</x:v>
      </x:c>
      <x:c r="B298" s="25" t="str"/>
      <x:c r="C298" s="26" t="str"/>
      <x:c r="D298" s="22" t="str">
        <x:f>IF(C298="","",IF(COUNTIFS('VENTAS'!$A$5:$A$254,C298,'VENTAS'!$C$5:$C$254,"&lt;&gt;")=1,INDEX('VENTAS'!$C$5:$C$254,MATCH(C298,'VENTAS'!$A$5:$A$254,0)),"ID no encontrado"))</x:f>
      </x:c>
      <x:c r="E298" s="22" t="str">
        <x:f>IF(C298="","",IF(COUNTIFS('VENTAS'!$A$5:$A$254,C298,'VENTAS'!$C$5:$C$254,"&lt;&gt;")=1,INDEX('VENTAS'!$D$5:$D$254,MATCH(C298,'VENTAS'!$A$5:$A$254,0)),"ID no encontrado"))</x:f>
      </x:c>
      <x:c r="F298" s="26" t="str"/>
      <x:c r="G298" s="27" t="str"/>
      <x:c r="H298" s="27" t="str"/>
      <x:c r="I298" s="26" t="str"/>
      <x:c r="J298" s="30" t="str"/>
      <x:c r="K298" s="28" t="str">
        <x:f>IF(B298="","",IF(ISNUMBER(H298),H298,IF(AND(ISNUMBER(G298),ISNUMBER(J298),J298&gt;0),ROUND(G298/J298,2),"")))</x:f>
      </x:c>
      <x:c r="L298" s="31" t="str"/>
      <x:c r="M298" s="26" t="str"/>
      <x:c r="N298" s="26" t="str">
        <x:v>Incluir</x:v>
      </x:c>
      <x:c r="O298" s="22" t="str"/>
      <x:c r="P298" s="22" t="str"/>
      <x:c r="Q298" s="22" t="str">
        <x:f>IF(B298="","",IF(C298="","Falta ID venta",IF(D298="ID no encontrado","ID venta inválido",IF(COUNTIFS('PAGOS'!$A$5:$A$504,A298,'PAGOS'!$B$5:$B$504,"&gt;0")&gt;1,"ID duplicado",IF(AND(L298&lt;&gt;"",COUNTIFS('PAGOS'!$L$5:$L$504,L298,'PAGOS'!$B$5:$B$504,B298,'PAGOS'!$F$5:$F$504,F298)&gt;1),"Referencia repetida",IF(N298&lt;&gt;"Incluir",N298,IF(NOT(ISNUMBER(K298)),"Falta equivalente","Aplicar")))))))</x:f>
      </x:c>
    </x:row>
    <x:row r="299" ht="25" customHeight="1">
      <x:c r="A299" s="22" t="str">
        <x:v>P-295</x:v>
      </x:c>
      <x:c r="B299" s="25" t="str"/>
      <x:c r="C299" s="26" t="str"/>
      <x:c r="D299" s="22" t="str">
        <x:f>IF(C299="","",IF(COUNTIFS('VENTAS'!$A$5:$A$254,C299,'VENTAS'!$C$5:$C$254,"&lt;&gt;")=1,INDEX('VENTAS'!$C$5:$C$254,MATCH(C299,'VENTAS'!$A$5:$A$254,0)),"ID no encontrado"))</x:f>
      </x:c>
      <x:c r="E299" s="22" t="str">
        <x:f>IF(C299="","",IF(COUNTIFS('VENTAS'!$A$5:$A$254,C299,'VENTAS'!$C$5:$C$254,"&lt;&gt;")=1,INDEX('VENTAS'!$D$5:$D$254,MATCH(C299,'VENTAS'!$A$5:$A$254,0)),"ID no encontrado"))</x:f>
      </x:c>
      <x:c r="F299" s="26" t="str"/>
      <x:c r="G299" s="27" t="str"/>
      <x:c r="H299" s="27" t="str"/>
      <x:c r="I299" s="26" t="str"/>
      <x:c r="J299" s="30" t="str"/>
      <x:c r="K299" s="28" t="str">
        <x:f>IF(B299="","",IF(ISNUMBER(H299),H299,IF(AND(ISNUMBER(G299),ISNUMBER(J299),J299&gt;0),ROUND(G299/J299,2),"")))</x:f>
      </x:c>
      <x:c r="L299" s="31" t="str"/>
      <x:c r="M299" s="26" t="str"/>
      <x:c r="N299" s="26" t="str">
        <x:v>Incluir</x:v>
      </x:c>
      <x:c r="O299" s="22" t="str"/>
      <x:c r="P299" s="22" t="str"/>
      <x:c r="Q299" s="22" t="str">
        <x:f>IF(B299="","",IF(C299="","Falta ID venta",IF(D299="ID no encontrado","ID venta inválido",IF(COUNTIFS('PAGOS'!$A$5:$A$504,A299,'PAGOS'!$B$5:$B$504,"&gt;0")&gt;1,"ID duplicado",IF(AND(L299&lt;&gt;"",COUNTIFS('PAGOS'!$L$5:$L$504,L299,'PAGOS'!$B$5:$B$504,B299,'PAGOS'!$F$5:$F$504,F299)&gt;1),"Referencia repetida",IF(N299&lt;&gt;"Incluir",N299,IF(NOT(ISNUMBER(K299)),"Falta equivalente","Aplicar")))))))</x:f>
      </x:c>
    </x:row>
    <x:row r="300" ht="25" customHeight="1">
      <x:c r="A300" s="22" t="str">
        <x:v>P-296</x:v>
      </x:c>
      <x:c r="B300" s="25" t="str"/>
      <x:c r="C300" s="26" t="str"/>
      <x:c r="D300" s="22" t="str">
        <x:f>IF(C300="","",IF(COUNTIFS('VENTAS'!$A$5:$A$254,C300,'VENTAS'!$C$5:$C$254,"&lt;&gt;")=1,INDEX('VENTAS'!$C$5:$C$254,MATCH(C300,'VENTAS'!$A$5:$A$254,0)),"ID no encontrado"))</x:f>
      </x:c>
      <x:c r="E300" s="22" t="str">
        <x:f>IF(C300="","",IF(COUNTIFS('VENTAS'!$A$5:$A$254,C300,'VENTAS'!$C$5:$C$254,"&lt;&gt;")=1,INDEX('VENTAS'!$D$5:$D$254,MATCH(C300,'VENTAS'!$A$5:$A$254,0)),"ID no encontrado"))</x:f>
      </x:c>
      <x:c r="F300" s="26" t="str"/>
      <x:c r="G300" s="27" t="str"/>
      <x:c r="H300" s="27" t="str"/>
      <x:c r="I300" s="26" t="str"/>
      <x:c r="J300" s="30" t="str"/>
      <x:c r="K300" s="28" t="str">
        <x:f>IF(B300="","",IF(ISNUMBER(H300),H300,IF(AND(ISNUMBER(G300),ISNUMBER(J300),J300&gt;0),ROUND(G300/J300,2),"")))</x:f>
      </x:c>
      <x:c r="L300" s="31" t="str"/>
      <x:c r="M300" s="26" t="str"/>
      <x:c r="N300" s="26" t="str">
        <x:v>Incluir</x:v>
      </x:c>
      <x:c r="O300" s="22" t="str"/>
      <x:c r="P300" s="22" t="str"/>
      <x:c r="Q300" s="22" t="str">
        <x:f>IF(B300="","",IF(C300="","Falta ID venta",IF(D300="ID no encontrado","ID venta inválido",IF(COUNTIFS('PAGOS'!$A$5:$A$504,A300,'PAGOS'!$B$5:$B$504,"&gt;0")&gt;1,"ID duplicado",IF(AND(L300&lt;&gt;"",COUNTIFS('PAGOS'!$L$5:$L$504,L300,'PAGOS'!$B$5:$B$504,B300,'PAGOS'!$F$5:$F$504,F300)&gt;1),"Referencia repetida",IF(N300&lt;&gt;"Incluir",N300,IF(NOT(ISNUMBER(K300)),"Falta equivalente","Aplicar")))))))</x:f>
      </x:c>
    </x:row>
    <x:row r="301" ht="25" customHeight="1">
      <x:c r="A301" s="22" t="str">
        <x:v>P-297</x:v>
      </x:c>
      <x:c r="B301" s="25" t="str"/>
      <x:c r="C301" s="26" t="str"/>
      <x:c r="D301" s="22" t="str">
        <x:f>IF(C301="","",IF(COUNTIFS('VENTAS'!$A$5:$A$254,C301,'VENTAS'!$C$5:$C$254,"&lt;&gt;")=1,INDEX('VENTAS'!$C$5:$C$254,MATCH(C301,'VENTAS'!$A$5:$A$254,0)),"ID no encontrado"))</x:f>
      </x:c>
      <x:c r="E301" s="22" t="str">
        <x:f>IF(C301="","",IF(COUNTIFS('VENTAS'!$A$5:$A$254,C301,'VENTAS'!$C$5:$C$254,"&lt;&gt;")=1,INDEX('VENTAS'!$D$5:$D$254,MATCH(C301,'VENTAS'!$A$5:$A$254,0)),"ID no encontrado"))</x:f>
      </x:c>
      <x:c r="F301" s="26" t="str"/>
      <x:c r="G301" s="27" t="str"/>
      <x:c r="H301" s="27" t="str"/>
      <x:c r="I301" s="26" t="str"/>
      <x:c r="J301" s="30" t="str"/>
      <x:c r="K301" s="28" t="str">
        <x:f>IF(B301="","",IF(ISNUMBER(H301),H301,IF(AND(ISNUMBER(G301),ISNUMBER(J301),J301&gt;0),ROUND(G301/J301,2),"")))</x:f>
      </x:c>
      <x:c r="L301" s="31" t="str"/>
      <x:c r="M301" s="26" t="str"/>
      <x:c r="N301" s="26" t="str">
        <x:v>Incluir</x:v>
      </x:c>
      <x:c r="O301" s="22" t="str"/>
      <x:c r="P301" s="22" t="str"/>
      <x:c r="Q301" s="22" t="str">
        <x:f>IF(B301="","",IF(C301="","Falta ID venta",IF(D301="ID no encontrado","ID venta inválido",IF(COUNTIFS('PAGOS'!$A$5:$A$504,A301,'PAGOS'!$B$5:$B$504,"&gt;0")&gt;1,"ID duplicado",IF(AND(L301&lt;&gt;"",COUNTIFS('PAGOS'!$L$5:$L$504,L301,'PAGOS'!$B$5:$B$504,B301,'PAGOS'!$F$5:$F$504,F301)&gt;1),"Referencia repetida",IF(N301&lt;&gt;"Incluir",N301,IF(NOT(ISNUMBER(K301)),"Falta equivalente","Aplicar")))))))</x:f>
      </x:c>
    </x:row>
    <x:row r="302" ht="25" customHeight="1">
      <x:c r="A302" s="22" t="str">
        <x:v>P-298</x:v>
      </x:c>
      <x:c r="B302" s="25" t="str"/>
      <x:c r="C302" s="26" t="str"/>
      <x:c r="D302" s="22" t="str">
        <x:f>IF(C302="","",IF(COUNTIFS('VENTAS'!$A$5:$A$254,C302,'VENTAS'!$C$5:$C$254,"&lt;&gt;")=1,INDEX('VENTAS'!$C$5:$C$254,MATCH(C302,'VENTAS'!$A$5:$A$254,0)),"ID no encontrado"))</x:f>
      </x:c>
      <x:c r="E302" s="22" t="str">
        <x:f>IF(C302="","",IF(COUNTIFS('VENTAS'!$A$5:$A$254,C302,'VENTAS'!$C$5:$C$254,"&lt;&gt;")=1,INDEX('VENTAS'!$D$5:$D$254,MATCH(C302,'VENTAS'!$A$5:$A$254,0)),"ID no encontrado"))</x:f>
      </x:c>
      <x:c r="F302" s="26" t="str"/>
      <x:c r="G302" s="27" t="str"/>
      <x:c r="H302" s="27" t="str"/>
      <x:c r="I302" s="26" t="str"/>
      <x:c r="J302" s="30" t="str"/>
      <x:c r="K302" s="28" t="str">
        <x:f>IF(B302="","",IF(ISNUMBER(H302),H302,IF(AND(ISNUMBER(G302),ISNUMBER(J302),J302&gt;0),ROUND(G302/J302,2),"")))</x:f>
      </x:c>
      <x:c r="L302" s="31" t="str"/>
      <x:c r="M302" s="26" t="str"/>
      <x:c r="N302" s="26" t="str">
        <x:v>Incluir</x:v>
      </x:c>
      <x:c r="O302" s="22" t="str"/>
      <x:c r="P302" s="22" t="str"/>
      <x:c r="Q302" s="22" t="str">
        <x:f>IF(B302="","",IF(C302="","Falta ID venta",IF(D302="ID no encontrado","ID venta inválido",IF(COUNTIFS('PAGOS'!$A$5:$A$504,A302,'PAGOS'!$B$5:$B$504,"&gt;0")&gt;1,"ID duplicado",IF(AND(L302&lt;&gt;"",COUNTIFS('PAGOS'!$L$5:$L$504,L302,'PAGOS'!$B$5:$B$504,B302,'PAGOS'!$F$5:$F$504,F302)&gt;1),"Referencia repetida",IF(N302&lt;&gt;"Incluir",N302,IF(NOT(ISNUMBER(K302)),"Falta equivalente","Aplicar")))))))</x:f>
      </x:c>
    </x:row>
    <x:row r="303" ht="25" customHeight="1">
      <x:c r="A303" s="22" t="str">
        <x:v>P-299</x:v>
      </x:c>
      <x:c r="B303" s="25" t="str"/>
      <x:c r="C303" s="26" t="str"/>
      <x:c r="D303" s="22" t="str">
        <x:f>IF(C303="","",IF(COUNTIFS('VENTAS'!$A$5:$A$254,C303,'VENTAS'!$C$5:$C$254,"&lt;&gt;")=1,INDEX('VENTAS'!$C$5:$C$254,MATCH(C303,'VENTAS'!$A$5:$A$254,0)),"ID no encontrado"))</x:f>
      </x:c>
      <x:c r="E303" s="22" t="str">
        <x:f>IF(C303="","",IF(COUNTIFS('VENTAS'!$A$5:$A$254,C303,'VENTAS'!$C$5:$C$254,"&lt;&gt;")=1,INDEX('VENTAS'!$D$5:$D$254,MATCH(C303,'VENTAS'!$A$5:$A$254,0)),"ID no encontrado"))</x:f>
      </x:c>
      <x:c r="F303" s="26" t="str"/>
      <x:c r="G303" s="27" t="str"/>
      <x:c r="H303" s="27" t="str"/>
      <x:c r="I303" s="26" t="str"/>
      <x:c r="J303" s="30" t="str"/>
      <x:c r="K303" s="28" t="str">
        <x:f>IF(B303="","",IF(ISNUMBER(H303),H303,IF(AND(ISNUMBER(G303),ISNUMBER(J303),J303&gt;0),ROUND(G303/J303,2),"")))</x:f>
      </x:c>
      <x:c r="L303" s="31" t="str"/>
      <x:c r="M303" s="26" t="str"/>
      <x:c r="N303" s="26" t="str">
        <x:v>Incluir</x:v>
      </x:c>
      <x:c r="O303" s="22" t="str"/>
      <x:c r="P303" s="22" t="str"/>
      <x:c r="Q303" s="22" t="str">
        <x:f>IF(B303="","",IF(C303="","Falta ID venta",IF(D303="ID no encontrado","ID venta inválido",IF(COUNTIFS('PAGOS'!$A$5:$A$504,A303,'PAGOS'!$B$5:$B$504,"&gt;0")&gt;1,"ID duplicado",IF(AND(L303&lt;&gt;"",COUNTIFS('PAGOS'!$L$5:$L$504,L303,'PAGOS'!$B$5:$B$504,B303,'PAGOS'!$F$5:$F$504,F303)&gt;1),"Referencia repetida",IF(N303&lt;&gt;"Incluir",N303,IF(NOT(ISNUMBER(K303)),"Falta equivalente","Aplicar")))))))</x:f>
      </x:c>
    </x:row>
    <x:row r="304" ht="25" customHeight="1">
      <x:c r="A304" s="22" t="str">
        <x:v>P-300</x:v>
      </x:c>
      <x:c r="B304" s="25" t="str"/>
      <x:c r="C304" s="26" t="str"/>
      <x:c r="D304" s="22" t="str">
        <x:f>IF(C304="","",IF(COUNTIFS('VENTAS'!$A$5:$A$254,C304,'VENTAS'!$C$5:$C$254,"&lt;&gt;")=1,INDEX('VENTAS'!$C$5:$C$254,MATCH(C304,'VENTAS'!$A$5:$A$254,0)),"ID no encontrado"))</x:f>
      </x:c>
      <x:c r="E304" s="22" t="str">
        <x:f>IF(C304="","",IF(COUNTIFS('VENTAS'!$A$5:$A$254,C304,'VENTAS'!$C$5:$C$254,"&lt;&gt;")=1,INDEX('VENTAS'!$D$5:$D$254,MATCH(C304,'VENTAS'!$A$5:$A$254,0)),"ID no encontrado"))</x:f>
      </x:c>
      <x:c r="F304" s="26" t="str"/>
      <x:c r="G304" s="27" t="str"/>
      <x:c r="H304" s="27" t="str"/>
      <x:c r="I304" s="26" t="str"/>
      <x:c r="J304" s="30" t="str"/>
      <x:c r="K304" s="28" t="str">
        <x:f>IF(B304="","",IF(ISNUMBER(H304),H304,IF(AND(ISNUMBER(G304),ISNUMBER(J304),J304&gt;0),ROUND(G304/J304,2),"")))</x:f>
      </x:c>
      <x:c r="L304" s="31" t="str"/>
      <x:c r="M304" s="26" t="str"/>
      <x:c r="N304" s="26" t="str">
        <x:v>Incluir</x:v>
      </x:c>
      <x:c r="O304" s="22" t="str"/>
      <x:c r="P304" s="22" t="str"/>
      <x:c r="Q304" s="22" t="str">
        <x:f>IF(B304="","",IF(C304="","Falta ID venta",IF(D304="ID no encontrado","ID venta inválido",IF(COUNTIFS('PAGOS'!$A$5:$A$504,A304,'PAGOS'!$B$5:$B$504,"&gt;0")&gt;1,"ID duplicado",IF(AND(L304&lt;&gt;"",COUNTIFS('PAGOS'!$L$5:$L$504,L304,'PAGOS'!$B$5:$B$504,B304,'PAGOS'!$F$5:$F$504,F304)&gt;1),"Referencia repetida",IF(N304&lt;&gt;"Incluir",N304,IF(NOT(ISNUMBER(K304)),"Falta equivalente","Aplicar")))))))</x:f>
      </x:c>
    </x:row>
    <x:row r="305" ht="25" customHeight="1">
      <x:c r="A305" s="22" t="str">
        <x:v>P-301</x:v>
      </x:c>
      <x:c r="B305" s="25" t="str"/>
      <x:c r="C305" s="26" t="str"/>
      <x:c r="D305" s="22" t="str">
        <x:f>IF(C305="","",IF(COUNTIFS('VENTAS'!$A$5:$A$254,C305,'VENTAS'!$C$5:$C$254,"&lt;&gt;")=1,INDEX('VENTAS'!$C$5:$C$254,MATCH(C305,'VENTAS'!$A$5:$A$254,0)),"ID no encontrado"))</x:f>
      </x:c>
      <x:c r="E305" s="22" t="str">
        <x:f>IF(C305="","",IF(COUNTIFS('VENTAS'!$A$5:$A$254,C305,'VENTAS'!$C$5:$C$254,"&lt;&gt;")=1,INDEX('VENTAS'!$D$5:$D$254,MATCH(C305,'VENTAS'!$A$5:$A$254,0)),"ID no encontrado"))</x:f>
      </x:c>
      <x:c r="F305" s="26" t="str"/>
      <x:c r="G305" s="27" t="str"/>
      <x:c r="H305" s="27" t="str"/>
      <x:c r="I305" s="26" t="str"/>
      <x:c r="J305" s="30" t="str"/>
      <x:c r="K305" s="28" t="str">
        <x:f>IF(B305="","",IF(ISNUMBER(H305),H305,IF(AND(ISNUMBER(G305),ISNUMBER(J305),J305&gt;0),ROUND(G305/J305,2),"")))</x:f>
      </x:c>
      <x:c r="L305" s="31" t="str"/>
      <x:c r="M305" s="26" t="str"/>
      <x:c r="N305" s="26" t="str">
        <x:v>Incluir</x:v>
      </x:c>
      <x:c r="O305" s="22" t="str"/>
      <x:c r="P305" s="22" t="str"/>
      <x:c r="Q305" s="22" t="str">
        <x:f>IF(B305="","",IF(C305="","Falta ID venta",IF(D305="ID no encontrado","ID venta inválido",IF(COUNTIFS('PAGOS'!$A$5:$A$504,A305,'PAGOS'!$B$5:$B$504,"&gt;0")&gt;1,"ID duplicado",IF(AND(L305&lt;&gt;"",COUNTIFS('PAGOS'!$L$5:$L$504,L305,'PAGOS'!$B$5:$B$504,B305,'PAGOS'!$F$5:$F$504,F305)&gt;1),"Referencia repetida",IF(N305&lt;&gt;"Incluir",N305,IF(NOT(ISNUMBER(K305)),"Falta equivalente","Aplicar")))))))</x:f>
      </x:c>
    </x:row>
    <x:row r="306" ht="25" customHeight="1">
      <x:c r="A306" s="22" t="str">
        <x:v>P-302</x:v>
      </x:c>
      <x:c r="B306" s="25" t="str"/>
      <x:c r="C306" s="26" t="str"/>
      <x:c r="D306" s="22" t="str">
        <x:f>IF(C306="","",IF(COUNTIFS('VENTAS'!$A$5:$A$254,C306,'VENTAS'!$C$5:$C$254,"&lt;&gt;")=1,INDEX('VENTAS'!$C$5:$C$254,MATCH(C306,'VENTAS'!$A$5:$A$254,0)),"ID no encontrado"))</x:f>
      </x:c>
      <x:c r="E306" s="22" t="str">
        <x:f>IF(C306="","",IF(COUNTIFS('VENTAS'!$A$5:$A$254,C306,'VENTAS'!$C$5:$C$254,"&lt;&gt;")=1,INDEX('VENTAS'!$D$5:$D$254,MATCH(C306,'VENTAS'!$A$5:$A$254,0)),"ID no encontrado"))</x:f>
      </x:c>
      <x:c r="F306" s="26" t="str"/>
      <x:c r="G306" s="27" t="str"/>
      <x:c r="H306" s="27" t="str"/>
      <x:c r="I306" s="26" t="str"/>
      <x:c r="J306" s="30" t="str"/>
      <x:c r="K306" s="28" t="str">
        <x:f>IF(B306="","",IF(ISNUMBER(H306),H306,IF(AND(ISNUMBER(G306),ISNUMBER(J306),J306&gt;0),ROUND(G306/J306,2),"")))</x:f>
      </x:c>
      <x:c r="L306" s="31" t="str"/>
      <x:c r="M306" s="26" t="str"/>
      <x:c r="N306" s="26" t="str">
        <x:v>Incluir</x:v>
      </x:c>
      <x:c r="O306" s="22" t="str"/>
      <x:c r="P306" s="22" t="str"/>
      <x:c r="Q306" s="22" t="str">
        <x:f>IF(B306="","",IF(C306="","Falta ID venta",IF(D306="ID no encontrado","ID venta inválido",IF(COUNTIFS('PAGOS'!$A$5:$A$504,A306,'PAGOS'!$B$5:$B$504,"&gt;0")&gt;1,"ID duplicado",IF(AND(L306&lt;&gt;"",COUNTIFS('PAGOS'!$L$5:$L$504,L306,'PAGOS'!$B$5:$B$504,B306,'PAGOS'!$F$5:$F$504,F306)&gt;1),"Referencia repetida",IF(N306&lt;&gt;"Incluir",N306,IF(NOT(ISNUMBER(K306)),"Falta equivalente","Aplicar")))))))</x:f>
      </x:c>
    </x:row>
    <x:row r="307" ht="25" customHeight="1">
      <x:c r="A307" s="22" t="str">
        <x:v>P-303</x:v>
      </x:c>
      <x:c r="B307" s="25" t="str"/>
      <x:c r="C307" s="26" t="str"/>
      <x:c r="D307" s="22" t="str">
        <x:f>IF(C307="","",IF(COUNTIFS('VENTAS'!$A$5:$A$254,C307,'VENTAS'!$C$5:$C$254,"&lt;&gt;")=1,INDEX('VENTAS'!$C$5:$C$254,MATCH(C307,'VENTAS'!$A$5:$A$254,0)),"ID no encontrado"))</x:f>
      </x:c>
      <x:c r="E307" s="22" t="str">
        <x:f>IF(C307="","",IF(COUNTIFS('VENTAS'!$A$5:$A$254,C307,'VENTAS'!$C$5:$C$254,"&lt;&gt;")=1,INDEX('VENTAS'!$D$5:$D$254,MATCH(C307,'VENTAS'!$A$5:$A$254,0)),"ID no encontrado"))</x:f>
      </x:c>
      <x:c r="F307" s="26" t="str"/>
      <x:c r="G307" s="27" t="str"/>
      <x:c r="H307" s="27" t="str"/>
      <x:c r="I307" s="26" t="str"/>
      <x:c r="J307" s="30" t="str"/>
      <x:c r="K307" s="28" t="str">
        <x:f>IF(B307="","",IF(ISNUMBER(H307),H307,IF(AND(ISNUMBER(G307),ISNUMBER(J307),J307&gt;0),ROUND(G307/J307,2),"")))</x:f>
      </x:c>
      <x:c r="L307" s="31" t="str"/>
      <x:c r="M307" s="26" t="str"/>
      <x:c r="N307" s="26" t="str">
        <x:v>Incluir</x:v>
      </x:c>
      <x:c r="O307" s="22" t="str"/>
      <x:c r="P307" s="22" t="str"/>
      <x:c r="Q307" s="22" t="str">
        <x:f>IF(B307="","",IF(C307="","Falta ID venta",IF(D307="ID no encontrado","ID venta inválido",IF(COUNTIFS('PAGOS'!$A$5:$A$504,A307,'PAGOS'!$B$5:$B$504,"&gt;0")&gt;1,"ID duplicado",IF(AND(L307&lt;&gt;"",COUNTIFS('PAGOS'!$L$5:$L$504,L307,'PAGOS'!$B$5:$B$504,B307,'PAGOS'!$F$5:$F$504,F307)&gt;1),"Referencia repetida",IF(N307&lt;&gt;"Incluir",N307,IF(NOT(ISNUMBER(K307)),"Falta equivalente","Aplicar")))))))</x:f>
      </x:c>
    </x:row>
    <x:row r="308" ht="25" customHeight="1">
      <x:c r="A308" s="22" t="str">
        <x:v>P-304</x:v>
      </x:c>
      <x:c r="B308" s="25" t="str"/>
      <x:c r="C308" s="26" t="str"/>
      <x:c r="D308" s="22" t="str">
        <x:f>IF(C308="","",IF(COUNTIFS('VENTAS'!$A$5:$A$254,C308,'VENTAS'!$C$5:$C$254,"&lt;&gt;")=1,INDEX('VENTAS'!$C$5:$C$254,MATCH(C308,'VENTAS'!$A$5:$A$254,0)),"ID no encontrado"))</x:f>
      </x:c>
      <x:c r="E308" s="22" t="str">
        <x:f>IF(C308="","",IF(COUNTIFS('VENTAS'!$A$5:$A$254,C308,'VENTAS'!$C$5:$C$254,"&lt;&gt;")=1,INDEX('VENTAS'!$D$5:$D$254,MATCH(C308,'VENTAS'!$A$5:$A$254,0)),"ID no encontrado"))</x:f>
      </x:c>
      <x:c r="F308" s="26" t="str"/>
      <x:c r="G308" s="27" t="str"/>
      <x:c r="H308" s="27" t="str"/>
      <x:c r="I308" s="26" t="str"/>
      <x:c r="J308" s="30" t="str"/>
      <x:c r="K308" s="28" t="str">
        <x:f>IF(B308="","",IF(ISNUMBER(H308),H308,IF(AND(ISNUMBER(G308),ISNUMBER(J308),J308&gt;0),ROUND(G308/J308,2),"")))</x:f>
      </x:c>
      <x:c r="L308" s="31" t="str"/>
      <x:c r="M308" s="26" t="str"/>
      <x:c r="N308" s="26" t="str">
        <x:v>Incluir</x:v>
      </x:c>
      <x:c r="O308" s="22" t="str"/>
      <x:c r="P308" s="22" t="str"/>
      <x:c r="Q308" s="22" t="str">
        <x:f>IF(B308="","",IF(C308="","Falta ID venta",IF(D308="ID no encontrado","ID venta inválido",IF(COUNTIFS('PAGOS'!$A$5:$A$504,A308,'PAGOS'!$B$5:$B$504,"&gt;0")&gt;1,"ID duplicado",IF(AND(L308&lt;&gt;"",COUNTIFS('PAGOS'!$L$5:$L$504,L308,'PAGOS'!$B$5:$B$504,B308,'PAGOS'!$F$5:$F$504,F308)&gt;1),"Referencia repetida",IF(N308&lt;&gt;"Incluir",N308,IF(NOT(ISNUMBER(K308)),"Falta equivalente","Aplicar")))))))</x:f>
      </x:c>
    </x:row>
    <x:row r="309" ht="25" customHeight="1">
      <x:c r="A309" s="22" t="str">
        <x:v>P-305</x:v>
      </x:c>
      <x:c r="B309" s="25" t="str"/>
      <x:c r="C309" s="26" t="str"/>
      <x:c r="D309" s="22" t="str">
        <x:f>IF(C309="","",IF(COUNTIFS('VENTAS'!$A$5:$A$254,C309,'VENTAS'!$C$5:$C$254,"&lt;&gt;")=1,INDEX('VENTAS'!$C$5:$C$254,MATCH(C309,'VENTAS'!$A$5:$A$254,0)),"ID no encontrado"))</x:f>
      </x:c>
      <x:c r="E309" s="22" t="str">
        <x:f>IF(C309="","",IF(COUNTIFS('VENTAS'!$A$5:$A$254,C309,'VENTAS'!$C$5:$C$254,"&lt;&gt;")=1,INDEX('VENTAS'!$D$5:$D$254,MATCH(C309,'VENTAS'!$A$5:$A$254,0)),"ID no encontrado"))</x:f>
      </x:c>
      <x:c r="F309" s="26" t="str"/>
      <x:c r="G309" s="27" t="str"/>
      <x:c r="H309" s="27" t="str"/>
      <x:c r="I309" s="26" t="str"/>
      <x:c r="J309" s="30" t="str"/>
      <x:c r="K309" s="28" t="str">
        <x:f>IF(B309="","",IF(ISNUMBER(H309),H309,IF(AND(ISNUMBER(G309),ISNUMBER(J309),J309&gt;0),ROUND(G309/J309,2),"")))</x:f>
      </x:c>
      <x:c r="L309" s="31" t="str"/>
      <x:c r="M309" s="26" t="str"/>
      <x:c r="N309" s="26" t="str">
        <x:v>Incluir</x:v>
      </x:c>
      <x:c r="O309" s="22" t="str"/>
      <x:c r="P309" s="22" t="str"/>
      <x:c r="Q309" s="22" t="str">
        <x:f>IF(B309="","",IF(C309="","Falta ID venta",IF(D309="ID no encontrado","ID venta inválido",IF(COUNTIFS('PAGOS'!$A$5:$A$504,A309,'PAGOS'!$B$5:$B$504,"&gt;0")&gt;1,"ID duplicado",IF(AND(L309&lt;&gt;"",COUNTIFS('PAGOS'!$L$5:$L$504,L309,'PAGOS'!$B$5:$B$504,B309,'PAGOS'!$F$5:$F$504,F309)&gt;1),"Referencia repetida",IF(N309&lt;&gt;"Incluir",N309,IF(NOT(ISNUMBER(K309)),"Falta equivalente","Aplicar")))))))</x:f>
      </x:c>
    </x:row>
    <x:row r="310" ht="25" customHeight="1">
      <x:c r="A310" s="22" t="str">
        <x:v>P-306</x:v>
      </x:c>
      <x:c r="B310" s="25" t="str"/>
      <x:c r="C310" s="26" t="str"/>
      <x:c r="D310" s="22" t="str">
        <x:f>IF(C310="","",IF(COUNTIFS('VENTAS'!$A$5:$A$254,C310,'VENTAS'!$C$5:$C$254,"&lt;&gt;")=1,INDEX('VENTAS'!$C$5:$C$254,MATCH(C310,'VENTAS'!$A$5:$A$254,0)),"ID no encontrado"))</x:f>
      </x:c>
      <x:c r="E310" s="22" t="str">
        <x:f>IF(C310="","",IF(COUNTIFS('VENTAS'!$A$5:$A$254,C310,'VENTAS'!$C$5:$C$254,"&lt;&gt;")=1,INDEX('VENTAS'!$D$5:$D$254,MATCH(C310,'VENTAS'!$A$5:$A$254,0)),"ID no encontrado"))</x:f>
      </x:c>
      <x:c r="F310" s="26" t="str"/>
      <x:c r="G310" s="27" t="str"/>
      <x:c r="H310" s="27" t="str"/>
      <x:c r="I310" s="26" t="str"/>
      <x:c r="J310" s="30" t="str"/>
      <x:c r="K310" s="28" t="str">
        <x:f>IF(B310="","",IF(ISNUMBER(H310),H310,IF(AND(ISNUMBER(G310),ISNUMBER(J310),J310&gt;0),ROUND(G310/J310,2),"")))</x:f>
      </x:c>
      <x:c r="L310" s="31" t="str"/>
      <x:c r="M310" s="26" t="str"/>
      <x:c r="N310" s="26" t="str">
        <x:v>Incluir</x:v>
      </x:c>
      <x:c r="O310" s="22" t="str"/>
      <x:c r="P310" s="22" t="str"/>
      <x:c r="Q310" s="22" t="str">
        <x:f>IF(B310="","",IF(C310="","Falta ID venta",IF(D310="ID no encontrado","ID venta inválido",IF(COUNTIFS('PAGOS'!$A$5:$A$504,A310,'PAGOS'!$B$5:$B$504,"&gt;0")&gt;1,"ID duplicado",IF(AND(L310&lt;&gt;"",COUNTIFS('PAGOS'!$L$5:$L$504,L310,'PAGOS'!$B$5:$B$504,B310,'PAGOS'!$F$5:$F$504,F310)&gt;1),"Referencia repetida",IF(N310&lt;&gt;"Incluir",N310,IF(NOT(ISNUMBER(K310)),"Falta equivalente","Aplicar")))))))</x:f>
      </x:c>
    </x:row>
    <x:row r="311" ht="25" customHeight="1">
      <x:c r="A311" s="22" t="str">
        <x:v>P-307</x:v>
      </x:c>
      <x:c r="B311" s="25" t="str"/>
      <x:c r="C311" s="26" t="str"/>
      <x:c r="D311" s="22" t="str">
        <x:f>IF(C311="","",IF(COUNTIFS('VENTAS'!$A$5:$A$254,C311,'VENTAS'!$C$5:$C$254,"&lt;&gt;")=1,INDEX('VENTAS'!$C$5:$C$254,MATCH(C311,'VENTAS'!$A$5:$A$254,0)),"ID no encontrado"))</x:f>
      </x:c>
      <x:c r="E311" s="22" t="str">
        <x:f>IF(C311="","",IF(COUNTIFS('VENTAS'!$A$5:$A$254,C311,'VENTAS'!$C$5:$C$254,"&lt;&gt;")=1,INDEX('VENTAS'!$D$5:$D$254,MATCH(C311,'VENTAS'!$A$5:$A$254,0)),"ID no encontrado"))</x:f>
      </x:c>
      <x:c r="F311" s="26" t="str"/>
      <x:c r="G311" s="27" t="str"/>
      <x:c r="H311" s="27" t="str"/>
      <x:c r="I311" s="26" t="str"/>
      <x:c r="J311" s="30" t="str"/>
      <x:c r="K311" s="28" t="str">
        <x:f>IF(B311="","",IF(ISNUMBER(H311),H311,IF(AND(ISNUMBER(G311),ISNUMBER(J311),J311&gt;0),ROUND(G311/J311,2),"")))</x:f>
      </x:c>
      <x:c r="L311" s="31" t="str"/>
      <x:c r="M311" s="26" t="str"/>
      <x:c r="N311" s="26" t="str">
        <x:v>Incluir</x:v>
      </x:c>
      <x:c r="O311" s="22" t="str"/>
      <x:c r="P311" s="22" t="str"/>
      <x:c r="Q311" s="22" t="str">
        <x:f>IF(B311="","",IF(C311="","Falta ID venta",IF(D311="ID no encontrado","ID venta inválido",IF(COUNTIFS('PAGOS'!$A$5:$A$504,A311,'PAGOS'!$B$5:$B$504,"&gt;0")&gt;1,"ID duplicado",IF(AND(L311&lt;&gt;"",COUNTIFS('PAGOS'!$L$5:$L$504,L311,'PAGOS'!$B$5:$B$504,B311,'PAGOS'!$F$5:$F$504,F311)&gt;1),"Referencia repetida",IF(N311&lt;&gt;"Incluir",N311,IF(NOT(ISNUMBER(K311)),"Falta equivalente","Aplicar")))))))</x:f>
      </x:c>
    </x:row>
    <x:row r="312" ht="25" customHeight="1">
      <x:c r="A312" s="22" t="str">
        <x:v>P-308</x:v>
      </x:c>
      <x:c r="B312" s="25" t="str"/>
      <x:c r="C312" s="26" t="str"/>
      <x:c r="D312" s="22" t="str">
        <x:f>IF(C312="","",IF(COUNTIFS('VENTAS'!$A$5:$A$254,C312,'VENTAS'!$C$5:$C$254,"&lt;&gt;")=1,INDEX('VENTAS'!$C$5:$C$254,MATCH(C312,'VENTAS'!$A$5:$A$254,0)),"ID no encontrado"))</x:f>
      </x:c>
      <x:c r="E312" s="22" t="str">
        <x:f>IF(C312="","",IF(COUNTIFS('VENTAS'!$A$5:$A$254,C312,'VENTAS'!$C$5:$C$254,"&lt;&gt;")=1,INDEX('VENTAS'!$D$5:$D$254,MATCH(C312,'VENTAS'!$A$5:$A$254,0)),"ID no encontrado"))</x:f>
      </x:c>
      <x:c r="F312" s="26" t="str"/>
      <x:c r="G312" s="27" t="str"/>
      <x:c r="H312" s="27" t="str"/>
      <x:c r="I312" s="26" t="str"/>
      <x:c r="J312" s="30" t="str"/>
      <x:c r="K312" s="28" t="str">
        <x:f>IF(B312="","",IF(ISNUMBER(H312),H312,IF(AND(ISNUMBER(G312),ISNUMBER(J312),J312&gt;0),ROUND(G312/J312,2),"")))</x:f>
      </x:c>
      <x:c r="L312" s="31" t="str"/>
      <x:c r="M312" s="26" t="str"/>
      <x:c r="N312" s="26" t="str">
        <x:v>Incluir</x:v>
      </x:c>
      <x:c r="O312" s="22" t="str"/>
      <x:c r="P312" s="22" t="str"/>
      <x:c r="Q312" s="22" t="str">
        <x:f>IF(B312="","",IF(C312="","Falta ID venta",IF(D312="ID no encontrado","ID venta inválido",IF(COUNTIFS('PAGOS'!$A$5:$A$504,A312,'PAGOS'!$B$5:$B$504,"&gt;0")&gt;1,"ID duplicado",IF(AND(L312&lt;&gt;"",COUNTIFS('PAGOS'!$L$5:$L$504,L312,'PAGOS'!$B$5:$B$504,B312,'PAGOS'!$F$5:$F$504,F312)&gt;1),"Referencia repetida",IF(N312&lt;&gt;"Incluir",N312,IF(NOT(ISNUMBER(K312)),"Falta equivalente","Aplicar")))))))</x:f>
      </x:c>
    </x:row>
    <x:row r="313" ht="25" customHeight="1">
      <x:c r="A313" s="22" t="str">
        <x:v>P-309</x:v>
      </x:c>
      <x:c r="B313" s="25" t="str"/>
      <x:c r="C313" s="26" t="str"/>
      <x:c r="D313" s="22" t="str">
        <x:f>IF(C313="","",IF(COUNTIFS('VENTAS'!$A$5:$A$254,C313,'VENTAS'!$C$5:$C$254,"&lt;&gt;")=1,INDEX('VENTAS'!$C$5:$C$254,MATCH(C313,'VENTAS'!$A$5:$A$254,0)),"ID no encontrado"))</x:f>
      </x:c>
      <x:c r="E313" s="22" t="str">
        <x:f>IF(C313="","",IF(COUNTIFS('VENTAS'!$A$5:$A$254,C313,'VENTAS'!$C$5:$C$254,"&lt;&gt;")=1,INDEX('VENTAS'!$D$5:$D$254,MATCH(C313,'VENTAS'!$A$5:$A$254,0)),"ID no encontrado"))</x:f>
      </x:c>
      <x:c r="F313" s="26" t="str"/>
      <x:c r="G313" s="27" t="str"/>
      <x:c r="H313" s="27" t="str"/>
      <x:c r="I313" s="26" t="str"/>
      <x:c r="J313" s="30" t="str"/>
      <x:c r="K313" s="28" t="str">
        <x:f>IF(B313="","",IF(ISNUMBER(H313),H313,IF(AND(ISNUMBER(G313),ISNUMBER(J313),J313&gt;0),ROUND(G313/J313,2),"")))</x:f>
      </x:c>
      <x:c r="L313" s="31" t="str"/>
      <x:c r="M313" s="26" t="str"/>
      <x:c r="N313" s="26" t="str">
        <x:v>Incluir</x:v>
      </x:c>
      <x:c r="O313" s="22" t="str"/>
      <x:c r="P313" s="22" t="str"/>
      <x:c r="Q313" s="22" t="str">
        <x:f>IF(B313="","",IF(C313="","Falta ID venta",IF(D313="ID no encontrado","ID venta inválido",IF(COUNTIFS('PAGOS'!$A$5:$A$504,A313,'PAGOS'!$B$5:$B$504,"&gt;0")&gt;1,"ID duplicado",IF(AND(L313&lt;&gt;"",COUNTIFS('PAGOS'!$L$5:$L$504,L313,'PAGOS'!$B$5:$B$504,B313,'PAGOS'!$F$5:$F$504,F313)&gt;1),"Referencia repetida",IF(N313&lt;&gt;"Incluir",N313,IF(NOT(ISNUMBER(K313)),"Falta equivalente","Aplicar")))))))</x:f>
      </x:c>
    </x:row>
    <x:row r="314" ht="25" customHeight="1">
      <x:c r="A314" s="22" t="str">
        <x:v>P-310</x:v>
      </x:c>
      <x:c r="B314" s="25" t="str"/>
      <x:c r="C314" s="26" t="str"/>
      <x:c r="D314" s="22" t="str">
        <x:f>IF(C314="","",IF(COUNTIFS('VENTAS'!$A$5:$A$254,C314,'VENTAS'!$C$5:$C$254,"&lt;&gt;")=1,INDEX('VENTAS'!$C$5:$C$254,MATCH(C314,'VENTAS'!$A$5:$A$254,0)),"ID no encontrado"))</x:f>
      </x:c>
      <x:c r="E314" s="22" t="str">
        <x:f>IF(C314="","",IF(COUNTIFS('VENTAS'!$A$5:$A$254,C314,'VENTAS'!$C$5:$C$254,"&lt;&gt;")=1,INDEX('VENTAS'!$D$5:$D$254,MATCH(C314,'VENTAS'!$A$5:$A$254,0)),"ID no encontrado"))</x:f>
      </x:c>
      <x:c r="F314" s="26" t="str"/>
      <x:c r="G314" s="27" t="str"/>
      <x:c r="H314" s="27" t="str"/>
      <x:c r="I314" s="26" t="str"/>
      <x:c r="J314" s="30" t="str"/>
      <x:c r="K314" s="28" t="str">
        <x:f>IF(B314="","",IF(ISNUMBER(H314),H314,IF(AND(ISNUMBER(G314),ISNUMBER(J314),J314&gt;0),ROUND(G314/J314,2),"")))</x:f>
      </x:c>
      <x:c r="L314" s="31" t="str"/>
      <x:c r="M314" s="26" t="str"/>
      <x:c r="N314" s="26" t="str">
        <x:v>Incluir</x:v>
      </x:c>
      <x:c r="O314" s="22" t="str"/>
      <x:c r="P314" s="22" t="str"/>
      <x:c r="Q314" s="22" t="str">
        <x:f>IF(B314="","",IF(C314="","Falta ID venta",IF(D314="ID no encontrado","ID venta inválido",IF(COUNTIFS('PAGOS'!$A$5:$A$504,A314,'PAGOS'!$B$5:$B$504,"&gt;0")&gt;1,"ID duplicado",IF(AND(L314&lt;&gt;"",COUNTIFS('PAGOS'!$L$5:$L$504,L314,'PAGOS'!$B$5:$B$504,B314,'PAGOS'!$F$5:$F$504,F314)&gt;1),"Referencia repetida",IF(N314&lt;&gt;"Incluir",N314,IF(NOT(ISNUMBER(K314)),"Falta equivalente","Aplicar")))))))</x:f>
      </x:c>
    </x:row>
    <x:row r="315" ht="25" customHeight="1">
      <x:c r="A315" s="22" t="str">
        <x:v>P-311</x:v>
      </x:c>
      <x:c r="B315" s="25" t="str"/>
      <x:c r="C315" s="26" t="str"/>
      <x:c r="D315" s="22" t="str">
        <x:f>IF(C315="","",IF(COUNTIFS('VENTAS'!$A$5:$A$254,C315,'VENTAS'!$C$5:$C$254,"&lt;&gt;")=1,INDEX('VENTAS'!$C$5:$C$254,MATCH(C315,'VENTAS'!$A$5:$A$254,0)),"ID no encontrado"))</x:f>
      </x:c>
      <x:c r="E315" s="22" t="str">
        <x:f>IF(C315="","",IF(COUNTIFS('VENTAS'!$A$5:$A$254,C315,'VENTAS'!$C$5:$C$254,"&lt;&gt;")=1,INDEX('VENTAS'!$D$5:$D$254,MATCH(C315,'VENTAS'!$A$5:$A$254,0)),"ID no encontrado"))</x:f>
      </x:c>
      <x:c r="F315" s="26" t="str"/>
      <x:c r="G315" s="27" t="str"/>
      <x:c r="H315" s="27" t="str"/>
      <x:c r="I315" s="26" t="str"/>
      <x:c r="J315" s="30" t="str"/>
      <x:c r="K315" s="28" t="str">
        <x:f>IF(B315="","",IF(ISNUMBER(H315),H315,IF(AND(ISNUMBER(G315),ISNUMBER(J315),J315&gt;0),ROUND(G315/J315,2),"")))</x:f>
      </x:c>
      <x:c r="L315" s="31" t="str"/>
      <x:c r="M315" s="26" t="str"/>
      <x:c r="N315" s="26" t="str">
        <x:v>Incluir</x:v>
      </x:c>
      <x:c r="O315" s="22" t="str"/>
      <x:c r="P315" s="22" t="str"/>
      <x:c r="Q315" s="22" t="str">
        <x:f>IF(B315="","",IF(C315="","Falta ID venta",IF(D315="ID no encontrado","ID venta inválido",IF(COUNTIFS('PAGOS'!$A$5:$A$504,A315,'PAGOS'!$B$5:$B$504,"&gt;0")&gt;1,"ID duplicado",IF(AND(L315&lt;&gt;"",COUNTIFS('PAGOS'!$L$5:$L$504,L315,'PAGOS'!$B$5:$B$504,B315,'PAGOS'!$F$5:$F$504,F315)&gt;1),"Referencia repetida",IF(N315&lt;&gt;"Incluir",N315,IF(NOT(ISNUMBER(K315)),"Falta equivalente","Aplicar")))))))</x:f>
      </x:c>
    </x:row>
    <x:row r="316" ht="25" customHeight="1">
      <x:c r="A316" s="22" t="str">
        <x:v>P-312</x:v>
      </x:c>
      <x:c r="B316" s="25" t="str"/>
      <x:c r="C316" s="26" t="str"/>
      <x:c r="D316" s="22" t="str">
        <x:f>IF(C316="","",IF(COUNTIFS('VENTAS'!$A$5:$A$254,C316,'VENTAS'!$C$5:$C$254,"&lt;&gt;")=1,INDEX('VENTAS'!$C$5:$C$254,MATCH(C316,'VENTAS'!$A$5:$A$254,0)),"ID no encontrado"))</x:f>
      </x:c>
      <x:c r="E316" s="22" t="str">
        <x:f>IF(C316="","",IF(COUNTIFS('VENTAS'!$A$5:$A$254,C316,'VENTAS'!$C$5:$C$254,"&lt;&gt;")=1,INDEX('VENTAS'!$D$5:$D$254,MATCH(C316,'VENTAS'!$A$5:$A$254,0)),"ID no encontrado"))</x:f>
      </x:c>
      <x:c r="F316" s="26" t="str"/>
      <x:c r="G316" s="27" t="str"/>
      <x:c r="H316" s="27" t="str"/>
      <x:c r="I316" s="26" t="str"/>
      <x:c r="J316" s="30" t="str"/>
      <x:c r="K316" s="28" t="str">
        <x:f>IF(B316="","",IF(ISNUMBER(H316),H316,IF(AND(ISNUMBER(G316),ISNUMBER(J316),J316&gt;0),ROUND(G316/J316,2),"")))</x:f>
      </x:c>
      <x:c r="L316" s="31" t="str"/>
      <x:c r="M316" s="26" t="str"/>
      <x:c r="N316" s="26" t="str">
        <x:v>Incluir</x:v>
      </x:c>
      <x:c r="O316" s="22" t="str"/>
      <x:c r="P316" s="22" t="str"/>
      <x:c r="Q316" s="22" t="str">
        <x:f>IF(B316="","",IF(C316="","Falta ID venta",IF(D316="ID no encontrado","ID venta inválido",IF(COUNTIFS('PAGOS'!$A$5:$A$504,A316,'PAGOS'!$B$5:$B$504,"&gt;0")&gt;1,"ID duplicado",IF(AND(L316&lt;&gt;"",COUNTIFS('PAGOS'!$L$5:$L$504,L316,'PAGOS'!$B$5:$B$504,B316,'PAGOS'!$F$5:$F$504,F316)&gt;1),"Referencia repetida",IF(N316&lt;&gt;"Incluir",N316,IF(NOT(ISNUMBER(K316)),"Falta equivalente","Aplicar")))))))</x:f>
      </x:c>
    </x:row>
    <x:row r="317" ht="25" customHeight="1">
      <x:c r="A317" s="22" t="str">
        <x:v>P-313</x:v>
      </x:c>
      <x:c r="B317" s="25" t="str"/>
      <x:c r="C317" s="26" t="str"/>
      <x:c r="D317" s="22" t="str">
        <x:f>IF(C317="","",IF(COUNTIFS('VENTAS'!$A$5:$A$254,C317,'VENTAS'!$C$5:$C$254,"&lt;&gt;")=1,INDEX('VENTAS'!$C$5:$C$254,MATCH(C317,'VENTAS'!$A$5:$A$254,0)),"ID no encontrado"))</x:f>
      </x:c>
      <x:c r="E317" s="22" t="str">
        <x:f>IF(C317="","",IF(COUNTIFS('VENTAS'!$A$5:$A$254,C317,'VENTAS'!$C$5:$C$254,"&lt;&gt;")=1,INDEX('VENTAS'!$D$5:$D$254,MATCH(C317,'VENTAS'!$A$5:$A$254,0)),"ID no encontrado"))</x:f>
      </x:c>
      <x:c r="F317" s="26" t="str"/>
      <x:c r="G317" s="27" t="str"/>
      <x:c r="H317" s="27" t="str"/>
      <x:c r="I317" s="26" t="str"/>
      <x:c r="J317" s="30" t="str"/>
      <x:c r="K317" s="28" t="str">
        <x:f>IF(B317="","",IF(ISNUMBER(H317),H317,IF(AND(ISNUMBER(G317),ISNUMBER(J317),J317&gt;0),ROUND(G317/J317,2),"")))</x:f>
      </x:c>
      <x:c r="L317" s="31" t="str"/>
      <x:c r="M317" s="26" t="str"/>
      <x:c r="N317" s="26" t="str">
        <x:v>Incluir</x:v>
      </x:c>
      <x:c r="O317" s="22" t="str"/>
      <x:c r="P317" s="22" t="str"/>
      <x:c r="Q317" s="22" t="str">
        <x:f>IF(B317="","",IF(C317="","Falta ID venta",IF(D317="ID no encontrado","ID venta inválido",IF(COUNTIFS('PAGOS'!$A$5:$A$504,A317,'PAGOS'!$B$5:$B$504,"&gt;0")&gt;1,"ID duplicado",IF(AND(L317&lt;&gt;"",COUNTIFS('PAGOS'!$L$5:$L$504,L317,'PAGOS'!$B$5:$B$504,B317,'PAGOS'!$F$5:$F$504,F317)&gt;1),"Referencia repetida",IF(N317&lt;&gt;"Incluir",N317,IF(NOT(ISNUMBER(K317)),"Falta equivalente","Aplicar")))))))</x:f>
      </x:c>
    </x:row>
    <x:row r="318" ht="25" customHeight="1">
      <x:c r="A318" s="22" t="str">
        <x:v>P-314</x:v>
      </x:c>
      <x:c r="B318" s="25" t="str"/>
      <x:c r="C318" s="26" t="str"/>
      <x:c r="D318" s="22" t="str">
        <x:f>IF(C318="","",IF(COUNTIFS('VENTAS'!$A$5:$A$254,C318,'VENTAS'!$C$5:$C$254,"&lt;&gt;")=1,INDEX('VENTAS'!$C$5:$C$254,MATCH(C318,'VENTAS'!$A$5:$A$254,0)),"ID no encontrado"))</x:f>
      </x:c>
      <x:c r="E318" s="22" t="str">
        <x:f>IF(C318="","",IF(COUNTIFS('VENTAS'!$A$5:$A$254,C318,'VENTAS'!$C$5:$C$254,"&lt;&gt;")=1,INDEX('VENTAS'!$D$5:$D$254,MATCH(C318,'VENTAS'!$A$5:$A$254,0)),"ID no encontrado"))</x:f>
      </x:c>
      <x:c r="F318" s="26" t="str"/>
      <x:c r="G318" s="27" t="str"/>
      <x:c r="H318" s="27" t="str"/>
      <x:c r="I318" s="26" t="str"/>
      <x:c r="J318" s="30" t="str"/>
      <x:c r="K318" s="28" t="str">
        <x:f>IF(B318="","",IF(ISNUMBER(H318),H318,IF(AND(ISNUMBER(G318),ISNUMBER(J318),J318&gt;0),ROUND(G318/J318,2),"")))</x:f>
      </x:c>
      <x:c r="L318" s="31" t="str"/>
      <x:c r="M318" s="26" t="str"/>
      <x:c r="N318" s="26" t="str">
        <x:v>Incluir</x:v>
      </x:c>
      <x:c r="O318" s="22" t="str"/>
      <x:c r="P318" s="22" t="str"/>
      <x:c r="Q318" s="22" t="str">
        <x:f>IF(B318="","",IF(C318="","Falta ID venta",IF(D318="ID no encontrado","ID venta inválido",IF(COUNTIFS('PAGOS'!$A$5:$A$504,A318,'PAGOS'!$B$5:$B$504,"&gt;0")&gt;1,"ID duplicado",IF(AND(L318&lt;&gt;"",COUNTIFS('PAGOS'!$L$5:$L$504,L318,'PAGOS'!$B$5:$B$504,B318,'PAGOS'!$F$5:$F$504,F318)&gt;1),"Referencia repetida",IF(N318&lt;&gt;"Incluir",N318,IF(NOT(ISNUMBER(K318)),"Falta equivalente","Aplicar")))))))</x:f>
      </x:c>
    </x:row>
    <x:row r="319" ht="25" customHeight="1">
      <x:c r="A319" s="22" t="str">
        <x:v>P-315</x:v>
      </x:c>
      <x:c r="B319" s="25" t="str"/>
      <x:c r="C319" s="26" t="str"/>
      <x:c r="D319" s="22" t="str">
        <x:f>IF(C319="","",IF(COUNTIFS('VENTAS'!$A$5:$A$254,C319,'VENTAS'!$C$5:$C$254,"&lt;&gt;")=1,INDEX('VENTAS'!$C$5:$C$254,MATCH(C319,'VENTAS'!$A$5:$A$254,0)),"ID no encontrado"))</x:f>
      </x:c>
      <x:c r="E319" s="22" t="str">
        <x:f>IF(C319="","",IF(COUNTIFS('VENTAS'!$A$5:$A$254,C319,'VENTAS'!$C$5:$C$254,"&lt;&gt;")=1,INDEX('VENTAS'!$D$5:$D$254,MATCH(C319,'VENTAS'!$A$5:$A$254,0)),"ID no encontrado"))</x:f>
      </x:c>
      <x:c r="F319" s="26" t="str"/>
      <x:c r="G319" s="27" t="str"/>
      <x:c r="H319" s="27" t="str"/>
      <x:c r="I319" s="26" t="str"/>
      <x:c r="J319" s="30" t="str"/>
      <x:c r="K319" s="28" t="str">
        <x:f>IF(B319="","",IF(ISNUMBER(H319),H319,IF(AND(ISNUMBER(G319),ISNUMBER(J319),J319&gt;0),ROUND(G319/J319,2),"")))</x:f>
      </x:c>
      <x:c r="L319" s="31" t="str"/>
      <x:c r="M319" s="26" t="str"/>
      <x:c r="N319" s="26" t="str">
        <x:v>Incluir</x:v>
      </x:c>
      <x:c r="O319" s="22" t="str"/>
      <x:c r="P319" s="22" t="str"/>
      <x:c r="Q319" s="22" t="str">
        <x:f>IF(B319="","",IF(C319="","Falta ID venta",IF(D319="ID no encontrado","ID venta inválido",IF(COUNTIFS('PAGOS'!$A$5:$A$504,A319,'PAGOS'!$B$5:$B$504,"&gt;0")&gt;1,"ID duplicado",IF(AND(L319&lt;&gt;"",COUNTIFS('PAGOS'!$L$5:$L$504,L319,'PAGOS'!$B$5:$B$504,B319,'PAGOS'!$F$5:$F$504,F319)&gt;1),"Referencia repetida",IF(N319&lt;&gt;"Incluir",N319,IF(NOT(ISNUMBER(K319)),"Falta equivalente","Aplicar")))))))</x:f>
      </x:c>
    </x:row>
    <x:row r="320" ht="25" customHeight="1">
      <x:c r="A320" s="22" t="str">
        <x:v>P-316</x:v>
      </x:c>
      <x:c r="B320" s="25" t="str"/>
      <x:c r="C320" s="26" t="str"/>
      <x:c r="D320" s="22" t="str">
        <x:f>IF(C320="","",IF(COUNTIFS('VENTAS'!$A$5:$A$254,C320,'VENTAS'!$C$5:$C$254,"&lt;&gt;")=1,INDEX('VENTAS'!$C$5:$C$254,MATCH(C320,'VENTAS'!$A$5:$A$254,0)),"ID no encontrado"))</x:f>
      </x:c>
      <x:c r="E320" s="22" t="str">
        <x:f>IF(C320="","",IF(COUNTIFS('VENTAS'!$A$5:$A$254,C320,'VENTAS'!$C$5:$C$254,"&lt;&gt;")=1,INDEX('VENTAS'!$D$5:$D$254,MATCH(C320,'VENTAS'!$A$5:$A$254,0)),"ID no encontrado"))</x:f>
      </x:c>
      <x:c r="F320" s="26" t="str"/>
      <x:c r="G320" s="27" t="str"/>
      <x:c r="H320" s="27" t="str"/>
      <x:c r="I320" s="26" t="str"/>
      <x:c r="J320" s="30" t="str"/>
      <x:c r="K320" s="28" t="str">
        <x:f>IF(B320="","",IF(ISNUMBER(H320),H320,IF(AND(ISNUMBER(G320),ISNUMBER(J320),J320&gt;0),ROUND(G320/J320,2),"")))</x:f>
      </x:c>
      <x:c r="L320" s="31" t="str"/>
      <x:c r="M320" s="26" t="str"/>
      <x:c r="N320" s="26" t="str">
        <x:v>Incluir</x:v>
      </x:c>
      <x:c r="O320" s="22" t="str"/>
      <x:c r="P320" s="22" t="str"/>
      <x:c r="Q320" s="22" t="str">
        <x:f>IF(B320="","",IF(C320="","Falta ID venta",IF(D320="ID no encontrado","ID venta inválido",IF(COUNTIFS('PAGOS'!$A$5:$A$504,A320,'PAGOS'!$B$5:$B$504,"&gt;0")&gt;1,"ID duplicado",IF(AND(L320&lt;&gt;"",COUNTIFS('PAGOS'!$L$5:$L$504,L320,'PAGOS'!$B$5:$B$504,B320,'PAGOS'!$F$5:$F$504,F320)&gt;1),"Referencia repetida",IF(N320&lt;&gt;"Incluir",N320,IF(NOT(ISNUMBER(K320)),"Falta equivalente","Aplicar")))))))</x:f>
      </x:c>
    </x:row>
    <x:row r="321" ht="25" customHeight="1">
      <x:c r="A321" s="22" t="str">
        <x:v>P-317</x:v>
      </x:c>
      <x:c r="B321" s="25" t="str"/>
      <x:c r="C321" s="26" t="str"/>
      <x:c r="D321" s="22" t="str">
        <x:f>IF(C321="","",IF(COUNTIFS('VENTAS'!$A$5:$A$254,C321,'VENTAS'!$C$5:$C$254,"&lt;&gt;")=1,INDEX('VENTAS'!$C$5:$C$254,MATCH(C321,'VENTAS'!$A$5:$A$254,0)),"ID no encontrado"))</x:f>
      </x:c>
      <x:c r="E321" s="22" t="str">
        <x:f>IF(C321="","",IF(COUNTIFS('VENTAS'!$A$5:$A$254,C321,'VENTAS'!$C$5:$C$254,"&lt;&gt;")=1,INDEX('VENTAS'!$D$5:$D$254,MATCH(C321,'VENTAS'!$A$5:$A$254,0)),"ID no encontrado"))</x:f>
      </x:c>
      <x:c r="F321" s="26" t="str"/>
      <x:c r="G321" s="27" t="str"/>
      <x:c r="H321" s="27" t="str"/>
      <x:c r="I321" s="26" t="str"/>
      <x:c r="J321" s="30" t="str"/>
      <x:c r="K321" s="28" t="str">
        <x:f>IF(B321="","",IF(ISNUMBER(H321),H321,IF(AND(ISNUMBER(G321),ISNUMBER(J321),J321&gt;0),ROUND(G321/J321,2),"")))</x:f>
      </x:c>
      <x:c r="L321" s="31" t="str"/>
      <x:c r="M321" s="26" t="str"/>
      <x:c r="N321" s="26" t="str">
        <x:v>Incluir</x:v>
      </x:c>
      <x:c r="O321" s="22" t="str"/>
      <x:c r="P321" s="22" t="str"/>
      <x:c r="Q321" s="22" t="str">
        <x:f>IF(B321="","",IF(C321="","Falta ID venta",IF(D321="ID no encontrado","ID venta inválido",IF(COUNTIFS('PAGOS'!$A$5:$A$504,A321,'PAGOS'!$B$5:$B$504,"&gt;0")&gt;1,"ID duplicado",IF(AND(L321&lt;&gt;"",COUNTIFS('PAGOS'!$L$5:$L$504,L321,'PAGOS'!$B$5:$B$504,B321,'PAGOS'!$F$5:$F$504,F321)&gt;1),"Referencia repetida",IF(N321&lt;&gt;"Incluir",N321,IF(NOT(ISNUMBER(K321)),"Falta equivalente","Aplicar")))))))</x:f>
      </x:c>
    </x:row>
    <x:row r="322" ht="25" customHeight="1">
      <x:c r="A322" s="22" t="str">
        <x:v>P-318</x:v>
      </x:c>
      <x:c r="B322" s="25" t="str"/>
      <x:c r="C322" s="26" t="str"/>
      <x:c r="D322" s="22" t="str">
        <x:f>IF(C322="","",IF(COUNTIFS('VENTAS'!$A$5:$A$254,C322,'VENTAS'!$C$5:$C$254,"&lt;&gt;")=1,INDEX('VENTAS'!$C$5:$C$254,MATCH(C322,'VENTAS'!$A$5:$A$254,0)),"ID no encontrado"))</x:f>
      </x:c>
      <x:c r="E322" s="22" t="str">
        <x:f>IF(C322="","",IF(COUNTIFS('VENTAS'!$A$5:$A$254,C322,'VENTAS'!$C$5:$C$254,"&lt;&gt;")=1,INDEX('VENTAS'!$D$5:$D$254,MATCH(C322,'VENTAS'!$A$5:$A$254,0)),"ID no encontrado"))</x:f>
      </x:c>
      <x:c r="F322" s="26" t="str"/>
      <x:c r="G322" s="27" t="str"/>
      <x:c r="H322" s="27" t="str"/>
      <x:c r="I322" s="26" t="str"/>
      <x:c r="J322" s="30" t="str"/>
      <x:c r="K322" s="28" t="str">
        <x:f>IF(B322="","",IF(ISNUMBER(H322),H322,IF(AND(ISNUMBER(G322),ISNUMBER(J322),J322&gt;0),ROUND(G322/J322,2),"")))</x:f>
      </x:c>
      <x:c r="L322" s="31" t="str"/>
      <x:c r="M322" s="26" t="str"/>
      <x:c r="N322" s="26" t="str">
        <x:v>Incluir</x:v>
      </x:c>
      <x:c r="O322" s="22" t="str"/>
      <x:c r="P322" s="22" t="str"/>
      <x:c r="Q322" s="22" t="str">
        <x:f>IF(B322="","",IF(C322="","Falta ID venta",IF(D322="ID no encontrado","ID venta inválido",IF(COUNTIFS('PAGOS'!$A$5:$A$504,A322,'PAGOS'!$B$5:$B$504,"&gt;0")&gt;1,"ID duplicado",IF(AND(L322&lt;&gt;"",COUNTIFS('PAGOS'!$L$5:$L$504,L322,'PAGOS'!$B$5:$B$504,B322,'PAGOS'!$F$5:$F$504,F322)&gt;1),"Referencia repetida",IF(N322&lt;&gt;"Incluir",N322,IF(NOT(ISNUMBER(K322)),"Falta equivalente","Aplicar")))))))</x:f>
      </x:c>
    </x:row>
    <x:row r="323" ht="25" customHeight="1">
      <x:c r="A323" s="22" t="str">
        <x:v>P-319</x:v>
      </x:c>
      <x:c r="B323" s="25" t="str"/>
      <x:c r="C323" s="26" t="str"/>
      <x:c r="D323" s="22" t="str">
        <x:f>IF(C323="","",IF(COUNTIFS('VENTAS'!$A$5:$A$254,C323,'VENTAS'!$C$5:$C$254,"&lt;&gt;")=1,INDEX('VENTAS'!$C$5:$C$254,MATCH(C323,'VENTAS'!$A$5:$A$254,0)),"ID no encontrado"))</x:f>
      </x:c>
      <x:c r="E323" s="22" t="str">
        <x:f>IF(C323="","",IF(COUNTIFS('VENTAS'!$A$5:$A$254,C323,'VENTAS'!$C$5:$C$254,"&lt;&gt;")=1,INDEX('VENTAS'!$D$5:$D$254,MATCH(C323,'VENTAS'!$A$5:$A$254,0)),"ID no encontrado"))</x:f>
      </x:c>
      <x:c r="F323" s="26" t="str"/>
      <x:c r="G323" s="27" t="str"/>
      <x:c r="H323" s="27" t="str"/>
      <x:c r="I323" s="26" t="str"/>
      <x:c r="J323" s="30" t="str"/>
      <x:c r="K323" s="28" t="str">
        <x:f>IF(B323="","",IF(ISNUMBER(H323),H323,IF(AND(ISNUMBER(G323),ISNUMBER(J323),J323&gt;0),ROUND(G323/J323,2),"")))</x:f>
      </x:c>
      <x:c r="L323" s="31" t="str"/>
      <x:c r="M323" s="26" t="str"/>
      <x:c r="N323" s="26" t="str">
        <x:v>Incluir</x:v>
      </x:c>
      <x:c r="O323" s="22" t="str"/>
      <x:c r="P323" s="22" t="str"/>
      <x:c r="Q323" s="22" t="str">
        <x:f>IF(B323="","",IF(C323="","Falta ID venta",IF(D323="ID no encontrado","ID venta inválido",IF(COUNTIFS('PAGOS'!$A$5:$A$504,A323,'PAGOS'!$B$5:$B$504,"&gt;0")&gt;1,"ID duplicado",IF(AND(L323&lt;&gt;"",COUNTIFS('PAGOS'!$L$5:$L$504,L323,'PAGOS'!$B$5:$B$504,B323,'PAGOS'!$F$5:$F$504,F323)&gt;1),"Referencia repetida",IF(N323&lt;&gt;"Incluir",N323,IF(NOT(ISNUMBER(K323)),"Falta equivalente","Aplicar")))))))</x:f>
      </x:c>
    </x:row>
    <x:row r="324" ht="25" customHeight="1">
      <x:c r="A324" s="22" t="str">
        <x:v>P-320</x:v>
      </x:c>
      <x:c r="B324" s="25" t="str"/>
      <x:c r="C324" s="26" t="str"/>
      <x:c r="D324" s="22" t="str">
        <x:f>IF(C324="","",IF(COUNTIFS('VENTAS'!$A$5:$A$254,C324,'VENTAS'!$C$5:$C$254,"&lt;&gt;")=1,INDEX('VENTAS'!$C$5:$C$254,MATCH(C324,'VENTAS'!$A$5:$A$254,0)),"ID no encontrado"))</x:f>
      </x:c>
      <x:c r="E324" s="22" t="str">
        <x:f>IF(C324="","",IF(COUNTIFS('VENTAS'!$A$5:$A$254,C324,'VENTAS'!$C$5:$C$254,"&lt;&gt;")=1,INDEX('VENTAS'!$D$5:$D$254,MATCH(C324,'VENTAS'!$A$5:$A$254,0)),"ID no encontrado"))</x:f>
      </x:c>
      <x:c r="F324" s="26" t="str"/>
      <x:c r="G324" s="27" t="str"/>
      <x:c r="H324" s="27" t="str"/>
      <x:c r="I324" s="26" t="str"/>
      <x:c r="J324" s="30" t="str"/>
      <x:c r="K324" s="28" t="str">
        <x:f>IF(B324="","",IF(ISNUMBER(H324),H324,IF(AND(ISNUMBER(G324),ISNUMBER(J324),J324&gt;0),ROUND(G324/J324,2),"")))</x:f>
      </x:c>
      <x:c r="L324" s="31" t="str"/>
      <x:c r="M324" s="26" t="str"/>
      <x:c r="N324" s="26" t="str">
        <x:v>Incluir</x:v>
      </x:c>
      <x:c r="O324" s="22" t="str"/>
      <x:c r="P324" s="22" t="str"/>
      <x:c r="Q324" s="22" t="str">
        <x:f>IF(B324="","",IF(C324="","Falta ID venta",IF(D324="ID no encontrado","ID venta inválido",IF(COUNTIFS('PAGOS'!$A$5:$A$504,A324,'PAGOS'!$B$5:$B$504,"&gt;0")&gt;1,"ID duplicado",IF(AND(L324&lt;&gt;"",COUNTIFS('PAGOS'!$L$5:$L$504,L324,'PAGOS'!$B$5:$B$504,B324,'PAGOS'!$F$5:$F$504,F324)&gt;1),"Referencia repetida",IF(N324&lt;&gt;"Incluir",N324,IF(NOT(ISNUMBER(K324)),"Falta equivalente","Aplicar")))))))</x:f>
      </x:c>
    </x:row>
    <x:row r="325" ht="25" customHeight="1">
      <x:c r="A325" s="22" t="str">
        <x:v>P-321</x:v>
      </x:c>
      <x:c r="B325" s="25" t="str"/>
      <x:c r="C325" s="26" t="str"/>
      <x:c r="D325" s="22" t="str">
        <x:f>IF(C325="","",IF(COUNTIFS('VENTAS'!$A$5:$A$254,C325,'VENTAS'!$C$5:$C$254,"&lt;&gt;")=1,INDEX('VENTAS'!$C$5:$C$254,MATCH(C325,'VENTAS'!$A$5:$A$254,0)),"ID no encontrado"))</x:f>
      </x:c>
      <x:c r="E325" s="22" t="str">
        <x:f>IF(C325="","",IF(COUNTIFS('VENTAS'!$A$5:$A$254,C325,'VENTAS'!$C$5:$C$254,"&lt;&gt;")=1,INDEX('VENTAS'!$D$5:$D$254,MATCH(C325,'VENTAS'!$A$5:$A$254,0)),"ID no encontrado"))</x:f>
      </x:c>
      <x:c r="F325" s="26" t="str"/>
      <x:c r="G325" s="27" t="str"/>
      <x:c r="H325" s="27" t="str"/>
      <x:c r="I325" s="26" t="str"/>
      <x:c r="J325" s="30" t="str"/>
      <x:c r="K325" s="28" t="str">
        <x:f>IF(B325="","",IF(ISNUMBER(H325),H325,IF(AND(ISNUMBER(G325),ISNUMBER(J325),J325&gt;0),ROUND(G325/J325,2),"")))</x:f>
      </x:c>
      <x:c r="L325" s="31" t="str"/>
      <x:c r="M325" s="26" t="str"/>
      <x:c r="N325" s="26" t="str">
        <x:v>Incluir</x:v>
      </x:c>
      <x:c r="O325" s="22" t="str"/>
      <x:c r="P325" s="22" t="str"/>
      <x:c r="Q325" s="22" t="str">
        <x:f>IF(B325="","",IF(C325="","Falta ID venta",IF(D325="ID no encontrado","ID venta inválido",IF(COUNTIFS('PAGOS'!$A$5:$A$504,A325,'PAGOS'!$B$5:$B$504,"&gt;0")&gt;1,"ID duplicado",IF(AND(L325&lt;&gt;"",COUNTIFS('PAGOS'!$L$5:$L$504,L325,'PAGOS'!$B$5:$B$504,B325,'PAGOS'!$F$5:$F$504,F325)&gt;1),"Referencia repetida",IF(N325&lt;&gt;"Incluir",N325,IF(NOT(ISNUMBER(K325)),"Falta equivalente","Aplicar")))))))</x:f>
      </x:c>
    </x:row>
    <x:row r="326" ht="25" customHeight="1">
      <x:c r="A326" s="22" t="str">
        <x:v>P-322</x:v>
      </x:c>
      <x:c r="B326" s="25" t="str"/>
      <x:c r="C326" s="26" t="str"/>
      <x:c r="D326" s="22" t="str">
        <x:f>IF(C326="","",IF(COUNTIFS('VENTAS'!$A$5:$A$254,C326,'VENTAS'!$C$5:$C$254,"&lt;&gt;")=1,INDEX('VENTAS'!$C$5:$C$254,MATCH(C326,'VENTAS'!$A$5:$A$254,0)),"ID no encontrado"))</x:f>
      </x:c>
      <x:c r="E326" s="22" t="str">
        <x:f>IF(C326="","",IF(COUNTIFS('VENTAS'!$A$5:$A$254,C326,'VENTAS'!$C$5:$C$254,"&lt;&gt;")=1,INDEX('VENTAS'!$D$5:$D$254,MATCH(C326,'VENTAS'!$A$5:$A$254,0)),"ID no encontrado"))</x:f>
      </x:c>
      <x:c r="F326" s="26" t="str"/>
      <x:c r="G326" s="27" t="str"/>
      <x:c r="H326" s="27" t="str"/>
      <x:c r="I326" s="26" t="str"/>
      <x:c r="J326" s="30" t="str"/>
      <x:c r="K326" s="28" t="str">
        <x:f>IF(B326="","",IF(ISNUMBER(H326),H326,IF(AND(ISNUMBER(G326),ISNUMBER(J326),J326&gt;0),ROUND(G326/J326,2),"")))</x:f>
      </x:c>
      <x:c r="L326" s="31" t="str"/>
      <x:c r="M326" s="26" t="str"/>
      <x:c r="N326" s="26" t="str">
        <x:v>Incluir</x:v>
      </x:c>
      <x:c r="O326" s="22" t="str"/>
      <x:c r="P326" s="22" t="str"/>
      <x:c r="Q326" s="22" t="str">
        <x:f>IF(B326="","",IF(C326="","Falta ID venta",IF(D326="ID no encontrado","ID venta inválido",IF(COUNTIFS('PAGOS'!$A$5:$A$504,A326,'PAGOS'!$B$5:$B$504,"&gt;0")&gt;1,"ID duplicado",IF(AND(L326&lt;&gt;"",COUNTIFS('PAGOS'!$L$5:$L$504,L326,'PAGOS'!$B$5:$B$504,B326,'PAGOS'!$F$5:$F$504,F326)&gt;1),"Referencia repetida",IF(N326&lt;&gt;"Incluir",N326,IF(NOT(ISNUMBER(K326)),"Falta equivalente","Aplicar")))))))</x:f>
      </x:c>
    </x:row>
    <x:row r="327" ht="25" customHeight="1">
      <x:c r="A327" s="22" t="str">
        <x:v>P-323</x:v>
      </x:c>
      <x:c r="B327" s="25" t="str"/>
      <x:c r="C327" s="26" t="str"/>
      <x:c r="D327" s="22" t="str">
        <x:f>IF(C327="","",IF(COUNTIFS('VENTAS'!$A$5:$A$254,C327,'VENTAS'!$C$5:$C$254,"&lt;&gt;")=1,INDEX('VENTAS'!$C$5:$C$254,MATCH(C327,'VENTAS'!$A$5:$A$254,0)),"ID no encontrado"))</x:f>
      </x:c>
      <x:c r="E327" s="22" t="str">
        <x:f>IF(C327="","",IF(COUNTIFS('VENTAS'!$A$5:$A$254,C327,'VENTAS'!$C$5:$C$254,"&lt;&gt;")=1,INDEX('VENTAS'!$D$5:$D$254,MATCH(C327,'VENTAS'!$A$5:$A$254,0)),"ID no encontrado"))</x:f>
      </x:c>
      <x:c r="F327" s="26" t="str"/>
      <x:c r="G327" s="27" t="str"/>
      <x:c r="H327" s="27" t="str"/>
      <x:c r="I327" s="26" t="str"/>
      <x:c r="J327" s="30" t="str"/>
      <x:c r="K327" s="28" t="str">
        <x:f>IF(B327="","",IF(ISNUMBER(H327),H327,IF(AND(ISNUMBER(G327),ISNUMBER(J327),J327&gt;0),ROUND(G327/J327,2),"")))</x:f>
      </x:c>
      <x:c r="L327" s="31" t="str"/>
      <x:c r="M327" s="26" t="str"/>
      <x:c r="N327" s="26" t="str">
        <x:v>Incluir</x:v>
      </x:c>
      <x:c r="O327" s="22" t="str"/>
      <x:c r="P327" s="22" t="str"/>
      <x:c r="Q327" s="22" t="str">
        <x:f>IF(B327="","",IF(C327="","Falta ID venta",IF(D327="ID no encontrado","ID venta inválido",IF(COUNTIFS('PAGOS'!$A$5:$A$504,A327,'PAGOS'!$B$5:$B$504,"&gt;0")&gt;1,"ID duplicado",IF(AND(L327&lt;&gt;"",COUNTIFS('PAGOS'!$L$5:$L$504,L327,'PAGOS'!$B$5:$B$504,B327,'PAGOS'!$F$5:$F$504,F327)&gt;1),"Referencia repetida",IF(N327&lt;&gt;"Incluir",N327,IF(NOT(ISNUMBER(K327)),"Falta equivalente","Aplicar")))))))</x:f>
      </x:c>
    </x:row>
    <x:row r="328" ht="25" customHeight="1">
      <x:c r="A328" s="22" t="str">
        <x:v>P-324</x:v>
      </x:c>
      <x:c r="B328" s="25" t="str"/>
      <x:c r="C328" s="26" t="str"/>
      <x:c r="D328" s="22" t="str">
        <x:f>IF(C328="","",IF(COUNTIFS('VENTAS'!$A$5:$A$254,C328,'VENTAS'!$C$5:$C$254,"&lt;&gt;")=1,INDEX('VENTAS'!$C$5:$C$254,MATCH(C328,'VENTAS'!$A$5:$A$254,0)),"ID no encontrado"))</x:f>
      </x:c>
      <x:c r="E328" s="22" t="str">
        <x:f>IF(C328="","",IF(COUNTIFS('VENTAS'!$A$5:$A$254,C328,'VENTAS'!$C$5:$C$254,"&lt;&gt;")=1,INDEX('VENTAS'!$D$5:$D$254,MATCH(C328,'VENTAS'!$A$5:$A$254,0)),"ID no encontrado"))</x:f>
      </x:c>
      <x:c r="F328" s="26" t="str"/>
      <x:c r="G328" s="27" t="str"/>
      <x:c r="H328" s="27" t="str"/>
      <x:c r="I328" s="26" t="str"/>
      <x:c r="J328" s="30" t="str"/>
      <x:c r="K328" s="28" t="str">
        <x:f>IF(B328="","",IF(ISNUMBER(H328),H328,IF(AND(ISNUMBER(G328),ISNUMBER(J328),J328&gt;0),ROUND(G328/J328,2),"")))</x:f>
      </x:c>
      <x:c r="L328" s="31" t="str"/>
      <x:c r="M328" s="26" t="str"/>
      <x:c r="N328" s="26" t="str">
        <x:v>Incluir</x:v>
      </x:c>
      <x:c r="O328" s="22" t="str"/>
      <x:c r="P328" s="22" t="str"/>
      <x:c r="Q328" s="22" t="str">
        <x:f>IF(B328="","",IF(C328="","Falta ID venta",IF(D328="ID no encontrado","ID venta inválido",IF(COUNTIFS('PAGOS'!$A$5:$A$504,A328,'PAGOS'!$B$5:$B$504,"&gt;0")&gt;1,"ID duplicado",IF(AND(L328&lt;&gt;"",COUNTIFS('PAGOS'!$L$5:$L$504,L328,'PAGOS'!$B$5:$B$504,B328,'PAGOS'!$F$5:$F$504,F328)&gt;1),"Referencia repetida",IF(N328&lt;&gt;"Incluir",N328,IF(NOT(ISNUMBER(K328)),"Falta equivalente","Aplicar")))))))</x:f>
      </x:c>
    </x:row>
    <x:row r="329" ht="25" customHeight="1">
      <x:c r="A329" s="22" t="str">
        <x:v>P-325</x:v>
      </x:c>
      <x:c r="B329" s="25" t="str"/>
      <x:c r="C329" s="26" t="str"/>
      <x:c r="D329" s="22" t="str">
        <x:f>IF(C329="","",IF(COUNTIFS('VENTAS'!$A$5:$A$254,C329,'VENTAS'!$C$5:$C$254,"&lt;&gt;")=1,INDEX('VENTAS'!$C$5:$C$254,MATCH(C329,'VENTAS'!$A$5:$A$254,0)),"ID no encontrado"))</x:f>
      </x:c>
      <x:c r="E329" s="22" t="str">
        <x:f>IF(C329="","",IF(COUNTIFS('VENTAS'!$A$5:$A$254,C329,'VENTAS'!$C$5:$C$254,"&lt;&gt;")=1,INDEX('VENTAS'!$D$5:$D$254,MATCH(C329,'VENTAS'!$A$5:$A$254,0)),"ID no encontrado"))</x:f>
      </x:c>
      <x:c r="F329" s="26" t="str"/>
      <x:c r="G329" s="27" t="str"/>
      <x:c r="H329" s="27" t="str"/>
      <x:c r="I329" s="26" t="str"/>
      <x:c r="J329" s="30" t="str"/>
      <x:c r="K329" s="28" t="str">
        <x:f>IF(B329="","",IF(ISNUMBER(H329),H329,IF(AND(ISNUMBER(G329),ISNUMBER(J329),J329&gt;0),ROUND(G329/J329,2),"")))</x:f>
      </x:c>
      <x:c r="L329" s="31" t="str"/>
      <x:c r="M329" s="26" t="str"/>
      <x:c r="N329" s="26" t="str">
        <x:v>Incluir</x:v>
      </x:c>
      <x:c r="O329" s="22" t="str"/>
      <x:c r="P329" s="22" t="str"/>
      <x:c r="Q329" s="22" t="str">
        <x:f>IF(B329="","",IF(C329="","Falta ID venta",IF(D329="ID no encontrado","ID venta inválido",IF(COUNTIFS('PAGOS'!$A$5:$A$504,A329,'PAGOS'!$B$5:$B$504,"&gt;0")&gt;1,"ID duplicado",IF(AND(L329&lt;&gt;"",COUNTIFS('PAGOS'!$L$5:$L$504,L329,'PAGOS'!$B$5:$B$504,B329,'PAGOS'!$F$5:$F$504,F329)&gt;1),"Referencia repetida",IF(N329&lt;&gt;"Incluir",N329,IF(NOT(ISNUMBER(K329)),"Falta equivalente","Aplicar")))))))</x:f>
      </x:c>
    </x:row>
    <x:row r="330" ht="25" customHeight="1">
      <x:c r="A330" s="22" t="str">
        <x:v>P-326</x:v>
      </x:c>
      <x:c r="B330" s="25" t="str"/>
      <x:c r="C330" s="26" t="str"/>
      <x:c r="D330" s="22" t="str">
        <x:f>IF(C330="","",IF(COUNTIFS('VENTAS'!$A$5:$A$254,C330,'VENTAS'!$C$5:$C$254,"&lt;&gt;")=1,INDEX('VENTAS'!$C$5:$C$254,MATCH(C330,'VENTAS'!$A$5:$A$254,0)),"ID no encontrado"))</x:f>
      </x:c>
      <x:c r="E330" s="22" t="str">
        <x:f>IF(C330="","",IF(COUNTIFS('VENTAS'!$A$5:$A$254,C330,'VENTAS'!$C$5:$C$254,"&lt;&gt;")=1,INDEX('VENTAS'!$D$5:$D$254,MATCH(C330,'VENTAS'!$A$5:$A$254,0)),"ID no encontrado"))</x:f>
      </x:c>
      <x:c r="F330" s="26" t="str"/>
      <x:c r="G330" s="27" t="str"/>
      <x:c r="H330" s="27" t="str"/>
      <x:c r="I330" s="26" t="str"/>
      <x:c r="J330" s="30" t="str"/>
      <x:c r="K330" s="28" t="str">
        <x:f>IF(B330="","",IF(ISNUMBER(H330),H330,IF(AND(ISNUMBER(G330),ISNUMBER(J330),J330&gt;0),ROUND(G330/J330,2),"")))</x:f>
      </x:c>
      <x:c r="L330" s="31" t="str"/>
      <x:c r="M330" s="26" t="str"/>
      <x:c r="N330" s="26" t="str">
        <x:v>Incluir</x:v>
      </x:c>
      <x:c r="O330" s="22" t="str"/>
      <x:c r="P330" s="22" t="str"/>
      <x:c r="Q330" s="22" t="str">
        <x:f>IF(B330="","",IF(C330="","Falta ID venta",IF(D330="ID no encontrado","ID venta inválido",IF(COUNTIFS('PAGOS'!$A$5:$A$504,A330,'PAGOS'!$B$5:$B$504,"&gt;0")&gt;1,"ID duplicado",IF(AND(L330&lt;&gt;"",COUNTIFS('PAGOS'!$L$5:$L$504,L330,'PAGOS'!$B$5:$B$504,B330,'PAGOS'!$F$5:$F$504,F330)&gt;1),"Referencia repetida",IF(N330&lt;&gt;"Incluir",N330,IF(NOT(ISNUMBER(K330)),"Falta equivalente","Aplicar")))))))</x:f>
      </x:c>
    </x:row>
    <x:row r="331" ht="25" customHeight="1">
      <x:c r="A331" s="22" t="str">
        <x:v>P-327</x:v>
      </x:c>
      <x:c r="B331" s="25" t="str"/>
      <x:c r="C331" s="26" t="str"/>
      <x:c r="D331" s="22" t="str">
        <x:f>IF(C331="","",IF(COUNTIFS('VENTAS'!$A$5:$A$254,C331,'VENTAS'!$C$5:$C$254,"&lt;&gt;")=1,INDEX('VENTAS'!$C$5:$C$254,MATCH(C331,'VENTAS'!$A$5:$A$254,0)),"ID no encontrado"))</x:f>
      </x:c>
      <x:c r="E331" s="22" t="str">
        <x:f>IF(C331="","",IF(COUNTIFS('VENTAS'!$A$5:$A$254,C331,'VENTAS'!$C$5:$C$254,"&lt;&gt;")=1,INDEX('VENTAS'!$D$5:$D$254,MATCH(C331,'VENTAS'!$A$5:$A$254,0)),"ID no encontrado"))</x:f>
      </x:c>
      <x:c r="F331" s="26" t="str"/>
      <x:c r="G331" s="27" t="str"/>
      <x:c r="H331" s="27" t="str"/>
      <x:c r="I331" s="26" t="str"/>
      <x:c r="J331" s="30" t="str"/>
      <x:c r="K331" s="28" t="str">
        <x:f>IF(B331="","",IF(ISNUMBER(H331),H331,IF(AND(ISNUMBER(G331),ISNUMBER(J331),J331&gt;0),ROUND(G331/J331,2),"")))</x:f>
      </x:c>
      <x:c r="L331" s="31" t="str"/>
      <x:c r="M331" s="26" t="str"/>
      <x:c r="N331" s="26" t="str">
        <x:v>Incluir</x:v>
      </x:c>
      <x:c r="O331" s="22" t="str"/>
      <x:c r="P331" s="22" t="str"/>
      <x:c r="Q331" s="22" t="str">
        <x:f>IF(B331="","",IF(C331="","Falta ID venta",IF(D331="ID no encontrado","ID venta inválido",IF(COUNTIFS('PAGOS'!$A$5:$A$504,A331,'PAGOS'!$B$5:$B$504,"&gt;0")&gt;1,"ID duplicado",IF(AND(L331&lt;&gt;"",COUNTIFS('PAGOS'!$L$5:$L$504,L331,'PAGOS'!$B$5:$B$504,B331,'PAGOS'!$F$5:$F$504,F331)&gt;1),"Referencia repetida",IF(N331&lt;&gt;"Incluir",N331,IF(NOT(ISNUMBER(K331)),"Falta equivalente","Aplicar")))))))</x:f>
      </x:c>
    </x:row>
    <x:row r="332" ht="25" customHeight="1">
      <x:c r="A332" s="22" t="str">
        <x:v>P-328</x:v>
      </x:c>
      <x:c r="B332" s="25" t="str"/>
      <x:c r="C332" s="26" t="str"/>
      <x:c r="D332" s="22" t="str">
        <x:f>IF(C332="","",IF(COUNTIFS('VENTAS'!$A$5:$A$254,C332,'VENTAS'!$C$5:$C$254,"&lt;&gt;")=1,INDEX('VENTAS'!$C$5:$C$254,MATCH(C332,'VENTAS'!$A$5:$A$254,0)),"ID no encontrado"))</x:f>
      </x:c>
      <x:c r="E332" s="22" t="str">
        <x:f>IF(C332="","",IF(COUNTIFS('VENTAS'!$A$5:$A$254,C332,'VENTAS'!$C$5:$C$254,"&lt;&gt;")=1,INDEX('VENTAS'!$D$5:$D$254,MATCH(C332,'VENTAS'!$A$5:$A$254,0)),"ID no encontrado"))</x:f>
      </x:c>
      <x:c r="F332" s="26" t="str"/>
      <x:c r="G332" s="27" t="str"/>
      <x:c r="H332" s="27" t="str"/>
      <x:c r="I332" s="26" t="str"/>
      <x:c r="J332" s="30" t="str"/>
      <x:c r="K332" s="28" t="str">
        <x:f>IF(B332="","",IF(ISNUMBER(H332),H332,IF(AND(ISNUMBER(G332),ISNUMBER(J332),J332&gt;0),ROUND(G332/J332,2),"")))</x:f>
      </x:c>
      <x:c r="L332" s="31" t="str"/>
      <x:c r="M332" s="26" t="str"/>
      <x:c r="N332" s="26" t="str">
        <x:v>Incluir</x:v>
      </x:c>
      <x:c r="O332" s="22" t="str"/>
      <x:c r="P332" s="22" t="str"/>
      <x:c r="Q332" s="22" t="str">
        <x:f>IF(B332="","",IF(C332="","Falta ID venta",IF(D332="ID no encontrado","ID venta inválido",IF(COUNTIFS('PAGOS'!$A$5:$A$504,A332,'PAGOS'!$B$5:$B$504,"&gt;0")&gt;1,"ID duplicado",IF(AND(L332&lt;&gt;"",COUNTIFS('PAGOS'!$L$5:$L$504,L332,'PAGOS'!$B$5:$B$504,B332,'PAGOS'!$F$5:$F$504,F332)&gt;1),"Referencia repetida",IF(N332&lt;&gt;"Incluir",N332,IF(NOT(ISNUMBER(K332)),"Falta equivalente","Aplicar")))))))</x:f>
      </x:c>
    </x:row>
    <x:row r="333" ht="25" customHeight="1">
      <x:c r="A333" s="22" t="str">
        <x:v>P-329</x:v>
      </x:c>
      <x:c r="B333" s="25" t="str"/>
      <x:c r="C333" s="26" t="str"/>
      <x:c r="D333" s="22" t="str">
        <x:f>IF(C333="","",IF(COUNTIFS('VENTAS'!$A$5:$A$254,C333,'VENTAS'!$C$5:$C$254,"&lt;&gt;")=1,INDEX('VENTAS'!$C$5:$C$254,MATCH(C333,'VENTAS'!$A$5:$A$254,0)),"ID no encontrado"))</x:f>
      </x:c>
      <x:c r="E333" s="22" t="str">
        <x:f>IF(C333="","",IF(COUNTIFS('VENTAS'!$A$5:$A$254,C333,'VENTAS'!$C$5:$C$254,"&lt;&gt;")=1,INDEX('VENTAS'!$D$5:$D$254,MATCH(C333,'VENTAS'!$A$5:$A$254,0)),"ID no encontrado"))</x:f>
      </x:c>
      <x:c r="F333" s="26" t="str"/>
      <x:c r="G333" s="27" t="str"/>
      <x:c r="H333" s="27" t="str"/>
      <x:c r="I333" s="26" t="str"/>
      <x:c r="J333" s="30" t="str"/>
      <x:c r="K333" s="28" t="str">
        <x:f>IF(B333="","",IF(ISNUMBER(H333),H333,IF(AND(ISNUMBER(G333),ISNUMBER(J333),J333&gt;0),ROUND(G333/J333,2),"")))</x:f>
      </x:c>
      <x:c r="L333" s="31" t="str"/>
      <x:c r="M333" s="26" t="str"/>
      <x:c r="N333" s="26" t="str">
        <x:v>Incluir</x:v>
      </x:c>
      <x:c r="O333" s="22" t="str"/>
      <x:c r="P333" s="22" t="str"/>
      <x:c r="Q333" s="22" t="str">
        <x:f>IF(B333="","",IF(C333="","Falta ID venta",IF(D333="ID no encontrado","ID venta inválido",IF(COUNTIFS('PAGOS'!$A$5:$A$504,A333,'PAGOS'!$B$5:$B$504,"&gt;0")&gt;1,"ID duplicado",IF(AND(L333&lt;&gt;"",COUNTIFS('PAGOS'!$L$5:$L$504,L333,'PAGOS'!$B$5:$B$504,B333,'PAGOS'!$F$5:$F$504,F333)&gt;1),"Referencia repetida",IF(N333&lt;&gt;"Incluir",N333,IF(NOT(ISNUMBER(K333)),"Falta equivalente","Aplicar")))))))</x:f>
      </x:c>
    </x:row>
    <x:row r="334" ht="25" customHeight="1">
      <x:c r="A334" s="22" t="str">
        <x:v>P-330</x:v>
      </x:c>
      <x:c r="B334" s="25" t="str"/>
      <x:c r="C334" s="26" t="str"/>
      <x:c r="D334" s="22" t="str">
        <x:f>IF(C334="","",IF(COUNTIFS('VENTAS'!$A$5:$A$254,C334,'VENTAS'!$C$5:$C$254,"&lt;&gt;")=1,INDEX('VENTAS'!$C$5:$C$254,MATCH(C334,'VENTAS'!$A$5:$A$254,0)),"ID no encontrado"))</x:f>
      </x:c>
      <x:c r="E334" s="22" t="str">
        <x:f>IF(C334="","",IF(COUNTIFS('VENTAS'!$A$5:$A$254,C334,'VENTAS'!$C$5:$C$254,"&lt;&gt;")=1,INDEX('VENTAS'!$D$5:$D$254,MATCH(C334,'VENTAS'!$A$5:$A$254,0)),"ID no encontrado"))</x:f>
      </x:c>
      <x:c r="F334" s="26" t="str"/>
      <x:c r="G334" s="27" t="str"/>
      <x:c r="H334" s="27" t="str"/>
      <x:c r="I334" s="26" t="str"/>
      <x:c r="J334" s="30" t="str"/>
      <x:c r="K334" s="28" t="str">
        <x:f>IF(B334="","",IF(ISNUMBER(H334),H334,IF(AND(ISNUMBER(G334),ISNUMBER(J334),J334&gt;0),ROUND(G334/J334,2),"")))</x:f>
      </x:c>
      <x:c r="L334" s="31" t="str"/>
      <x:c r="M334" s="26" t="str"/>
      <x:c r="N334" s="26" t="str">
        <x:v>Incluir</x:v>
      </x:c>
      <x:c r="O334" s="22" t="str"/>
      <x:c r="P334" s="22" t="str"/>
      <x:c r="Q334" s="22" t="str">
        <x:f>IF(B334="","",IF(C334="","Falta ID venta",IF(D334="ID no encontrado","ID venta inválido",IF(COUNTIFS('PAGOS'!$A$5:$A$504,A334,'PAGOS'!$B$5:$B$504,"&gt;0")&gt;1,"ID duplicado",IF(AND(L334&lt;&gt;"",COUNTIFS('PAGOS'!$L$5:$L$504,L334,'PAGOS'!$B$5:$B$504,B334,'PAGOS'!$F$5:$F$504,F334)&gt;1),"Referencia repetida",IF(N334&lt;&gt;"Incluir",N334,IF(NOT(ISNUMBER(K334)),"Falta equivalente","Aplicar")))))))</x:f>
      </x:c>
    </x:row>
    <x:row r="335" ht="25" customHeight="1">
      <x:c r="A335" s="22" t="str">
        <x:v>P-331</x:v>
      </x:c>
      <x:c r="B335" s="25" t="str"/>
      <x:c r="C335" s="26" t="str"/>
      <x:c r="D335" s="22" t="str">
        <x:f>IF(C335="","",IF(COUNTIFS('VENTAS'!$A$5:$A$254,C335,'VENTAS'!$C$5:$C$254,"&lt;&gt;")=1,INDEX('VENTAS'!$C$5:$C$254,MATCH(C335,'VENTAS'!$A$5:$A$254,0)),"ID no encontrado"))</x:f>
      </x:c>
      <x:c r="E335" s="22" t="str">
        <x:f>IF(C335="","",IF(COUNTIFS('VENTAS'!$A$5:$A$254,C335,'VENTAS'!$C$5:$C$254,"&lt;&gt;")=1,INDEX('VENTAS'!$D$5:$D$254,MATCH(C335,'VENTAS'!$A$5:$A$254,0)),"ID no encontrado"))</x:f>
      </x:c>
      <x:c r="F335" s="26" t="str"/>
      <x:c r="G335" s="27" t="str"/>
      <x:c r="H335" s="27" t="str"/>
      <x:c r="I335" s="26" t="str"/>
      <x:c r="J335" s="30" t="str"/>
      <x:c r="K335" s="28" t="str">
        <x:f>IF(B335="","",IF(ISNUMBER(H335),H335,IF(AND(ISNUMBER(G335),ISNUMBER(J335),J335&gt;0),ROUND(G335/J335,2),"")))</x:f>
      </x:c>
      <x:c r="L335" s="31" t="str"/>
      <x:c r="M335" s="26" t="str"/>
      <x:c r="N335" s="26" t="str">
        <x:v>Incluir</x:v>
      </x:c>
      <x:c r="O335" s="22" t="str"/>
      <x:c r="P335" s="22" t="str"/>
      <x:c r="Q335" s="22" t="str">
        <x:f>IF(B335="","",IF(C335="","Falta ID venta",IF(D335="ID no encontrado","ID venta inválido",IF(COUNTIFS('PAGOS'!$A$5:$A$504,A335,'PAGOS'!$B$5:$B$504,"&gt;0")&gt;1,"ID duplicado",IF(AND(L335&lt;&gt;"",COUNTIFS('PAGOS'!$L$5:$L$504,L335,'PAGOS'!$B$5:$B$504,B335,'PAGOS'!$F$5:$F$504,F335)&gt;1),"Referencia repetida",IF(N335&lt;&gt;"Incluir",N335,IF(NOT(ISNUMBER(K335)),"Falta equivalente","Aplicar")))))))</x:f>
      </x:c>
    </x:row>
    <x:row r="336" ht="25" customHeight="1">
      <x:c r="A336" s="22" t="str">
        <x:v>P-332</x:v>
      </x:c>
      <x:c r="B336" s="25" t="str"/>
      <x:c r="C336" s="26" t="str"/>
      <x:c r="D336" s="22" t="str">
        <x:f>IF(C336="","",IF(COUNTIFS('VENTAS'!$A$5:$A$254,C336,'VENTAS'!$C$5:$C$254,"&lt;&gt;")=1,INDEX('VENTAS'!$C$5:$C$254,MATCH(C336,'VENTAS'!$A$5:$A$254,0)),"ID no encontrado"))</x:f>
      </x:c>
      <x:c r="E336" s="22" t="str">
        <x:f>IF(C336="","",IF(COUNTIFS('VENTAS'!$A$5:$A$254,C336,'VENTAS'!$C$5:$C$254,"&lt;&gt;")=1,INDEX('VENTAS'!$D$5:$D$254,MATCH(C336,'VENTAS'!$A$5:$A$254,0)),"ID no encontrado"))</x:f>
      </x:c>
      <x:c r="F336" s="26" t="str"/>
      <x:c r="G336" s="27" t="str"/>
      <x:c r="H336" s="27" t="str"/>
      <x:c r="I336" s="26" t="str"/>
      <x:c r="J336" s="30" t="str"/>
      <x:c r="K336" s="28" t="str">
        <x:f>IF(B336="","",IF(ISNUMBER(H336),H336,IF(AND(ISNUMBER(G336),ISNUMBER(J336),J336&gt;0),ROUND(G336/J336,2),"")))</x:f>
      </x:c>
      <x:c r="L336" s="31" t="str"/>
      <x:c r="M336" s="26" t="str"/>
      <x:c r="N336" s="26" t="str">
        <x:v>Incluir</x:v>
      </x:c>
      <x:c r="O336" s="22" t="str"/>
      <x:c r="P336" s="22" t="str"/>
      <x:c r="Q336" s="22" t="str">
        <x:f>IF(B336="","",IF(C336="","Falta ID venta",IF(D336="ID no encontrado","ID venta inválido",IF(COUNTIFS('PAGOS'!$A$5:$A$504,A336,'PAGOS'!$B$5:$B$504,"&gt;0")&gt;1,"ID duplicado",IF(AND(L336&lt;&gt;"",COUNTIFS('PAGOS'!$L$5:$L$504,L336,'PAGOS'!$B$5:$B$504,B336,'PAGOS'!$F$5:$F$504,F336)&gt;1),"Referencia repetida",IF(N336&lt;&gt;"Incluir",N336,IF(NOT(ISNUMBER(K336)),"Falta equivalente","Aplicar")))))))</x:f>
      </x:c>
    </x:row>
    <x:row r="337" ht="25" customHeight="1">
      <x:c r="A337" s="22" t="str">
        <x:v>P-333</x:v>
      </x:c>
      <x:c r="B337" s="25" t="str"/>
      <x:c r="C337" s="26" t="str"/>
      <x:c r="D337" s="22" t="str">
        <x:f>IF(C337="","",IF(COUNTIFS('VENTAS'!$A$5:$A$254,C337,'VENTAS'!$C$5:$C$254,"&lt;&gt;")=1,INDEX('VENTAS'!$C$5:$C$254,MATCH(C337,'VENTAS'!$A$5:$A$254,0)),"ID no encontrado"))</x:f>
      </x:c>
      <x:c r="E337" s="22" t="str">
        <x:f>IF(C337="","",IF(COUNTIFS('VENTAS'!$A$5:$A$254,C337,'VENTAS'!$C$5:$C$254,"&lt;&gt;")=1,INDEX('VENTAS'!$D$5:$D$254,MATCH(C337,'VENTAS'!$A$5:$A$254,0)),"ID no encontrado"))</x:f>
      </x:c>
      <x:c r="F337" s="26" t="str"/>
      <x:c r="G337" s="27" t="str"/>
      <x:c r="H337" s="27" t="str"/>
      <x:c r="I337" s="26" t="str"/>
      <x:c r="J337" s="30" t="str"/>
      <x:c r="K337" s="28" t="str">
        <x:f>IF(B337="","",IF(ISNUMBER(H337),H337,IF(AND(ISNUMBER(G337),ISNUMBER(J337),J337&gt;0),ROUND(G337/J337,2),"")))</x:f>
      </x:c>
      <x:c r="L337" s="31" t="str"/>
      <x:c r="M337" s="26" t="str"/>
      <x:c r="N337" s="26" t="str">
        <x:v>Incluir</x:v>
      </x:c>
      <x:c r="O337" s="22" t="str"/>
      <x:c r="P337" s="22" t="str"/>
      <x:c r="Q337" s="22" t="str">
        <x:f>IF(B337="","",IF(C337="","Falta ID venta",IF(D337="ID no encontrado","ID venta inválido",IF(COUNTIFS('PAGOS'!$A$5:$A$504,A337,'PAGOS'!$B$5:$B$504,"&gt;0")&gt;1,"ID duplicado",IF(AND(L337&lt;&gt;"",COUNTIFS('PAGOS'!$L$5:$L$504,L337,'PAGOS'!$B$5:$B$504,B337,'PAGOS'!$F$5:$F$504,F337)&gt;1),"Referencia repetida",IF(N337&lt;&gt;"Incluir",N337,IF(NOT(ISNUMBER(K337)),"Falta equivalente","Aplicar")))))))</x:f>
      </x:c>
    </x:row>
    <x:row r="338" ht="25" customHeight="1">
      <x:c r="A338" s="22" t="str">
        <x:v>P-334</x:v>
      </x:c>
      <x:c r="B338" s="25" t="str"/>
      <x:c r="C338" s="26" t="str"/>
      <x:c r="D338" s="22" t="str">
        <x:f>IF(C338="","",IF(COUNTIFS('VENTAS'!$A$5:$A$254,C338,'VENTAS'!$C$5:$C$254,"&lt;&gt;")=1,INDEX('VENTAS'!$C$5:$C$254,MATCH(C338,'VENTAS'!$A$5:$A$254,0)),"ID no encontrado"))</x:f>
      </x:c>
      <x:c r="E338" s="22" t="str">
        <x:f>IF(C338="","",IF(COUNTIFS('VENTAS'!$A$5:$A$254,C338,'VENTAS'!$C$5:$C$254,"&lt;&gt;")=1,INDEX('VENTAS'!$D$5:$D$254,MATCH(C338,'VENTAS'!$A$5:$A$254,0)),"ID no encontrado"))</x:f>
      </x:c>
      <x:c r="F338" s="26" t="str"/>
      <x:c r="G338" s="27" t="str"/>
      <x:c r="H338" s="27" t="str"/>
      <x:c r="I338" s="26" t="str"/>
      <x:c r="J338" s="30" t="str"/>
      <x:c r="K338" s="28" t="str">
        <x:f>IF(B338="","",IF(ISNUMBER(H338),H338,IF(AND(ISNUMBER(G338),ISNUMBER(J338),J338&gt;0),ROUND(G338/J338,2),"")))</x:f>
      </x:c>
      <x:c r="L338" s="31" t="str"/>
      <x:c r="M338" s="26" t="str"/>
      <x:c r="N338" s="26" t="str">
        <x:v>Incluir</x:v>
      </x:c>
      <x:c r="O338" s="22" t="str"/>
      <x:c r="P338" s="22" t="str"/>
      <x:c r="Q338" s="22" t="str">
        <x:f>IF(B338="","",IF(C338="","Falta ID venta",IF(D338="ID no encontrado","ID venta inválido",IF(COUNTIFS('PAGOS'!$A$5:$A$504,A338,'PAGOS'!$B$5:$B$504,"&gt;0")&gt;1,"ID duplicado",IF(AND(L338&lt;&gt;"",COUNTIFS('PAGOS'!$L$5:$L$504,L338,'PAGOS'!$B$5:$B$504,B338,'PAGOS'!$F$5:$F$504,F338)&gt;1),"Referencia repetida",IF(N338&lt;&gt;"Incluir",N338,IF(NOT(ISNUMBER(K338)),"Falta equivalente","Aplicar")))))))</x:f>
      </x:c>
    </x:row>
    <x:row r="339" ht="25" customHeight="1">
      <x:c r="A339" s="22" t="str">
        <x:v>P-335</x:v>
      </x:c>
      <x:c r="B339" s="25" t="str"/>
      <x:c r="C339" s="26" t="str"/>
      <x:c r="D339" s="22" t="str">
        <x:f>IF(C339="","",IF(COUNTIFS('VENTAS'!$A$5:$A$254,C339,'VENTAS'!$C$5:$C$254,"&lt;&gt;")=1,INDEX('VENTAS'!$C$5:$C$254,MATCH(C339,'VENTAS'!$A$5:$A$254,0)),"ID no encontrado"))</x:f>
      </x:c>
      <x:c r="E339" s="22" t="str">
        <x:f>IF(C339="","",IF(COUNTIFS('VENTAS'!$A$5:$A$254,C339,'VENTAS'!$C$5:$C$254,"&lt;&gt;")=1,INDEX('VENTAS'!$D$5:$D$254,MATCH(C339,'VENTAS'!$A$5:$A$254,0)),"ID no encontrado"))</x:f>
      </x:c>
      <x:c r="F339" s="26" t="str"/>
      <x:c r="G339" s="27" t="str"/>
      <x:c r="H339" s="27" t="str"/>
      <x:c r="I339" s="26" t="str"/>
      <x:c r="J339" s="30" t="str"/>
      <x:c r="K339" s="28" t="str">
        <x:f>IF(B339="","",IF(ISNUMBER(H339),H339,IF(AND(ISNUMBER(G339),ISNUMBER(J339),J339&gt;0),ROUND(G339/J339,2),"")))</x:f>
      </x:c>
      <x:c r="L339" s="31" t="str"/>
      <x:c r="M339" s="26" t="str"/>
      <x:c r="N339" s="26" t="str">
        <x:v>Incluir</x:v>
      </x:c>
      <x:c r="O339" s="22" t="str"/>
      <x:c r="P339" s="22" t="str"/>
      <x:c r="Q339" s="22" t="str">
        <x:f>IF(B339="","",IF(C339="","Falta ID venta",IF(D339="ID no encontrado","ID venta inválido",IF(COUNTIFS('PAGOS'!$A$5:$A$504,A339,'PAGOS'!$B$5:$B$504,"&gt;0")&gt;1,"ID duplicado",IF(AND(L339&lt;&gt;"",COUNTIFS('PAGOS'!$L$5:$L$504,L339,'PAGOS'!$B$5:$B$504,B339,'PAGOS'!$F$5:$F$504,F339)&gt;1),"Referencia repetida",IF(N339&lt;&gt;"Incluir",N339,IF(NOT(ISNUMBER(K339)),"Falta equivalente","Aplicar")))))))</x:f>
      </x:c>
    </x:row>
    <x:row r="340" ht="25" customHeight="1">
      <x:c r="A340" s="22" t="str">
        <x:v>P-336</x:v>
      </x:c>
      <x:c r="B340" s="25" t="str"/>
      <x:c r="C340" s="26" t="str"/>
      <x:c r="D340" s="22" t="str">
        <x:f>IF(C340="","",IF(COUNTIFS('VENTAS'!$A$5:$A$254,C340,'VENTAS'!$C$5:$C$254,"&lt;&gt;")=1,INDEX('VENTAS'!$C$5:$C$254,MATCH(C340,'VENTAS'!$A$5:$A$254,0)),"ID no encontrado"))</x:f>
      </x:c>
      <x:c r="E340" s="22" t="str">
        <x:f>IF(C340="","",IF(COUNTIFS('VENTAS'!$A$5:$A$254,C340,'VENTAS'!$C$5:$C$254,"&lt;&gt;")=1,INDEX('VENTAS'!$D$5:$D$254,MATCH(C340,'VENTAS'!$A$5:$A$254,0)),"ID no encontrado"))</x:f>
      </x:c>
      <x:c r="F340" s="26" t="str"/>
      <x:c r="G340" s="27" t="str"/>
      <x:c r="H340" s="27" t="str"/>
      <x:c r="I340" s="26" t="str"/>
      <x:c r="J340" s="30" t="str"/>
      <x:c r="K340" s="28" t="str">
        <x:f>IF(B340="","",IF(ISNUMBER(H340),H340,IF(AND(ISNUMBER(G340),ISNUMBER(J340),J340&gt;0),ROUND(G340/J340,2),"")))</x:f>
      </x:c>
      <x:c r="L340" s="31" t="str"/>
      <x:c r="M340" s="26" t="str"/>
      <x:c r="N340" s="26" t="str">
        <x:v>Incluir</x:v>
      </x:c>
      <x:c r="O340" s="22" t="str"/>
      <x:c r="P340" s="22" t="str"/>
      <x:c r="Q340" s="22" t="str">
        <x:f>IF(B340="","",IF(C340="","Falta ID venta",IF(D340="ID no encontrado","ID venta inválido",IF(COUNTIFS('PAGOS'!$A$5:$A$504,A340,'PAGOS'!$B$5:$B$504,"&gt;0")&gt;1,"ID duplicado",IF(AND(L340&lt;&gt;"",COUNTIFS('PAGOS'!$L$5:$L$504,L340,'PAGOS'!$B$5:$B$504,B340,'PAGOS'!$F$5:$F$504,F340)&gt;1),"Referencia repetida",IF(N340&lt;&gt;"Incluir",N340,IF(NOT(ISNUMBER(K340)),"Falta equivalente","Aplicar")))))))</x:f>
      </x:c>
    </x:row>
    <x:row r="341" ht="25" customHeight="1">
      <x:c r="A341" s="22" t="str">
        <x:v>P-337</x:v>
      </x:c>
      <x:c r="B341" s="25" t="str"/>
      <x:c r="C341" s="26" t="str"/>
      <x:c r="D341" s="22" t="str">
        <x:f>IF(C341="","",IF(COUNTIFS('VENTAS'!$A$5:$A$254,C341,'VENTAS'!$C$5:$C$254,"&lt;&gt;")=1,INDEX('VENTAS'!$C$5:$C$254,MATCH(C341,'VENTAS'!$A$5:$A$254,0)),"ID no encontrado"))</x:f>
      </x:c>
      <x:c r="E341" s="22" t="str">
        <x:f>IF(C341="","",IF(COUNTIFS('VENTAS'!$A$5:$A$254,C341,'VENTAS'!$C$5:$C$254,"&lt;&gt;")=1,INDEX('VENTAS'!$D$5:$D$254,MATCH(C341,'VENTAS'!$A$5:$A$254,0)),"ID no encontrado"))</x:f>
      </x:c>
      <x:c r="F341" s="26" t="str"/>
      <x:c r="G341" s="27" t="str"/>
      <x:c r="H341" s="27" t="str"/>
      <x:c r="I341" s="26" t="str"/>
      <x:c r="J341" s="30" t="str"/>
      <x:c r="K341" s="28" t="str">
        <x:f>IF(B341="","",IF(ISNUMBER(H341),H341,IF(AND(ISNUMBER(G341),ISNUMBER(J341),J341&gt;0),ROUND(G341/J341,2),"")))</x:f>
      </x:c>
      <x:c r="L341" s="31" t="str"/>
      <x:c r="M341" s="26" t="str"/>
      <x:c r="N341" s="26" t="str">
        <x:v>Incluir</x:v>
      </x:c>
      <x:c r="O341" s="22" t="str"/>
      <x:c r="P341" s="22" t="str"/>
      <x:c r="Q341" s="22" t="str">
        <x:f>IF(B341="","",IF(C341="","Falta ID venta",IF(D341="ID no encontrado","ID venta inválido",IF(COUNTIFS('PAGOS'!$A$5:$A$504,A341,'PAGOS'!$B$5:$B$504,"&gt;0")&gt;1,"ID duplicado",IF(AND(L341&lt;&gt;"",COUNTIFS('PAGOS'!$L$5:$L$504,L341,'PAGOS'!$B$5:$B$504,B341,'PAGOS'!$F$5:$F$504,F341)&gt;1),"Referencia repetida",IF(N341&lt;&gt;"Incluir",N341,IF(NOT(ISNUMBER(K341)),"Falta equivalente","Aplicar")))))))</x:f>
      </x:c>
    </x:row>
    <x:row r="342" ht="25" customHeight="1">
      <x:c r="A342" s="22" t="str">
        <x:v>P-338</x:v>
      </x:c>
      <x:c r="B342" s="25" t="str"/>
      <x:c r="C342" s="26" t="str"/>
      <x:c r="D342" s="22" t="str">
        <x:f>IF(C342="","",IF(COUNTIFS('VENTAS'!$A$5:$A$254,C342,'VENTAS'!$C$5:$C$254,"&lt;&gt;")=1,INDEX('VENTAS'!$C$5:$C$254,MATCH(C342,'VENTAS'!$A$5:$A$254,0)),"ID no encontrado"))</x:f>
      </x:c>
      <x:c r="E342" s="22" t="str">
        <x:f>IF(C342="","",IF(COUNTIFS('VENTAS'!$A$5:$A$254,C342,'VENTAS'!$C$5:$C$254,"&lt;&gt;")=1,INDEX('VENTAS'!$D$5:$D$254,MATCH(C342,'VENTAS'!$A$5:$A$254,0)),"ID no encontrado"))</x:f>
      </x:c>
      <x:c r="F342" s="26" t="str"/>
      <x:c r="G342" s="27" t="str"/>
      <x:c r="H342" s="27" t="str"/>
      <x:c r="I342" s="26" t="str"/>
      <x:c r="J342" s="30" t="str"/>
      <x:c r="K342" s="28" t="str">
        <x:f>IF(B342="","",IF(ISNUMBER(H342),H342,IF(AND(ISNUMBER(G342),ISNUMBER(J342),J342&gt;0),ROUND(G342/J342,2),"")))</x:f>
      </x:c>
      <x:c r="L342" s="31" t="str"/>
      <x:c r="M342" s="26" t="str"/>
      <x:c r="N342" s="26" t="str">
        <x:v>Incluir</x:v>
      </x:c>
      <x:c r="O342" s="22" t="str"/>
      <x:c r="P342" s="22" t="str"/>
      <x:c r="Q342" s="22" t="str">
        <x:f>IF(B342="","",IF(C342="","Falta ID venta",IF(D342="ID no encontrado","ID venta inválido",IF(COUNTIFS('PAGOS'!$A$5:$A$504,A342,'PAGOS'!$B$5:$B$504,"&gt;0")&gt;1,"ID duplicado",IF(AND(L342&lt;&gt;"",COUNTIFS('PAGOS'!$L$5:$L$504,L342,'PAGOS'!$B$5:$B$504,B342,'PAGOS'!$F$5:$F$504,F342)&gt;1),"Referencia repetida",IF(N342&lt;&gt;"Incluir",N342,IF(NOT(ISNUMBER(K342)),"Falta equivalente","Aplicar")))))))</x:f>
      </x:c>
    </x:row>
    <x:row r="343" ht="25" customHeight="1">
      <x:c r="A343" s="22" t="str">
        <x:v>P-339</x:v>
      </x:c>
      <x:c r="B343" s="25" t="str"/>
      <x:c r="C343" s="26" t="str"/>
      <x:c r="D343" s="22" t="str">
        <x:f>IF(C343="","",IF(COUNTIFS('VENTAS'!$A$5:$A$254,C343,'VENTAS'!$C$5:$C$254,"&lt;&gt;")=1,INDEX('VENTAS'!$C$5:$C$254,MATCH(C343,'VENTAS'!$A$5:$A$254,0)),"ID no encontrado"))</x:f>
      </x:c>
      <x:c r="E343" s="22" t="str">
        <x:f>IF(C343="","",IF(COUNTIFS('VENTAS'!$A$5:$A$254,C343,'VENTAS'!$C$5:$C$254,"&lt;&gt;")=1,INDEX('VENTAS'!$D$5:$D$254,MATCH(C343,'VENTAS'!$A$5:$A$254,0)),"ID no encontrado"))</x:f>
      </x:c>
      <x:c r="F343" s="26" t="str"/>
      <x:c r="G343" s="27" t="str"/>
      <x:c r="H343" s="27" t="str"/>
      <x:c r="I343" s="26" t="str"/>
      <x:c r="J343" s="30" t="str"/>
      <x:c r="K343" s="28" t="str">
        <x:f>IF(B343="","",IF(ISNUMBER(H343),H343,IF(AND(ISNUMBER(G343),ISNUMBER(J343),J343&gt;0),ROUND(G343/J343,2),"")))</x:f>
      </x:c>
      <x:c r="L343" s="31" t="str"/>
      <x:c r="M343" s="26" t="str"/>
      <x:c r="N343" s="26" t="str">
        <x:v>Incluir</x:v>
      </x:c>
      <x:c r="O343" s="22" t="str"/>
      <x:c r="P343" s="22" t="str"/>
      <x:c r="Q343" s="22" t="str">
        <x:f>IF(B343="","",IF(C343="","Falta ID venta",IF(D343="ID no encontrado","ID venta inválido",IF(COUNTIFS('PAGOS'!$A$5:$A$504,A343,'PAGOS'!$B$5:$B$504,"&gt;0")&gt;1,"ID duplicado",IF(AND(L343&lt;&gt;"",COUNTIFS('PAGOS'!$L$5:$L$504,L343,'PAGOS'!$B$5:$B$504,B343,'PAGOS'!$F$5:$F$504,F343)&gt;1),"Referencia repetida",IF(N343&lt;&gt;"Incluir",N343,IF(NOT(ISNUMBER(K343)),"Falta equivalente","Aplicar")))))))</x:f>
      </x:c>
    </x:row>
    <x:row r="344" ht="25" customHeight="1">
      <x:c r="A344" s="22" t="str">
        <x:v>P-340</x:v>
      </x:c>
      <x:c r="B344" s="25" t="str"/>
      <x:c r="C344" s="26" t="str"/>
      <x:c r="D344" s="22" t="str">
        <x:f>IF(C344="","",IF(COUNTIFS('VENTAS'!$A$5:$A$254,C344,'VENTAS'!$C$5:$C$254,"&lt;&gt;")=1,INDEX('VENTAS'!$C$5:$C$254,MATCH(C344,'VENTAS'!$A$5:$A$254,0)),"ID no encontrado"))</x:f>
      </x:c>
      <x:c r="E344" s="22" t="str">
        <x:f>IF(C344="","",IF(COUNTIFS('VENTAS'!$A$5:$A$254,C344,'VENTAS'!$C$5:$C$254,"&lt;&gt;")=1,INDEX('VENTAS'!$D$5:$D$254,MATCH(C344,'VENTAS'!$A$5:$A$254,0)),"ID no encontrado"))</x:f>
      </x:c>
      <x:c r="F344" s="26" t="str"/>
      <x:c r="G344" s="27" t="str"/>
      <x:c r="H344" s="27" t="str"/>
      <x:c r="I344" s="26" t="str"/>
      <x:c r="J344" s="30" t="str"/>
      <x:c r="K344" s="28" t="str">
        <x:f>IF(B344="","",IF(ISNUMBER(H344),H344,IF(AND(ISNUMBER(G344),ISNUMBER(J344),J344&gt;0),ROUND(G344/J344,2),"")))</x:f>
      </x:c>
      <x:c r="L344" s="31" t="str"/>
      <x:c r="M344" s="26" t="str"/>
      <x:c r="N344" s="26" t="str">
        <x:v>Incluir</x:v>
      </x:c>
      <x:c r="O344" s="22" t="str"/>
      <x:c r="P344" s="22" t="str"/>
      <x:c r="Q344" s="22" t="str">
        <x:f>IF(B344="","",IF(C344="","Falta ID venta",IF(D344="ID no encontrado","ID venta inválido",IF(COUNTIFS('PAGOS'!$A$5:$A$504,A344,'PAGOS'!$B$5:$B$504,"&gt;0")&gt;1,"ID duplicado",IF(AND(L344&lt;&gt;"",COUNTIFS('PAGOS'!$L$5:$L$504,L344,'PAGOS'!$B$5:$B$504,B344,'PAGOS'!$F$5:$F$504,F344)&gt;1),"Referencia repetida",IF(N344&lt;&gt;"Incluir",N344,IF(NOT(ISNUMBER(K344)),"Falta equivalente","Aplicar")))))))</x:f>
      </x:c>
    </x:row>
    <x:row r="345" ht="25" customHeight="1">
      <x:c r="A345" s="22" t="str">
        <x:v>P-341</x:v>
      </x:c>
      <x:c r="B345" s="25" t="str"/>
      <x:c r="C345" s="26" t="str"/>
      <x:c r="D345" s="22" t="str">
        <x:f>IF(C345="","",IF(COUNTIFS('VENTAS'!$A$5:$A$254,C345,'VENTAS'!$C$5:$C$254,"&lt;&gt;")=1,INDEX('VENTAS'!$C$5:$C$254,MATCH(C345,'VENTAS'!$A$5:$A$254,0)),"ID no encontrado"))</x:f>
      </x:c>
      <x:c r="E345" s="22" t="str">
        <x:f>IF(C345="","",IF(COUNTIFS('VENTAS'!$A$5:$A$254,C345,'VENTAS'!$C$5:$C$254,"&lt;&gt;")=1,INDEX('VENTAS'!$D$5:$D$254,MATCH(C345,'VENTAS'!$A$5:$A$254,0)),"ID no encontrado"))</x:f>
      </x:c>
      <x:c r="F345" s="26" t="str"/>
      <x:c r="G345" s="27" t="str"/>
      <x:c r="H345" s="27" t="str"/>
      <x:c r="I345" s="26" t="str"/>
      <x:c r="J345" s="30" t="str"/>
      <x:c r="K345" s="28" t="str">
        <x:f>IF(B345="","",IF(ISNUMBER(H345),H345,IF(AND(ISNUMBER(G345),ISNUMBER(J345),J345&gt;0),ROUND(G345/J345,2),"")))</x:f>
      </x:c>
      <x:c r="L345" s="31" t="str"/>
      <x:c r="M345" s="26" t="str"/>
      <x:c r="N345" s="26" t="str">
        <x:v>Incluir</x:v>
      </x:c>
      <x:c r="O345" s="22" t="str"/>
      <x:c r="P345" s="22" t="str"/>
      <x:c r="Q345" s="22" t="str">
        <x:f>IF(B345="","",IF(C345="","Falta ID venta",IF(D345="ID no encontrado","ID venta inválido",IF(COUNTIFS('PAGOS'!$A$5:$A$504,A345,'PAGOS'!$B$5:$B$504,"&gt;0")&gt;1,"ID duplicado",IF(AND(L345&lt;&gt;"",COUNTIFS('PAGOS'!$L$5:$L$504,L345,'PAGOS'!$B$5:$B$504,B345,'PAGOS'!$F$5:$F$504,F345)&gt;1),"Referencia repetida",IF(N345&lt;&gt;"Incluir",N345,IF(NOT(ISNUMBER(K345)),"Falta equivalente","Aplicar")))))))</x:f>
      </x:c>
    </x:row>
    <x:row r="346" ht="25" customHeight="1">
      <x:c r="A346" s="22" t="str">
        <x:v>P-342</x:v>
      </x:c>
      <x:c r="B346" s="25" t="str"/>
      <x:c r="C346" s="26" t="str"/>
      <x:c r="D346" s="22" t="str">
        <x:f>IF(C346="","",IF(COUNTIFS('VENTAS'!$A$5:$A$254,C346,'VENTAS'!$C$5:$C$254,"&lt;&gt;")=1,INDEX('VENTAS'!$C$5:$C$254,MATCH(C346,'VENTAS'!$A$5:$A$254,0)),"ID no encontrado"))</x:f>
      </x:c>
      <x:c r="E346" s="22" t="str">
        <x:f>IF(C346="","",IF(COUNTIFS('VENTAS'!$A$5:$A$254,C346,'VENTAS'!$C$5:$C$254,"&lt;&gt;")=1,INDEX('VENTAS'!$D$5:$D$254,MATCH(C346,'VENTAS'!$A$5:$A$254,0)),"ID no encontrado"))</x:f>
      </x:c>
      <x:c r="F346" s="26" t="str"/>
      <x:c r="G346" s="27" t="str"/>
      <x:c r="H346" s="27" t="str"/>
      <x:c r="I346" s="26" t="str"/>
      <x:c r="J346" s="30" t="str"/>
      <x:c r="K346" s="28" t="str">
        <x:f>IF(B346="","",IF(ISNUMBER(H346),H346,IF(AND(ISNUMBER(G346),ISNUMBER(J346),J346&gt;0),ROUND(G346/J346,2),"")))</x:f>
      </x:c>
      <x:c r="L346" s="31" t="str"/>
      <x:c r="M346" s="26" t="str"/>
      <x:c r="N346" s="26" t="str">
        <x:v>Incluir</x:v>
      </x:c>
      <x:c r="O346" s="22" t="str"/>
      <x:c r="P346" s="22" t="str"/>
      <x:c r="Q346" s="22" t="str">
        <x:f>IF(B346="","",IF(C346="","Falta ID venta",IF(D346="ID no encontrado","ID venta inválido",IF(COUNTIFS('PAGOS'!$A$5:$A$504,A346,'PAGOS'!$B$5:$B$504,"&gt;0")&gt;1,"ID duplicado",IF(AND(L346&lt;&gt;"",COUNTIFS('PAGOS'!$L$5:$L$504,L346,'PAGOS'!$B$5:$B$504,B346,'PAGOS'!$F$5:$F$504,F346)&gt;1),"Referencia repetida",IF(N346&lt;&gt;"Incluir",N346,IF(NOT(ISNUMBER(K346)),"Falta equivalente","Aplicar")))))))</x:f>
      </x:c>
    </x:row>
    <x:row r="347" ht="25" customHeight="1">
      <x:c r="A347" s="22" t="str">
        <x:v>P-343</x:v>
      </x:c>
      <x:c r="B347" s="25" t="str"/>
      <x:c r="C347" s="26" t="str"/>
      <x:c r="D347" s="22" t="str">
        <x:f>IF(C347="","",IF(COUNTIFS('VENTAS'!$A$5:$A$254,C347,'VENTAS'!$C$5:$C$254,"&lt;&gt;")=1,INDEX('VENTAS'!$C$5:$C$254,MATCH(C347,'VENTAS'!$A$5:$A$254,0)),"ID no encontrado"))</x:f>
      </x:c>
      <x:c r="E347" s="22" t="str">
        <x:f>IF(C347="","",IF(COUNTIFS('VENTAS'!$A$5:$A$254,C347,'VENTAS'!$C$5:$C$254,"&lt;&gt;")=1,INDEX('VENTAS'!$D$5:$D$254,MATCH(C347,'VENTAS'!$A$5:$A$254,0)),"ID no encontrado"))</x:f>
      </x:c>
      <x:c r="F347" s="26" t="str"/>
      <x:c r="G347" s="27" t="str"/>
      <x:c r="H347" s="27" t="str"/>
      <x:c r="I347" s="26" t="str"/>
      <x:c r="J347" s="30" t="str"/>
      <x:c r="K347" s="28" t="str">
        <x:f>IF(B347="","",IF(ISNUMBER(H347),H347,IF(AND(ISNUMBER(G347),ISNUMBER(J347),J347&gt;0),ROUND(G347/J347,2),"")))</x:f>
      </x:c>
      <x:c r="L347" s="31" t="str"/>
      <x:c r="M347" s="26" t="str"/>
      <x:c r="N347" s="26" t="str">
        <x:v>Incluir</x:v>
      </x:c>
      <x:c r="O347" s="22" t="str"/>
      <x:c r="P347" s="22" t="str"/>
      <x:c r="Q347" s="22" t="str">
        <x:f>IF(B347="","",IF(C347="","Falta ID venta",IF(D347="ID no encontrado","ID venta inválido",IF(COUNTIFS('PAGOS'!$A$5:$A$504,A347,'PAGOS'!$B$5:$B$504,"&gt;0")&gt;1,"ID duplicado",IF(AND(L347&lt;&gt;"",COUNTIFS('PAGOS'!$L$5:$L$504,L347,'PAGOS'!$B$5:$B$504,B347,'PAGOS'!$F$5:$F$504,F347)&gt;1),"Referencia repetida",IF(N347&lt;&gt;"Incluir",N347,IF(NOT(ISNUMBER(K347)),"Falta equivalente","Aplicar")))))))</x:f>
      </x:c>
    </x:row>
    <x:row r="348" ht="25" customHeight="1">
      <x:c r="A348" s="22" t="str">
        <x:v>P-344</x:v>
      </x:c>
      <x:c r="B348" s="25" t="str"/>
      <x:c r="C348" s="26" t="str"/>
      <x:c r="D348" s="22" t="str">
        <x:f>IF(C348="","",IF(COUNTIFS('VENTAS'!$A$5:$A$254,C348,'VENTAS'!$C$5:$C$254,"&lt;&gt;")=1,INDEX('VENTAS'!$C$5:$C$254,MATCH(C348,'VENTAS'!$A$5:$A$254,0)),"ID no encontrado"))</x:f>
      </x:c>
      <x:c r="E348" s="22" t="str">
        <x:f>IF(C348="","",IF(COUNTIFS('VENTAS'!$A$5:$A$254,C348,'VENTAS'!$C$5:$C$254,"&lt;&gt;")=1,INDEX('VENTAS'!$D$5:$D$254,MATCH(C348,'VENTAS'!$A$5:$A$254,0)),"ID no encontrado"))</x:f>
      </x:c>
      <x:c r="F348" s="26" t="str"/>
      <x:c r="G348" s="27" t="str"/>
      <x:c r="H348" s="27" t="str"/>
      <x:c r="I348" s="26" t="str"/>
      <x:c r="J348" s="30" t="str"/>
      <x:c r="K348" s="28" t="str">
        <x:f>IF(B348="","",IF(ISNUMBER(H348),H348,IF(AND(ISNUMBER(G348),ISNUMBER(J348),J348&gt;0),ROUND(G348/J348,2),"")))</x:f>
      </x:c>
      <x:c r="L348" s="31" t="str"/>
      <x:c r="M348" s="26" t="str"/>
      <x:c r="N348" s="26" t="str">
        <x:v>Incluir</x:v>
      </x:c>
      <x:c r="O348" s="22" t="str"/>
      <x:c r="P348" s="22" t="str"/>
      <x:c r="Q348" s="22" t="str">
        <x:f>IF(B348="","",IF(C348="","Falta ID venta",IF(D348="ID no encontrado","ID venta inválido",IF(COUNTIFS('PAGOS'!$A$5:$A$504,A348,'PAGOS'!$B$5:$B$504,"&gt;0")&gt;1,"ID duplicado",IF(AND(L348&lt;&gt;"",COUNTIFS('PAGOS'!$L$5:$L$504,L348,'PAGOS'!$B$5:$B$504,B348,'PAGOS'!$F$5:$F$504,F348)&gt;1),"Referencia repetida",IF(N348&lt;&gt;"Incluir",N348,IF(NOT(ISNUMBER(K348)),"Falta equivalente","Aplicar")))))))</x:f>
      </x:c>
    </x:row>
    <x:row r="349" ht="25" customHeight="1">
      <x:c r="A349" s="22" t="str">
        <x:v>P-345</x:v>
      </x:c>
      <x:c r="B349" s="25" t="str"/>
      <x:c r="C349" s="26" t="str"/>
      <x:c r="D349" s="22" t="str">
        <x:f>IF(C349="","",IF(COUNTIFS('VENTAS'!$A$5:$A$254,C349,'VENTAS'!$C$5:$C$254,"&lt;&gt;")=1,INDEX('VENTAS'!$C$5:$C$254,MATCH(C349,'VENTAS'!$A$5:$A$254,0)),"ID no encontrado"))</x:f>
      </x:c>
      <x:c r="E349" s="22" t="str">
        <x:f>IF(C349="","",IF(COUNTIFS('VENTAS'!$A$5:$A$254,C349,'VENTAS'!$C$5:$C$254,"&lt;&gt;")=1,INDEX('VENTAS'!$D$5:$D$254,MATCH(C349,'VENTAS'!$A$5:$A$254,0)),"ID no encontrado"))</x:f>
      </x:c>
      <x:c r="F349" s="26" t="str"/>
      <x:c r="G349" s="27" t="str"/>
      <x:c r="H349" s="27" t="str"/>
      <x:c r="I349" s="26" t="str"/>
      <x:c r="J349" s="30" t="str"/>
      <x:c r="K349" s="28" t="str">
        <x:f>IF(B349="","",IF(ISNUMBER(H349),H349,IF(AND(ISNUMBER(G349),ISNUMBER(J349),J349&gt;0),ROUND(G349/J349,2),"")))</x:f>
      </x:c>
      <x:c r="L349" s="31" t="str"/>
      <x:c r="M349" s="26" t="str"/>
      <x:c r="N349" s="26" t="str">
        <x:v>Incluir</x:v>
      </x:c>
      <x:c r="O349" s="22" t="str"/>
      <x:c r="P349" s="22" t="str"/>
      <x:c r="Q349" s="22" t="str">
        <x:f>IF(B349="","",IF(C349="","Falta ID venta",IF(D349="ID no encontrado","ID venta inválido",IF(COUNTIFS('PAGOS'!$A$5:$A$504,A349,'PAGOS'!$B$5:$B$504,"&gt;0")&gt;1,"ID duplicado",IF(AND(L349&lt;&gt;"",COUNTIFS('PAGOS'!$L$5:$L$504,L349,'PAGOS'!$B$5:$B$504,B349,'PAGOS'!$F$5:$F$504,F349)&gt;1),"Referencia repetida",IF(N349&lt;&gt;"Incluir",N349,IF(NOT(ISNUMBER(K349)),"Falta equivalente","Aplicar")))))))</x:f>
      </x:c>
    </x:row>
    <x:row r="350" ht="25" customHeight="1">
      <x:c r="A350" s="22" t="str">
        <x:v>P-346</x:v>
      </x:c>
      <x:c r="B350" s="25" t="str"/>
      <x:c r="C350" s="26" t="str"/>
      <x:c r="D350" s="22" t="str">
        <x:f>IF(C350="","",IF(COUNTIFS('VENTAS'!$A$5:$A$254,C350,'VENTAS'!$C$5:$C$254,"&lt;&gt;")=1,INDEX('VENTAS'!$C$5:$C$254,MATCH(C350,'VENTAS'!$A$5:$A$254,0)),"ID no encontrado"))</x:f>
      </x:c>
      <x:c r="E350" s="22" t="str">
        <x:f>IF(C350="","",IF(COUNTIFS('VENTAS'!$A$5:$A$254,C350,'VENTAS'!$C$5:$C$254,"&lt;&gt;")=1,INDEX('VENTAS'!$D$5:$D$254,MATCH(C350,'VENTAS'!$A$5:$A$254,0)),"ID no encontrado"))</x:f>
      </x:c>
      <x:c r="F350" s="26" t="str"/>
      <x:c r="G350" s="27" t="str"/>
      <x:c r="H350" s="27" t="str"/>
      <x:c r="I350" s="26" t="str"/>
      <x:c r="J350" s="30" t="str"/>
      <x:c r="K350" s="28" t="str">
        <x:f>IF(B350="","",IF(ISNUMBER(H350),H350,IF(AND(ISNUMBER(G350),ISNUMBER(J350),J350&gt;0),ROUND(G350/J350,2),"")))</x:f>
      </x:c>
      <x:c r="L350" s="31" t="str"/>
      <x:c r="M350" s="26" t="str"/>
      <x:c r="N350" s="26" t="str">
        <x:v>Incluir</x:v>
      </x:c>
      <x:c r="O350" s="22" t="str"/>
      <x:c r="P350" s="22" t="str"/>
      <x:c r="Q350" s="22" t="str">
        <x:f>IF(B350="","",IF(C350="","Falta ID venta",IF(D350="ID no encontrado","ID venta inválido",IF(COUNTIFS('PAGOS'!$A$5:$A$504,A350,'PAGOS'!$B$5:$B$504,"&gt;0")&gt;1,"ID duplicado",IF(AND(L350&lt;&gt;"",COUNTIFS('PAGOS'!$L$5:$L$504,L350,'PAGOS'!$B$5:$B$504,B350,'PAGOS'!$F$5:$F$504,F350)&gt;1),"Referencia repetida",IF(N350&lt;&gt;"Incluir",N350,IF(NOT(ISNUMBER(K350)),"Falta equivalente","Aplicar")))))))</x:f>
      </x:c>
    </x:row>
    <x:row r="351" ht="25" customHeight="1">
      <x:c r="A351" s="22" t="str">
        <x:v>P-347</x:v>
      </x:c>
      <x:c r="B351" s="25" t="str"/>
      <x:c r="C351" s="26" t="str"/>
      <x:c r="D351" s="22" t="str">
        <x:f>IF(C351="","",IF(COUNTIFS('VENTAS'!$A$5:$A$254,C351,'VENTAS'!$C$5:$C$254,"&lt;&gt;")=1,INDEX('VENTAS'!$C$5:$C$254,MATCH(C351,'VENTAS'!$A$5:$A$254,0)),"ID no encontrado"))</x:f>
      </x:c>
      <x:c r="E351" s="22" t="str">
        <x:f>IF(C351="","",IF(COUNTIFS('VENTAS'!$A$5:$A$254,C351,'VENTAS'!$C$5:$C$254,"&lt;&gt;")=1,INDEX('VENTAS'!$D$5:$D$254,MATCH(C351,'VENTAS'!$A$5:$A$254,0)),"ID no encontrado"))</x:f>
      </x:c>
      <x:c r="F351" s="26" t="str"/>
      <x:c r="G351" s="27" t="str"/>
      <x:c r="H351" s="27" t="str"/>
      <x:c r="I351" s="26" t="str"/>
      <x:c r="J351" s="30" t="str"/>
      <x:c r="K351" s="28" t="str">
        <x:f>IF(B351="","",IF(ISNUMBER(H351),H351,IF(AND(ISNUMBER(G351),ISNUMBER(J351),J351&gt;0),ROUND(G351/J351,2),"")))</x:f>
      </x:c>
      <x:c r="L351" s="31" t="str"/>
      <x:c r="M351" s="26" t="str"/>
      <x:c r="N351" s="26" t="str">
        <x:v>Incluir</x:v>
      </x:c>
      <x:c r="O351" s="22" t="str"/>
      <x:c r="P351" s="22" t="str"/>
      <x:c r="Q351" s="22" t="str">
        <x:f>IF(B351="","",IF(C351="","Falta ID venta",IF(D351="ID no encontrado","ID venta inválido",IF(COUNTIFS('PAGOS'!$A$5:$A$504,A351,'PAGOS'!$B$5:$B$504,"&gt;0")&gt;1,"ID duplicado",IF(AND(L351&lt;&gt;"",COUNTIFS('PAGOS'!$L$5:$L$504,L351,'PAGOS'!$B$5:$B$504,B351,'PAGOS'!$F$5:$F$504,F351)&gt;1),"Referencia repetida",IF(N351&lt;&gt;"Incluir",N351,IF(NOT(ISNUMBER(K351)),"Falta equivalente","Aplicar")))))))</x:f>
      </x:c>
    </x:row>
    <x:row r="352" ht="25" customHeight="1">
      <x:c r="A352" s="22" t="str">
        <x:v>P-348</x:v>
      </x:c>
      <x:c r="B352" s="25" t="str"/>
      <x:c r="C352" s="26" t="str"/>
      <x:c r="D352" s="22" t="str">
        <x:f>IF(C352="","",IF(COUNTIFS('VENTAS'!$A$5:$A$254,C352,'VENTAS'!$C$5:$C$254,"&lt;&gt;")=1,INDEX('VENTAS'!$C$5:$C$254,MATCH(C352,'VENTAS'!$A$5:$A$254,0)),"ID no encontrado"))</x:f>
      </x:c>
      <x:c r="E352" s="22" t="str">
        <x:f>IF(C352="","",IF(COUNTIFS('VENTAS'!$A$5:$A$254,C352,'VENTAS'!$C$5:$C$254,"&lt;&gt;")=1,INDEX('VENTAS'!$D$5:$D$254,MATCH(C352,'VENTAS'!$A$5:$A$254,0)),"ID no encontrado"))</x:f>
      </x:c>
      <x:c r="F352" s="26" t="str"/>
      <x:c r="G352" s="27" t="str"/>
      <x:c r="H352" s="27" t="str"/>
      <x:c r="I352" s="26" t="str"/>
      <x:c r="J352" s="30" t="str"/>
      <x:c r="K352" s="28" t="str">
        <x:f>IF(B352="","",IF(ISNUMBER(H352),H352,IF(AND(ISNUMBER(G352),ISNUMBER(J352),J352&gt;0),ROUND(G352/J352,2),"")))</x:f>
      </x:c>
      <x:c r="L352" s="31" t="str"/>
      <x:c r="M352" s="26" t="str"/>
      <x:c r="N352" s="26" t="str">
        <x:v>Incluir</x:v>
      </x:c>
      <x:c r="O352" s="22" t="str"/>
      <x:c r="P352" s="22" t="str"/>
      <x:c r="Q352" s="22" t="str">
        <x:f>IF(B352="","",IF(C352="","Falta ID venta",IF(D352="ID no encontrado","ID venta inválido",IF(COUNTIFS('PAGOS'!$A$5:$A$504,A352,'PAGOS'!$B$5:$B$504,"&gt;0")&gt;1,"ID duplicado",IF(AND(L352&lt;&gt;"",COUNTIFS('PAGOS'!$L$5:$L$504,L352,'PAGOS'!$B$5:$B$504,B352,'PAGOS'!$F$5:$F$504,F352)&gt;1),"Referencia repetida",IF(N352&lt;&gt;"Incluir",N352,IF(NOT(ISNUMBER(K352)),"Falta equivalente","Aplicar")))))))</x:f>
      </x:c>
    </x:row>
    <x:row r="353" ht="25" customHeight="1">
      <x:c r="A353" s="22" t="str">
        <x:v>P-349</x:v>
      </x:c>
      <x:c r="B353" s="25" t="str"/>
      <x:c r="C353" s="26" t="str"/>
      <x:c r="D353" s="22" t="str">
        <x:f>IF(C353="","",IF(COUNTIFS('VENTAS'!$A$5:$A$254,C353,'VENTAS'!$C$5:$C$254,"&lt;&gt;")=1,INDEX('VENTAS'!$C$5:$C$254,MATCH(C353,'VENTAS'!$A$5:$A$254,0)),"ID no encontrado"))</x:f>
      </x:c>
      <x:c r="E353" s="22" t="str">
        <x:f>IF(C353="","",IF(COUNTIFS('VENTAS'!$A$5:$A$254,C353,'VENTAS'!$C$5:$C$254,"&lt;&gt;")=1,INDEX('VENTAS'!$D$5:$D$254,MATCH(C353,'VENTAS'!$A$5:$A$254,0)),"ID no encontrado"))</x:f>
      </x:c>
      <x:c r="F353" s="26" t="str"/>
      <x:c r="G353" s="27" t="str"/>
      <x:c r="H353" s="27" t="str"/>
      <x:c r="I353" s="26" t="str"/>
      <x:c r="J353" s="30" t="str"/>
      <x:c r="K353" s="28" t="str">
        <x:f>IF(B353="","",IF(ISNUMBER(H353),H353,IF(AND(ISNUMBER(G353),ISNUMBER(J353),J353&gt;0),ROUND(G353/J353,2),"")))</x:f>
      </x:c>
      <x:c r="L353" s="31" t="str"/>
      <x:c r="M353" s="26" t="str"/>
      <x:c r="N353" s="26" t="str">
        <x:v>Incluir</x:v>
      </x:c>
      <x:c r="O353" s="22" t="str"/>
      <x:c r="P353" s="22" t="str"/>
      <x:c r="Q353" s="22" t="str">
        <x:f>IF(B353="","",IF(C353="","Falta ID venta",IF(D353="ID no encontrado","ID venta inválido",IF(COUNTIFS('PAGOS'!$A$5:$A$504,A353,'PAGOS'!$B$5:$B$504,"&gt;0")&gt;1,"ID duplicado",IF(AND(L353&lt;&gt;"",COUNTIFS('PAGOS'!$L$5:$L$504,L353,'PAGOS'!$B$5:$B$504,B353,'PAGOS'!$F$5:$F$504,F353)&gt;1),"Referencia repetida",IF(N353&lt;&gt;"Incluir",N353,IF(NOT(ISNUMBER(K353)),"Falta equivalente","Aplicar")))))))</x:f>
      </x:c>
    </x:row>
    <x:row r="354" ht="25" customHeight="1">
      <x:c r="A354" s="22" t="str">
        <x:v>P-350</x:v>
      </x:c>
      <x:c r="B354" s="25" t="str"/>
      <x:c r="C354" s="26" t="str"/>
      <x:c r="D354" s="22" t="str">
        <x:f>IF(C354="","",IF(COUNTIFS('VENTAS'!$A$5:$A$254,C354,'VENTAS'!$C$5:$C$254,"&lt;&gt;")=1,INDEX('VENTAS'!$C$5:$C$254,MATCH(C354,'VENTAS'!$A$5:$A$254,0)),"ID no encontrado"))</x:f>
      </x:c>
      <x:c r="E354" s="22" t="str">
        <x:f>IF(C354="","",IF(COUNTIFS('VENTAS'!$A$5:$A$254,C354,'VENTAS'!$C$5:$C$254,"&lt;&gt;")=1,INDEX('VENTAS'!$D$5:$D$254,MATCH(C354,'VENTAS'!$A$5:$A$254,0)),"ID no encontrado"))</x:f>
      </x:c>
      <x:c r="F354" s="26" t="str"/>
      <x:c r="G354" s="27" t="str"/>
      <x:c r="H354" s="27" t="str"/>
      <x:c r="I354" s="26" t="str"/>
      <x:c r="J354" s="30" t="str"/>
      <x:c r="K354" s="28" t="str">
        <x:f>IF(B354="","",IF(ISNUMBER(H354),H354,IF(AND(ISNUMBER(G354),ISNUMBER(J354),J354&gt;0),ROUND(G354/J354,2),"")))</x:f>
      </x:c>
      <x:c r="L354" s="31" t="str"/>
      <x:c r="M354" s="26" t="str"/>
      <x:c r="N354" s="26" t="str">
        <x:v>Incluir</x:v>
      </x:c>
      <x:c r="O354" s="22" t="str"/>
      <x:c r="P354" s="22" t="str"/>
      <x:c r="Q354" s="22" t="str">
        <x:f>IF(B354="","",IF(C354="","Falta ID venta",IF(D354="ID no encontrado","ID venta inválido",IF(COUNTIFS('PAGOS'!$A$5:$A$504,A354,'PAGOS'!$B$5:$B$504,"&gt;0")&gt;1,"ID duplicado",IF(AND(L354&lt;&gt;"",COUNTIFS('PAGOS'!$L$5:$L$504,L354,'PAGOS'!$B$5:$B$504,B354,'PAGOS'!$F$5:$F$504,F354)&gt;1),"Referencia repetida",IF(N354&lt;&gt;"Incluir",N354,IF(NOT(ISNUMBER(K354)),"Falta equivalente","Aplicar")))))))</x:f>
      </x:c>
    </x:row>
    <x:row r="355" ht="25" customHeight="1">
      <x:c r="A355" s="22" t="str">
        <x:v>P-351</x:v>
      </x:c>
      <x:c r="B355" s="25" t="str"/>
      <x:c r="C355" s="26" t="str"/>
      <x:c r="D355" s="22" t="str">
        <x:f>IF(C355="","",IF(COUNTIFS('VENTAS'!$A$5:$A$254,C355,'VENTAS'!$C$5:$C$254,"&lt;&gt;")=1,INDEX('VENTAS'!$C$5:$C$254,MATCH(C355,'VENTAS'!$A$5:$A$254,0)),"ID no encontrado"))</x:f>
      </x:c>
      <x:c r="E355" s="22" t="str">
        <x:f>IF(C355="","",IF(COUNTIFS('VENTAS'!$A$5:$A$254,C355,'VENTAS'!$C$5:$C$254,"&lt;&gt;")=1,INDEX('VENTAS'!$D$5:$D$254,MATCH(C355,'VENTAS'!$A$5:$A$254,0)),"ID no encontrado"))</x:f>
      </x:c>
      <x:c r="F355" s="26" t="str"/>
      <x:c r="G355" s="27" t="str"/>
      <x:c r="H355" s="27" t="str"/>
      <x:c r="I355" s="26" t="str"/>
      <x:c r="J355" s="30" t="str"/>
      <x:c r="K355" s="28" t="str">
        <x:f>IF(B355="","",IF(ISNUMBER(H355),H355,IF(AND(ISNUMBER(G355),ISNUMBER(J355),J355&gt;0),ROUND(G355/J355,2),"")))</x:f>
      </x:c>
      <x:c r="L355" s="31" t="str"/>
      <x:c r="M355" s="26" t="str"/>
      <x:c r="N355" s="26" t="str">
        <x:v>Incluir</x:v>
      </x:c>
      <x:c r="O355" s="22" t="str"/>
      <x:c r="P355" s="22" t="str"/>
      <x:c r="Q355" s="22" t="str">
        <x:f>IF(B355="","",IF(C355="","Falta ID venta",IF(D355="ID no encontrado","ID venta inválido",IF(COUNTIFS('PAGOS'!$A$5:$A$504,A355,'PAGOS'!$B$5:$B$504,"&gt;0")&gt;1,"ID duplicado",IF(AND(L355&lt;&gt;"",COUNTIFS('PAGOS'!$L$5:$L$504,L355,'PAGOS'!$B$5:$B$504,B355,'PAGOS'!$F$5:$F$504,F355)&gt;1),"Referencia repetida",IF(N355&lt;&gt;"Incluir",N355,IF(NOT(ISNUMBER(K355)),"Falta equivalente","Aplicar")))))))</x:f>
      </x:c>
    </x:row>
    <x:row r="356" ht="25" customHeight="1">
      <x:c r="A356" s="22" t="str">
        <x:v>P-352</x:v>
      </x:c>
      <x:c r="B356" s="25" t="str"/>
      <x:c r="C356" s="26" t="str"/>
      <x:c r="D356" s="22" t="str">
        <x:f>IF(C356="","",IF(COUNTIFS('VENTAS'!$A$5:$A$254,C356,'VENTAS'!$C$5:$C$254,"&lt;&gt;")=1,INDEX('VENTAS'!$C$5:$C$254,MATCH(C356,'VENTAS'!$A$5:$A$254,0)),"ID no encontrado"))</x:f>
      </x:c>
      <x:c r="E356" s="22" t="str">
        <x:f>IF(C356="","",IF(COUNTIFS('VENTAS'!$A$5:$A$254,C356,'VENTAS'!$C$5:$C$254,"&lt;&gt;")=1,INDEX('VENTAS'!$D$5:$D$254,MATCH(C356,'VENTAS'!$A$5:$A$254,0)),"ID no encontrado"))</x:f>
      </x:c>
      <x:c r="F356" s="26" t="str"/>
      <x:c r="G356" s="27" t="str"/>
      <x:c r="H356" s="27" t="str"/>
      <x:c r="I356" s="26" t="str"/>
      <x:c r="J356" s="30" t="str"/>
      <x:c r="K356" s="28" t="str">
        <x:f>IF(B356="","",IF(ISNUMBER(H356),H356,IF(AND(ISNUMBER(G356),ISNUMBER(J356),J356&gt;0),ROUND(G356/J356,2),"")))</x:f>
      </x:c>
      <x:c r="L356" s="31" t="str"/>
      <x:c r="M356" s="26" t="str"/>
      <x:c r="N356" s="26" t="str">
        <x:v>Incluir</x:v>
      </x:c>
      <x:c r="O356" s="22" t="str"/>
      <x:c r="P356" s="22" t="str"/>
      <x:c r="Q356" s="22" t="str">
        <x:f>IF(B356="","",IF(C356="","Falta ID venta",IF(D356="ID no encontrado","ID venta inválido",IF(COUNTIFS('PAGOS'!$A$5:$A$504,A356,'PAGOS'!$B$5:$B$504,"&gt;0")&gt;1,"ID duplicado",IF(AND(L356&lt;&gt;"",COUNTIFS('PAGOS'!$L$5:$L$504,L356,'PAGOS'!$B$5:$B$504,B356,'PAGOS'!$F$5:$F$504,F356)&gt;1),"Referencia repetida",IF(N356&lt;&gt;"Incluir",N356,IF(NOT(ISNUMBER(K356)),"Falta equivalente","Aplicar")))))))</x:f>
      </x:c>
    </x:row>
    <x:row r="357" ht="25" customHeight="1">
      <x:c r="A357" s="22" t="str">
        <x:v>P-353</x:v>
      </x:c>
      <x:c r="B357" s="25" t="str"/>
      <x:c r="C357" s="26" t="str"/>
      <x:c r="D357" s="22" t="str">
        <x:f>IF(C357="","",IF(COUNTIFS('VENTAS'!$A$5:$A$254,C357,'VENTAS'!$C$5:$C$254,"&lt;&gt;")=1,INDEX('VENTAS'!$C$5:$C$254,MATCH(C357,'VENTAS'!$A$5:$A$254,0)),"ID no encontrado"))</x:f>
      </x:c>
      <x:c r="E357" s="22" t="str">
        <x:f>IF(C357="","",IF(COUNTIFS('VENTAS'!$A$5:$A$254,C357,'VENTAS'!$C$5:$C$254,"&lt;&gt;")=1,INDEX('VENTAS'!$D$5:$D$254,MATCH(C357,'VENTAS'!$A$5:$A$254,0)),"ID no encontrado"))</x:f>
      </x:c>
      <x:c r="F357" s="26" t="str"/>
      <x:c r="G357" s="27" t="str"/>
      <x:c r="H357" s="27" t="str"/>
      <x:c r="I357" s="26" t="str"/>
      <x:c r="J357" s="30" t="str"/>
      <x:c r="K357" s="28" t="str">
        <x:f>IF(B357="","",IF(ISNUMBER(H357),H357,IF(AND(ISNUMBER(G357),ISNUMBER(J357),J357&gt;0),ROUND(G357/J357,2),"")))</x:f>
      </x:c>
      <x:c r="L357" s="31" t="str"/>
      <x:c r="M357" s="26" t="str"/>
      <x:c r="N357" s="26" t="str">
        <x:v>Incluir</x:v>
      </x:c>
      <x:c r="O357" s="22" t="str"/>
      <x:c r="P357" s="22" t="str"/>
      <x:c r="Q357" s="22" t="str">
        <x:f>IF(B357="","",IF(C357="","Falta ID venta",IF(D357="ID no encontrado","ID venta inválido",IF(COUNTIFS('PAGOS'!$A$5:$A$504,A357,'PAGOS'!$B$5:$B$504,"&gt;0")&gt;1,"ID duplicado",IF(AND(L357&lt;&gt;"",COUNTIFS('PAGOS'!$L$5:$L$504,L357,'PAGOS'!$B$5:$B$504,B357,'PAGOS'!$F$5:$F$504,F357)&gt;1),"Referencia repetida",IF(N357&lt;&gt;"Incluir",N357,IF(NOT(ISNUMBER(K357)),"Falta equivalente","Aplicar")))))))</x:f>
      </x:c>
    </x:row>
    <x:row r="358" ht="25" customHeight="1">
      <x:c r="A358" s="22" t="str">
        <x:v>P-354</x:v>
      </x:c>
      <x:c r="B358" s="25" t="str"/>
      <x:c r="C358" s="26" t="str"/>
      <x:c r="D358" s="22" t="str">
        <x:f>IF(C358="","",IF(COUNTIFS('VENTAS'!$A$5:$A$254,C358,'VENTAS'!$C$5:$C$254,"&lt;&gt;")=1,INDEX('VENTAS'!$C$5:$C$254,MATCH(C358,'VENTAS'!$A$5:$A$254,0)),"ID no encontrado"))</x:f>
      </x:c>
      <x:c r="E358" s="22" t="str">
        <x:f>IF(C358="","",IF(COUNTIFS('VENTAS'!$A$5:$A$254,C358,'VENTAS'!$C$5:$C$254,"&lt;&gt;")=1,INDEX('VENTAS'!$D$5:$D$254,MATCH(C358,'VENTAS'!$A$5:$A$254,0)),"ID no encontrado"))</x:f>
      </x:c>
      <x:c r="F358" s="26" t="str"/>
      <x:c r="G358" s="27" t="str"/>
      <x:c r="H358" s="27" t="str"/>
      <x:c r="I358" s="26" t="str"/>
      <x:c r="J358" s="30" t="str"/>
      <x:c r="K358" s="28" t="str">
        <x:f>IF(B358="","",IF(ISNUMBER(H358),H358,IF(AND(ISNUMBER(G358),ISNUMBER(J358),J358&gt;0),ROUND(G358/J358,2),"")))</x:f>
      </x:c>
      <x:c r="L358" s="31" t="str"/>
      <x:c r="M358" s="26" t="str"/>
      <x:c r="N358" s="26" t="str">
        <x:v>Incluir</x:v>
      </x:c>
      <x:c r="O358" s="22" t="str"/>
      <x:c r="P358" s="22" t="str"/>
      <x:c r="Q358" s="22" t="str">
        <x:f>IF(B358="","",IF(C358="","Falta ID venta",IF(D358="ID no encontrado","ID venta inválido",IF(COUNTIFS('PAGOS'!$A$5:$A$504,A358,'PAGOS'!$B$5:$B$504,"&gt;0")&gt;1,"ID duplicado",IF(AND(L358&lt;&gt;"",COUNTIFS('PAGOS'!$L$5:$L$504,L358,'PAGOS'!$B$5:$B$504,B358,'PAGOS'!$F$5:$F$504,F358)&gt;1),"Referencia repetida",IF(N358&lt;&gt;"Incluir",N358,IF(NOT(ISNUMBER(K358)),"Falta equivalente","Aplicar")))))))</x:f>
      </x:c>
    </x:row>
    <x:row r="359" ht="25" customHeight="1">
      <x:c r="A359" s="22" t="str">
        <x:v>P-355</x:v>
      </x:c>
      <x:c r="B359" s="25" t="str"/>
      <x:c r="C359" s="26" t="str"/>
      <x:c r="D359" s="22" t="str">
        <x:f>IF(C359="","",IF(COUNTIFS('VENTAS'!$A$5:$A$254,C359,'VENTAS'!$C$5:$C$254,"&lt;&gt;")=1,INDEX('VENTAS'!$C$5:$C$254,MATCH(C359,'VENTAS'!$A$5:$A$254,0)),"ID no encontrado"))</x:f>
      </x:c>
      <x:c r="E359" s="22" t="str">
        <x:f>IF(C359="","",IF(COUNTIFS('VENTAS'!$A$5:$A$254,C359,'VENTAS'!$C$5:$C$254,"&lt;&gt;")=1,INDEX('VENTAS'!$D$5:$D$254,MATCH(C359,'VENTAS'!$A$5:$A$254,0)),"ID no encontrado"))</x:f>
      </x:c>
      <x:c r="F359" s="26" t="str"/>
      <x:c r="G359" s="27" t="str"/>
      <x:c r="H359" s="27" t="str"/>
      <x:c r="I359" s="26" t="str"/>
      <x:c r="J359" s="30" t="str"/>
      <x:c r="K359" s="28" t="str">
        <x:f>IF(B359="","",IF(ISNUMBER(H359),H359,IF(AND(ISNUMBER(G359),ISNUMBER(J359),J359&gt;0),ROUND(G359/J359,2),"")))</x:f>
      </x:c>
      <x:c r="L359" s="31" t="str"/>
      <x:c r="M359" s="26" t="str"/>
      <x:c r="N359" s="26" t="str">
        <x:v>Incluir</x:v>
      </x:c>
      <x:c r="O359" s="22" t="str"/>
      <x:c r="P359" s="22" t="str"/>
      <x:c r="Q359" s="22" t="str">
        <x:f>IF(B359="","",IF(C359="","Falta ID venta",IF(D359="ID no encontrado","ID venta inválido",IF(COUNTIFS('PAGOS'!$A$5:$A$504,A359,'PAGOS'!$B$5:$B$504,"&gt;0")&gt;1,"ID duplicado",IF(AND(L359&lt;&gt;"",COUNTIFS('PAGOS'!$L$5:$L$504,L359,'PAGOS'!$B$5:$B$504,B359,'PAGOS'!$F$5:$F$504,F359)&gt;1),"Referencia repetida",IF(N359&lt;&gt;"Incluir",N359,IF(NOT(ISNUMBER(K359)),"Falta equivalente","Aplicar")))))))</x:f>
      </x:c>
    </x:row>
    <x:row r="360" ht="25" customHeight="1">
      <x:c r="A360" s="22" t="str">
        <x:v>P-356</x:v>
      </x:c>
      <x:c r="B360" s="25" t="str"/>
      <x:c r="C360" s="26" t="str"/>
      <x:c r="D360" s="22" t="str">
        <x:f>IF(C360="","",IF(COUNTIFS('VENTAS'!$A$5:$A$254,C360,'VENTAS'!$C$5:$C$254,"&lt;&gt;")=1,INDEX('VENTAS'!$C$5:$C$254,MATCH(C360,'VENTAS'!$A$5:$A$254,0)),"ID no encontrado"))</x:f>
      </x:c>
      <x:c r="E360" s="22" t="str">
        <x:f>IF(C360="","",IF(COUNTIFS('VENTAS'!$A$5:$A$254,C360,'VENTAS'!$C$5:$C$254,"&lt;&gt;")=1,INDEX('VENTAS'!$D$5:$D$254,MATCH(C360,'VENTAS'!$A$5:$A$254,0)),"ID no encontrado"))</x:f>
      </x:c>
      <x:c r="F360" s="26" t="str"/>
      <x:c r="G360" s="27" t="str"/>
      <x:c r="H360" s="27" t="str"/>
      <x:c r="I360" s="26" t="str"/>
      <x:c r="J360" s="30" t="str"/>
      <x:c r="K360" s="28" t="str">
        <x:f>IF(B360="","",IF(ISNUMBER(H360),H360,IF(AND(ISNUMBER(G360),ISNUMBER(J360),J360&gt;0),ROUND(G360/J360,2),"")))</x:f>
      </x:c>
      <x:c r="L360" s="31" t="str"/>
      <x:c r="M360" s="26" t="str"/>
      <x:c r="N360" s="26" t="str">
        <x:v>Incluir</x:v>
      </x:c>
      <x:c r="O360" s="22" t="str"/>
      <x:c r="P360" s="22" t="str"/>
      <x:c r="Q360" s="22" t="str">
        <x:f>IF(B360="","",IF(C360="","Falta ID venta",IF(D360="ID no encontrado","ID venta inválido",IF(COUNTIFS('PAGOS'!$A$5:$A$504,A360,'PAGOS'!$B$5:$B$504,"&gt;0")&gt;1,"ID duplicado",IF(AND(L360&lt;&gt;"",COUNTIFS('PAGOS'!$L$5:$L$504,L360,'PAGOS'!$B$5:$B$504,B360,'PAGOS'!$F$5:$F$504,F360)&gt;1),"Referencia repetida",IF(N360&lt;&gt;"Incluir",N360,IF(NOT(ISNUMBER(K360)),"Falta equivalente","Aplicar")))))))</x:f>
      </x:c>
    </x:row>
    <x:row r="361" ht="25" customHeight="1">
      <x:c r="A361" s="22" t="str">
        <x:v>P-357</x:v>
      </x:c>
      <x:c r="B361" s="25" t="str"/>
      <x:c r="C361" s="26" t="str"/>
      <x:c r="D361" s="22" t="str">
        <x:f>IF(C361="","",IF(COUNTIFS('VENTAS'!$A$5:$A$254,C361,'VENTAS'!$C$5:$C$254,"&lt;&gt;")=1,INDEX('VENTAS'!$C$5:$C$254,MATCH(C361,'VENTAS'!$A$5:$A$254,0)),"ID no encontrado"))</x:f>
      </x:c>
      <x:c r="E361" s="22" t="str">
        <x:f>IF(C361="","",IF(COUNTIFS('VENTAS'!$A$5:$A$254,C361,'VENTAS'!$C$5:$C$254,"&lt;&gt;")=1,INDEX('VENTAS'!$D$5:$D$254,MATCH(C361,'VENTAS'!$A$5:$A$254,0)),"ID no encontrado"))</x:f>
      </x:c>
      <x:c r="F361" s="26" t="str"/>
      <x:c r="G361" s="27" t="str"/>
      <x:c r="H361" s="27" t="str"/>
      <x:c r="I361" s="26" t="str"/>
      <x:c r="J361" s="30" t="str"/>
      <x:c r="K361" s="28" t="str">
        <x:f>IF(B361="","",IF(ISNUMBER(H361),H361,IF(AND(ISNUMBER(G361),ISNUMBER(J361),J361&gt;0),ROUND(G361/J361,2),"")))</x:f>
      </x:c>
      <x:c r="L361" s="31" t="str"/>
      <x:c r="M361" s="26" t="str"/>
      <x:c r="N361" s="26" t="str">
        <x:v>Incluir</x:v>
      </x:c>
      <x:c r="O361" s="22" t="str"/>
      <x:c r="P361" s="22" t="str"/>
      <x:c r="Q361" s="22" t="str">
        <x:f>IF(B361="","",IF(C361="","Falta ID venta",IF(D361="ID no encontrado","ID venta inválido",IF(COUNTIFS('PAGOS'!$A$5:$A$504,A361,'PAGOS'!$B$5:$B$504,"&gt;0")&gt;1,"ID duplicado",IF(AND(L361&lt;&gt;"",COUNTIFS('PAGOS'!$L$5:$L$504,L361,'PAGOS'!$B$5:$B$504,B361,'PAGOS'!$F$5:$F$504,F361)&gt;1),"Referencia repetida",IF(N361&lt;&gt;"Incluir",N361,IF(NOT(ISNUMBER(K361)),"Falta equivalente","Aplicar")))))))</x:f>
      </x:c>
    </x:row>
    <x:row r="362" ht="25" customHeight="1">
      <x:c r="A362" s="22" t="str">
        <x:v>P-358</x:v>
      </x:c>
      <x:c r="B362" s="25" t="str"/>
      <x:c r="C362" s="26" t="str"/>
      <x:c r="D362" s="22" t="str">
        <x:f>IF(C362="","",IF(COUNTIFS('VENTAS'!$A$5:$A$254,C362,'VENTAS'!$C$5:$C$254,"&lt;&gt;")=1,INDEX('VENTAS'!$C$5:$C$254,MATCH(C362,'VENTAS'!$A$5:$A$254,0)),"ID no encontrado"))</x:f>
      </x:c>
      <x:c r="E362" s="22" t="str">
        <x:f>IF(C362="","",IF(COUNTIFS('VENTAS'!$A$5:$A$254,C362,'VENTAS'!$C$5:$C$254,"&lt;&gt;")=1,INDEX('VENTAS'!$D$5:$D$254,MATCH(C362,'VENTAS'!$A$5:$A$254,0)),"ID no encontrado"))</x:f>
      </x:c>
      <x:c r="F362" s="26" t="str"/>
      <x:c r="G362" s="27" t="str"/>
      <x:c r="H362" s="27" t="str"/>
      <x:c r="I362" s="26" t="str"/>
      <x:c r="J362" s="30" t="str"/>
      <x:c r="K362" s="28" t="str">
        <x:f>IF(B362="","",IF(ISNUMBER(H362),H362,IF(AND(ISNUMBER(G362),ISNUMBER(J362),J362&gt;0),ROUND(G362/J362,2),"")))</x:f>
      </x:c>
      <x:c r="L362" s="31" t="str"/>
      <x:c r="M362" s="26" t="str"/>
      <x:c r="N362" s="26" t="str">
        <x:v>Incluir</x:v>
      </x:c>
      <x:c r="O362" s="22" t="str"/>
      <x:c r="P362" s="22" t="str"/>
      <x:c r="Q362" s="22" t="str">
        <x:f>IF(B362="","",IF(C362="","Falta ID venta",IF(D362="ID no encontrado","ID venta inválido",IF(COUNTIFS('PAGOS'!$A$5:$A$504,A362,'PAGOS'!$B$5:$B$504,"&gt;0")&gt;1,"ID duplicado",IF(AND(L362&lt;&gt;"",COUNTIFS('PAGOS'!$L$5:$L$504,L362,'PAGOS'!$B$5:$B$504,B362,'PAGOS'!$F$5:$F$504,F362)&gt;1),"Referencia repetida",IF(N362&lt;&gt;"Incluir",N362,IF(NOT(ISNUMBER(K362)),"Falta equivalente","Aplicar")))))))</x:f>
      </x:c>
    </x:row>
    <x:row r="363" ht="25" customHeight="1">
      <x:c r="A363" s="22" t="str">
        <x:v>P-359</x:v>
      </x:c>
      <x:c r="B363" s="25" t="str"/>
      <x:c r="C363" s="26" t="str"/>
      <x:c r="D363" s="22" t="str">
        <x:f>IF(C363="","",IF(COUNTIFS('VENTAS'!$A$5:$A$254,C363,'VENTAS'!$C$5:$C$254,"&lt;&gt;")=1,INDEX('VENTAS'!$C$5:$C$254,MATCH(C363,'VENTAS'!$A$5:$A$254,0)),"ID no encontrado"))</x:f>
      </x:c>
      <x:c r="E363" s="22" t="str">
        <x:f>IF(C363="","",IF(COUNTIFS('VENTAS'!$A$5:$A$254,C363,'VENTAS'!$C$5:$C$254,"&lt;&gt;")=1,INDEX('VENTAS'!$D$5:$D$254,MATCH(C363,'VENTAS'!$A$5:$A$254,0)),"ID no encontrado"))</x:f>
      </x:c>
      <x:c r="F363" s="26" t="str"/>
      <x:c r="G363" s="27" t="str"/>
      <x:c r="H363" s="27" t="str"/>
      <x:c r="I363" s="26" t="str"/>
      <x:c r="J363" s="30" t="str"/>
      <x:c r="K363" s="28" t="str">
        <x:f>IF(B363="","",IF(ISNUMBER(H363),H363,IF(AND(ISNUMBER(G363),ISNUMBER(J363),J363&gt;0),ROUND(G363/J363,2),"")))</x:f>
      </x:c>
      <x:c r="L363" s="31" t="str"/>
      <x:c r="M363" s="26" t="str"/>
      <x:c r="N363" s="26" t="str">
        <x:v>Incluir</x:v>
      </x:c>
      <x:c r="O363" s="22" t="str"/>
      <x:c r="P363" s="22" t="str"/>
      <x:c r="Q363" s="22" t="str">
        <x:f>IF(B363="","",IF(C363="","Falta ID venta",IF(D363="ID no encontrado","ID venta inválido",IF(COUNTIFS('PAGOS'!$A$5:$A$504,A363,'PAGOS'!$B$5:$B$504,"&gt;0")&gt;1,"ID duplicado",IF(AND(L363&lt;&gt;"",COUNTIFS('PAGOS'!$L$5:$L$504,L363,'PAGOS'!$B$5:$B$504,B363,'PAGOS'!$F$5:$F$504,F363)&gt;1),"Referencia repetida",IF(N363&lt;&gt;"Incluir",N363,IF(NOT(ISNUMBER(K363)),"Falta equivalente","Aplicar")))))))</x:f>
      </x:c>
    </x:row>
    <x:row r="364" ht="25" customHeight="1">
      <x:c r="A364" s="22" t="str">
        <x:v>P-360</x:v>
      </x:c>
      <x:c r="B364" s="25" t="str"/>
      <x:c r="C364" s="26" t="str"/>
      <x:c r="D364" s="22" t="str">
        <x:f>IF(C364="","",IF(COUNTIFS('VENTAS'!$A$5:$A$254,C364,'VENTAS'!$C$5:$C$254,"&lt;&gt;")=1,INDEX('VENTAS'!$C$5:$C$254,MATCH(C364,'VENTAS'!$A$5:$A$254,0)),"ID no encontrado"))</x:f>
      </x:c>
      <x:c r="E364" s="22" t="str">
        <x:f>IF(C364="","",IF(COUNTIFS('VENTAS'!$A$5:$A$254,C364,'VENTAS'!$C$5:$C$254,"&lt;&gt;")=1,INDEX('VENTAS'!$D$5:$D$254,MATCH(C364,'VENTAS'!$A$5:$A$254,0)),"ID no encontrado"))</x:f>
      </x:c>
      <x:c r="F364" s="26" t="str"/>
      <x:c r="G364" s="27" t="str"/>
      <x:c r="H364" s="27" t="str"/>
      <x:c r="I364" s="26" t="str"/>
      <x:c r="J364" s="30" t="str"/>
      <x:c r="K364" s="28" t="str">
        <x:f>IF(B364="","",IF(ISNUMBER(H364),H364,IF(AND(ISNUMBER(G364),ISNUMBER(J364),J364&gt;0),ROUND(G364/J364,2),"")))</x:f>
      </x:c>
      <x:c r="L364" s="31" t="str"/>
      <x:c r="M364" s="26" t="str"/>
      <x:c r="N364" s="26" t="str">
        <x:v>Incluir</x:v>
      </x:c>
      <x:c r="O364" s="22" t="str"/>
      <x:c r="P364" s="22" t="str"/>
      <x:c r="Q364" s="22" t="str">
        <x:f>IF(B364="","",IF(C364="","Falta ID venta",IF(D364="ID no encontrado","ID venta inválido",IF(COUNTIFS('PAGOS'!$A$5:$A$504,A364,'PAGOS'!$B$5:$B$504,"&gt;0")&gt;1,"ID duplicado",IF(AND(L364&lt;&gt;"",COUNTIFS('PAGOS'!$L$5:$L$504,L364,'PAGOS'!$B$5:$B$504,B364,'PAGOS'!$F$5:$F$504,F364)&gt;1),"Referencia repetida",IF(N364&lt;&gt;"Incluir",N364,IF(NOT(ISNUMBER(K364)),"Falta equivalente","Aplicar")))))))</x:f>
      </x:c>
    </x:row>
    <x:row r="365" ht="25" customHeight="1">
      <x:c r="A365" s="22" t="str">
        <x:v>P-361</x:v>
      </x:c>
      <x:c r="B365" s="25" t="str"/>
      <x:c r="C365" s="26" t="str"/>
      <x:c r="D365" s="22" t="str">
        <x:f>IF(C365="","",IF(COUNTIFS('VENTAS'!$A$5:$A$254,C365,'VENTAS'!$C$5:$C$254,"&lt;&gt;")=1,INDEX('VENTAS'!$C$5:$C$254,MATCH(C365,'VENTAS'!$A$5:$A$254,0)),"ID no encontrado"))</x:f>
      </x:c>
      <x:c r="E365" s="22" t="str">
        <x:f>IF(C365="","",IF(COUNTIFS('VENTAS'!$A$5:$A$254,C365,'VENTAS'!$C$5:$C$254,"&lt;&gt;")=1,INDEX('VENTAS'!$D$5:$D$254,MATCH(C365,'VENTAS'!$A$5:$A$254,0)),"ID no encontrado"))</x:f>
      </x:c>
      <x:c r="F365" s="26" t="str"/>
      <x:c r="G365" s="27" t="str"/>
      <x:c r="H365" s="27" t="str"/>
      <x:c r="I365" s="26" t="str"/>
      <x:c r="J365" s="30" t="str"/>
      <x:c r="K365" s="28" t="str">
        <x:f>IF(B365="","",IF(ISNUMBER(H365),H365,IF(AND(ISNUMBER(G365),ISNUMBER(J365),J365&gt;0),ROUND(G365/J365,2),"")))</x:f>
      </x:c>
      <x:c r="L365" s="31" t="str"/>
      <x:c r="M365" s="26" t="str"/>
      <x:c r="N365" s="26" t="str">
        <x:v>Incluir</x:v>
      </x:c>
      <x:c r="O365" s="22" t="str"/>
      <x:c r="P365" s="22" t="str"/>
      <x:c r="Q365" s="22" t="str">
        <x:f>IF(B365="","",IF(C365="","Falta ID venta",IF(D365="ID no encontrado","ID venta inválido",IF(COUNTIFS('PAGOS'!$A$5:$A$504,A365,'PAGOS'!$B$5:$B$504,"&gt;0")&gt;1,"ID duplicado",IF(AND(L365&lt;&gt;"",COUNTIFS('PAGOS'!$L$5:$L$504,L365,'PAGOS'!$B$5:$B$504,B365,'PAGOS'!$F$5:$F$504,F365)&gt;1),"Referencia repetida",IF(N365&lt;&gt;"Incluir",N365,IF(NOT(ISNUMBER(K365)),"Falta equivalente","Aplicar")))))))</x:f>
      </x:c>
    </x:row>
    <x:row r="366" ht="25" customHeight="1">
      <x:c r="A366" s="22" t="str">
        <x:v>P-362</x:v>
      </x:c>
      <x:c r="B366" s="25" t="str"/>
      <x:c r="C366" s="26" t="str"/>
      <x:c r="D366" s="22" t="str">
        <x:f>IF(C366="","",IF(COUNTIFS('VENTAS'!$A$5:$A$254,C366,'VENTAS'!$C$5:$C$254,"&lt;&gt;")=1,INDEX('VENTAS'!$C$5:$C$254,MATCH(C366,'VENTAS'!$A$5:$A$254,0)),"ID no encontrado"))</x:f>
      </x:c>
      <x:c r="E366" s="22" t="str">
        <x:f>IF(C366="","",IF(COUNTIFS('VENTAS'!$A$5:$A$254,C366,'VENTAS'!$C$5:$C$254,"&lt;&gt;")=1,INDEX('VENTAS'!$D$5:$D$254,MATCH(C366,'VENTAS'!$A$5:$A$254,0)),"ID no encontrado"))</x:f>
      </x:c>
      <x:c r="F366" s="26" t="str"/>
      <x:c r="G366" s="27" t="str"/>
      <x:c r="H366" s="27" t="str"/>
      <x:c r="I366" s="26" t="str"/>
      <x:c r="J366" s="30" t="str"/>
      <x:c r="K366" s="28" t="str">
        <x:f>IF(B366="","",IF(ISNUMBER(H366),H366,IF(AND(ISNUMBER(G366),ISNUMBER(J366),J366&gt;0),ROUND(G366/J366,2),"")))</x:f>
      </x:c>
      <x:c r="L366" s="31" t="str"/>
      <x:c r="M366" s="26" t="str"/>
      <x:c r="N366" s="26" t="str">
        <x:v>Incluir</x:v>
      </x:c>
      <x:c r="O366" s="22" t="str"/>
      <x:c r="P366" s="22" t="str"/>
      <x:c r="Q366" s="22" t="str">
        <x:f>IF(B366="","",IF(C366="","Falta ID venta",IF(D366="ID no encontrado","ID venta inválido",IF(COUNTIFS('PAGOS'!$A$5:$A$504,A366,'PAGOS'!$B$5:$B$504,"&gt;0")&gt;1,"ID duplicado",IF(AND(L366&lt;&gt;"",COUNTIFS('PAGOS'!$L$5:$L$504,L366,'PAGOS'!$B$5:$B$504,B366,'PAGOS'!$F$5:$F$504,F366)&gt;1),"Referencia repetida",IF(N366&lt;&gt;"Incluir",N366,IF(NOT(ISNUMBER(K366)),"Falta equivalente","Aplicar")))))))</x:f>
      </x:c>
    </x:row>
    <x:row r="367" ht="25" customHeight="1">
      <x:c r="A367" s="22" t="str">
        <x:v>P-363</x:v>
      </x:c>
      <x:c r="B367" s="25" t="str"/>
      <x:c r="C367" s="26" t="str"/>
      <x:c r="D367" s="22" t="str">
        <x:f>IF(C367="","",IF(COUNTIFS('VENTAS'!$A$5:$A$254,C367,'VENTAS'!$C$5:$C$254,"&lt;&gt;")=1,INDEX('VENTAS'!$C$5:$C$254,MATCH(C367,'VENTAS'!$A$5:$A$254,0)),"ID no encontrado"))</x:f>
      </x:c>
      <x:c r="E367" s="22" t="str">
        <x:f>IF(C367="","",IF(COUNTIFS('VENTAS'!$A$5:$A$254,C367,'VENTAS'!$C$5:$C$254,"&lt;&gt;")=1,INDEX('VENTAS'!$D$5:$D$254,MATCH(C367,'VENTAS'!$A$5:$A$254,0)),"ID no encontrado"))</x:f>
      </x:c>
      <x:c r="F367" s="26" t="str"/>
      <x:c r="G367" s="27" t="str"/>
      <x:c r="H367" s="27" t="str"/>
      <x:c r="I367" s="26" t="str"/>
      <x:c r="J367" s="30" t="str"/>
      <x:c r="K367" s="28" t="str">
        <x:f>IF(B367="","",IF(ISNUMBER(H367),H367,IF(AND(ISNUMBER(G367),ISNUMBER(J367),J367&gt;0),ROUND(G367/J367,2),"")))</x:f>
      </x:c>
      <x:c r="L367" s="31" t="str"/>
      <x:c r="M367" s="26" t="str"/>
      <x:c r="N367" s="26" t="str">
        <x:v>Incluir</x:v>
      </x:c>
      <x:c r="O367" s="22" t="str"/>
      <x:c r="P367" s="22" t="str"/>
      <x:c r="Q367" s="22" t="str">
        <x:f>IF(B367="","",IF(C367="","Falta ID venta",IF(D367="ID no encontrado","ID venta inválido",IF(COUNTIFS('PAGOS'!$A$5:$A$504,A367,'PAGOS'!$B$5:$B$504,"&gt;0")&gt;1,"ID duplicado",IF(AND(L367&lt;&gt;"",COUNTIFS('PAGOS'!$L$5:$L$504,L367,'PAGOS'!$B$5:$B$504,B367,'PAGOS'!$F$5:$F$504,F367)&gt;1),"Referencia repetida",IF(N367&lt;&gt;"Incluir",N367,IF(NOT(ISNUMBER(K367)),"Falta equivalente","Aplicar")))))))</x:f>
      </x:c>
    </x:row>
    <x:row r="368" ht="25" customHeight="1">
      <x:c r="A368" s="22" t="str">
        <x:v>P-364</x:v>
      </x:c>
      <x:c r="B368" s="25" t="str"/>
      <x:c r="C368" s="26" t="str"/>
      <x:c r="D368" s="22" t="str">
        <x:f>IF(C368="","",IF(COUNTIFS('VENTAS'!$A$5:$A$254,C368,'VENTAS'!$C$5:$C$254,"&lt;&gt;")=1,INDEX('VENTAS'!$C$5:$C$254,MATCH(C368,'VENTAS'!$A$5:$A$254,0)),"ID no encontrado"))</x:f>
      </x:c>
      <x:c r="E368" s="22" t="str">
        <x:f>IF(C368="","",IF(COUNTIFS('VENTAS'!$A$5:$A$254,C368,'VENTAS'!$C$5:$C$254,"&lt;&gt;")=1,INDEX('VENTAS'!$D$5:$D$254,MATCH(C368,'VENTAS'!$A$5:$A$254,0)),"ID no encontrado"))</x:f>
      </x:c>
      <x:c r="F368" s="26" t="str"/>
      <x:c r="G368" s="27" t="str"/>
      <x:c r="H368" s="27" t="str"/>
      <x:c r="I368" s="26" t="str"/>
      <x:c r="J368" s="30" t="str"/>
      <x:c r="K368" s="28" t="str">
        <x:f>IF(B368="","",IF(ISNUMBER(H368),H368,IF(AND(ISNUMBER(G368),ISNUMBER(J368),J368&gt;0),ROUND(G368/J368,2),"")))</x:f>
      </x:c>
      <x:c r="L368" s="31" t="str"/>
      <x:c r="M368" s="26" t="str"/>
      <x:c r="N368" s="26" t="str">
        <x:v>Incluir</x:v>
      </x:c>
      <x:c r="O368" s="22" t="str"/>
      <x:c r="P368" s="22" t="str"/>
      <x:c r="Q368" s="22" t="str">
        <x:f>IF(B368="","",IF(C368="","Falta ID venta",IF(D368="ID no encontrado","ID venta inválido",IF(COUNTIFS('PAGOS'!$A$5:$A$504,A368,'PAGOS'!$B$5:$B$504,"&gt;0")&gt;1,"ID duplicado",IF(AND(L368&lt;&gt;"",COUNTIFS('PAGOS'!$L$5:$L$504,L368,'PAGOS'!$B$5:$B$504,B368,'PAGOS'!$F$5:$F$504,F368)&gt;1),"Referencia repetida",IF(N368&lt;&gt;"Incluir",N368,IF(NOT(ISNUMBER(K368)),"Falta equivalente","Aplicar")))))))</x:f>
      </x:c>
    </x:row>
    <x:row r="369" ht="25" customHeight="1">
      <x:c r="A369" s="22" t="str">
        <x:v>P-365</x:v>
      </x:c>
      <x:c r="B369" s="25" t="str"/>
      <x:c r="C369" s="26" t="str"/>
      <x:c r="D369" s="22" t="str">
        <x:f>IF(C369="","",IF(COUNTIFS('VENTAS'!$A$5:$A$254,C369,'VENTAS'!$C$5:$C$254,"&lt;&gt;")=1,INDEX('VENTAS'!$C$5:$C$254,MATCH(C369,'VENTAS'!$A$5:$A$254,0)),"ID no encontrado"))</x:f>
      </x:c>
      <x:c r="E369" s="22" t="str">
        <x:f>IF(C369="","",IF(COUNTIFS('VENTAS'!$A$5:$A$254,C369,'VENTAS'!$C$5:$C$254,"&lt;&gt;")=1,INDEX('VENTAS'!$D$5:$D$254,MATCH(C369,'VENTAS'!$A$5:$A$254,0)),"ID no encontrado"))</x:f>
      </x:c>
      <x:c r="F369" s="26" t="str"/>
      <x:c r="G369" s="27" t="str"/>
      <x:c r="H369" s="27" t="str"/>
      <x:c r="I369" s="26" t="str"/>
      <x:c r="J369" s="30" t="str"/>
      <x:c r="K369" s="28" t="str">
        <x:f>IF(B369="","",IF(ISNUMBER(H369),H369,IF(AND(ISNUMBER(G369),ISNUMBER(J369),J369&gt;0),ROUND(G369/J369,2),"")))</x:f>
      </x:c>
      <x:c r="L369" s="31" t="str"/>
      <x:c r="M369" s="26" t="str"/>
      <x:c r="N369" s="26" t="str">
        <x:v>Incluir</x:v>
      </x:c>
      <x:c r="O369" s="22" t="str"/>
      <x:c r="P369" s="22" t="str"/>
      <x:c r="Q369" s="22" t="str">
        <x:f>IF(B369="","",IF(C369="","Falta ID venta",IF(D369="ID no encontrado","ID venta inválido",IF(COUNTIFS('PAGOS'!$A$5:$A$504,A369,'PAGOS'!$B$5:$B$504,"&gt;0")&gt;1,"ID duplicado",IF(AND(L369&lt;&gt;"",COUNTIFS('PAGOS'!$L$5:$L$504,L369,'PAGOS'!$B$5:$B$504,B369,'PAGOS'!$F$5:$F$504,F369)&gt;1),"Referencia repetida",IF(N369&lt;&gt;"Incluir",N369,IF(NOT(ISNUMBER(K369)),"Falta equivalente","Aplicar")))))))</x:f>
      </x:c>
    </x:row>
    <x:row r="370" ht="25" customHeight="1">
      <x:c r="A370" s="22" t="str">
        <x:v>P-366</x:v>
      </x:c>
      <x:c r="B370" s="25" t="str"/>
      <x:c r="C370" s="26" t="str"/>
      <x:c r="D370" s="22" t="str">
        <x:f>IF(C370="","",IF(COUNTIFS('VENTAS'!$A$5:$A$254,C370,'VENTAS'!$C$5:$C$254,"&lt;&gt;")=1,INDEX('VENTAS'!$C$5:$C$254,MATCH(C370,'VENTAS'!$A$5:$A$254,0)),"ID no encontrado"))</x:f>
      </x:c>
      <x:c r="E370" s="22" t="str">
        <x:f>IF(C370="","",IF(COUNTIFS('VENTAS'!$A$5:$A$254,C370,'VENTAS'!$C$5:$C$254,"&lt;&gt;")=1,INDEX('VENTAS'!$D$5:$D$254,MATCH(C370,'VENTAS'!$A$5:$A$254,0)),"ID no encontrado"))</x:f>
      </x:c>
      <x:c r="F370" s="26" t="str"/>
      <x:c r="G370" s="27" t="str"/>
      <x:c r="H370" s="27" t="str"/>
      <x:c r="I370" s="26" t="str"/>
      <x:c r="J370" s="30" t="str"/>
      <x:c r="K370" s="28" t="str">
        <x:f>IF(B370="","",IF(ISNUMBER(H370),H370,IF(AND(ISNUMBER(G370),ISNUMBER(J370),J370&gt;0),ROUND(G370/J370,2),"")))</x:f>
      </x:c>
      <x:c r="L370" s="31" t="str"/>
      <x:c r="M370" s="26" t="str"/>
      <x:c r="N370" s="26" t="str">
        <x:v>Incluir</x:v>
      </x:c>
      <x:c r="O370" s="22" t="str"/>
      <x:c r="P370" s="22" t="str"/>
      <x:c r="Q370" s="22" t="str">
        <x:f>IF(B370="","",IF(C370="","Falta ID venta",IF(D370="ID no encontrado","ID venta inválido",IF(COUNTIFS('PAGOS'!$A$5:$A$504,A370,'PAGOS'!$B$5:$B$504,"&gt;0")&gt;1,"ID duplicado",IF(AND(L370&lt;&gt;"",COUNTIFS('PAGOS'!$L$5:$L$504,L370,'PAGOS'!$B$5:$B$504,B370,'PAGOS'!$F$5:$F$504,F370)&gt;1),"Referencia repetida",IF(N370&lt;&gt;"Incluir",N370,IF(NOT(ISNUMBER(K370)),"Falta equivalente","Aplicar")))))))</x:f>
      </x:c>
    </x:row>
    <x:row r="371" ht="25" customHeight="1">
      <x:c r="A371" s="22" t="str">
        <x:v>P-367</x:v>
      </x:c>
      <x:c r="B371" s="25" t="str"/>
      <x:c r="C371" s="26" t="str"/>
      <x:c r="D371" s="22" t="str">
        <x:f>IF(C371="","",IF(COUNTIFS('VENTAS'!$A$5:$A$254,C371,'VENTAS'!$C$5:$C$254,"&lt;&gt;")=1,INDEX('VENTAS'!$C$5:$C$254,MATCH(C371,'VENTAS'!$A$5:$A$254,0)),"ID no encontrado"))</x:f>
      </x:c>
      <x:c r="E371" s="22" t="str">
        <x:f>IF(C371="","",IF(COUNTIFS('VENTAS'!$A$5:$A$254,C371,'VENTAS'!$C$5:$C$254,"&lt;&gt;")=1,INDEX('VENTAS'!$D$5:$D$254,MATCH(C371,'VENTAS'!$A$5:$A$254,0)),"ID no encontrado"))</x:f>
      </x:c>
      <x:c r="F371" s="26" t="str"/>
      <x:c r="G371" s="27" t="str"/>
      <x:c r="H371" s="27" t="str"/>
      <x:c r="I371" s="26" t="str"/>
      <x:c r="J371" s="30" t="str"/>
      <x:c r="K371" s="28" t="str">
        <x:f>IF(B371="","",IF(ISNUMBER(H371),H371,IF(AND(ISNUMBER(G371),ISNUMBER(J371),J371&gt;0),ROUND(G371/J371,2),"")))</x:f>
      </x:c>
      <x:c r="L371" s="31" t="str"/>
      <x:c r="M371" s="26" t="str"/>
      <x:c r="N371" s="26" t="str">
        <x:v>Incluir</x:v>
      </x:c>
      <x:c r="O371" s="22" t="str"/>
      <x:c r="P371" s="22" t="str"/>
      <x:c r="Q371" s="22" t="str">
        <x:f>IF(B371="","",IF(C371="","Falta ID venta",IF(D371="ID no encontrado","ID venta inválido",IF(COUNTIFS('PAGOS'!$A$5:$A$504,A371,'PAGOS'!$B$5:$B$504,"&gt;0")&gt;1,"ID duplicado",IF(AND(L371&lt;&gt;"",COUNTIFS('PAGOS'!$L$5:$L$504,L371,'PAGOS'!$B$5:$B$504,B371,'PAGOS'!$F$5:$F$504,F371)&gt;1),"Referencia repetida",IF(N371&lt;&gt;"Incluir",N371,IF(NOT(ISNUMBER(K371)),"Falta equivalente","Aplicar")))))))</x:f>
      </x:c>
    </x:row>
    <x:row r="372" ht="25" customHeight="1">
      <x:c r="A372" s="22" t="str">
        <x:v>P-368</x:v>
      </x:c>
      <x:c r="B372" s="25" t="str"/>
      <x:c r="C372" s="26" t="str"/>
      <x:c r="D372" s="22" t="str">
        <x:f>IF(C372="","",IF(COUNTIFS('VENTAS'!$A$5:$A$254,C372,'VENTAS'!$C$5:$C$254,"&lt;&gt;")=1,INDEX('VENTAS'!$C$5:$C$254,MATCH(C372,'VENTAS'!$A$5:$A$254,0)),"ID no encontrado"))</x:f>
      </x:c>
      <x:c r="E372" s="22" t="str">
        <x:f>IF(C372="","",IF(COUNTIFS('VENTAS'!$A$5:$A$254,C372,'VENTAS'!$C$5:$C$254,"&lt;&gt;")=1,INDEX('VENTAS'!$D$5:$D$254,MATCH(C372,'VENTAS'!$A$5:$A$254,0)),"ID no encontrado"))</x:f>
      </x:c>
      <x:c r="F372" s="26" t="str"/>
      <x:c r="G372" s="27" t="str"/>
      <x:c r="H372" s="27" t="str"/>
      <x:c r="I372" s="26" t="str"/>
      <x:c r="J372" s="30" t="str"/>
      <x:c r="K372" s="28" t="str">
        <x:f>IF(B372="","",IF(ISNUMBER(H372),H372,IF(AND(ISNUMBER(G372),ISNUMBER(J372),J372&gt;0),ROUND(G372/J372,2),"")))</x:f>
      </x:c>
      <x:c r="L372" s="31" t="str"/>
      <x:c r="M372" s="26" t="str"/>
      <x:c r="N372" s="26" t="str">
        <x:v>Incluir</x:v>
      </x:c>
      <x:c r="O372" s="22" t="str"/>
      <x:c r="P372" s="22" t="str"/>
      <x:c r="Q372" s="22" t="str">
        <x:f>IF(B372="","",IF(C372="","Falta ID venta",IF(D372="ID no encontrado","ID venta inválido",IF(COUNTIFS('PAGOS'!$A$5:$A$504,A372,'PAGOS'!$B$5:$B$504,"&gt;0")&gt;1,"ID duplicado",IF(AND(L372&lt;&gt;"",COUNTIFS('PAGOS'!$L$5:$L$504,L372,'PAGOS'!$B$5:$B$504,B372,'PAGOS'!$F$5:$F$504,F372)&gt;1),"Referencia repetida",IF(N372&lt;&gt;"Incluir",N372,IF(NOT(ISNUMBER(K372)),"Falta equivalente","Aplicar")))))))</x:f>
      </x:c>
    </x:row>
    <x:row r="373" ht="25" customHeight="1">
      <x:c r="A373" s="22" t="str">
        <x:v>P-369</x:v>
      </x:c>
      <x:c r="B373" s="25" t="str"/>
      <x:c r="C373" s="26" t="str"/>
      <x:c r="D373" s="22" t="str">
        <x:f>IF(C373="","",IF(COUNTIFS('VENTAS'!$A$5:$A$254,C373,'VENTAS'!$C$5:$C$254,"&lt;&gt;")=1,INDEX('VENTAS'!$C$5:$C$254,MATCH(C373,'VENTAS'!$A$5:$A$254,0)),"ID no encontrado"))</x:f>
      </x:c>
      <x:c r="E373" s="22" t="str">
        <x:f>IF(C373="","",IF(COUNTIFS('VENTAS'!$A$5:$A$254,C373,'VENTAS'!$C$5:$C$254,"&lt;&gt;")=1,INDEX('VENTAS'!$D$5:$D$254,MATCH(C373,'VENTAS'!$A$5:$A$254,0)),"ID no encontrado"))</x:f>
      </x:c>
      <x:c r="F373" s="26" t="str"/>
      <x:c r="G373" s="27" t="str"/>
      <x:c r="H373" s="27" t="str"/>
      <x:c r="I373" s="26" t="str"/>
      <x:c r="J373" s="30" t="str"/>
      <x:c r="K373" s="28" t="str">
        <x:f>IF(B373="","",IF(ISNUMBER(H373),H373,IF(AND(ISNUMBER(G373),ISNUMBER(J373),J373&gt;0),ROUND(G373/J373,2),"")))</x:f>
      </x:c>
      <x:c r="L373" s="31" t="str"/>
      <x:c r="M373" s="26" t="str"/>
      <x:c r="N373" s="26" t="str">
        <x:v>Incluir</x:v>
      </x:c>
      <x:c r="O373" s="22" t="str"/>
      <x:c r="P373" s="22" t="str"/>
      <x:c r="Q373" s="22" t="str">
        <x:f>IF(B373="","",IF(C373="","Falta ID venta",IF(D373="ID no encontrado","ID venta inválido",IF(COUNTIFS('PAGOS'!$A$5:$A$504,A373,'PAGOS'!$B$5:$B$504,"&gt;0")&gt;1,"ID duplicado",IF(AND(L373&lt;&gt;"",COUNTIFS('PAGOS'!$L$5:$L$504,L373,'PAGOS'!$B$5:$B$504,B373,'PAGOS'!$F$5:$F$504,F373)&gt;1),"Referencia repetida",IF(N373&lt;&gt;"Incluir",N373,IF(NOT(ISNUMBER(K373)),"Falta equivalente","Aplicar")))))))</x:f>
      </x:c>
    </x:row>
    <x:row r="374" ht="25" customHeight="1">
      <x:c r="A374" s="22" t="str">
        <x:v>P-370</x:v>
      </x:c>
      <x:c r="B374" s="25" t="str"/>
      <x:c r="C374" s="26" t="str"/>
      <x:c r="D374" s="22" t="str">
        <x:f>IF(C374="","",IF(COUNTIFS('VENTAS'!$A$5:$A$254,C374,'VENTAS'!$C$5:$C$254,"&lt;&gt;")=1,INDEX('VENTAS'!$C$5:$C$254,MATCH(C374,'VENTAS'!$A$5:$A$254,0)),"ID no encontrado"))</x:f>
      </x:c>
      <x:c r="E374" s="22" t="str">
        <x:f>IF(C374="","",IF(COUNTIFS('VENTAS'!$A$5:$A$254,C374,'VENTAS'!$C$5:$C$254,"&lt;&gt;")=1,INDEX('VENTAS'!$D$5:$D$254,MATCH(C374,'VENTAS'!$A$5:$A$254,0)),"ID no encontrado"))</x:f>
      </x:c>
      <x:c r="F374" s="26" t="str"/>
      <x:c r="G374" s="27" t="str"/>
      <x:c r="H374" s="27" t="str"/>
      <x:c r="I374" s="26" t="str"/>
      <x:c r="J374" s="30" t="str"/>
      <x:c r="K374" s="28" t="str">
        <x:f>IF(B374="","",IF(ISNUMBER(H374),H374,IF(AND(ISNUMBER(G374),ISNUMBER(J374),J374&gt;0),ROUND(G374/J374,2),"")))</x:f>
      </x:c>
      <x:c r="L374" s="31" t="str"/>
      <x:c r="M374" s="26" t="str"/>
      <x:c r="N374" s="26" t="str">
        <x:v>Incluir</x:v>
      </x:c>
      <x:c r="O374" s="22" t="str"/>
      <x:c r="P374" s="22" t="str"/>
      <x:c r="Q374" s="22" t="str">
        <x:f>IF(B374="","",IF(C374="","Falta ID venta",IF(D374="ID no encontrado","ID venta inválido",IF(COUNTIFS('PAGOS'!$A$5:$A$504,A374,'PAGOS'!$B$5:$B$504,"&gt;0")&gt;1,"ID duplicado",IF(AND(L374&lt;&gt;"",COUNTIFS('PAGOS'!$L$5:$L$504,L374,'PAGOS'!$B$5:$B$504,B374,'PAGOS'!$F$5:$F$504,F374)&gt;1),"Referencia repetida",IF(N374&lt;&gt;"Incluir",N374,IF(NOT(ISNUMBER(K374)),"Falta equivalente","Aplicar")))))))</x:f>
      </x:c>
    </x:row>
    <x:row r="375" ht="25" customHeight="1">
      <x:c r="A375" s="22" t="str">
        <x:v>P-371</x:v>
      </x:c>
      <x:c r="B375" s="25" t="str"/>
      <x:c r="C375" s="26" t="str"/>
      <x:c r="D375" s="22" t="str">
        <x:f>IF(C375="","",IF(COUNTIFS('VENTAS'!$A$5:$A$254,C375,'VENTAS'!$C$5:$C$254,"&lt;&gt;")=1,INDEX('VENTAS'!$C$5:$C$254,MATCH(C375,'VENTAS'!$A$5:$A$254,0)),"ID no encontrado"))</x:f>
      </x:c>
      <x:c r="E375" s="22" t="str">
        <x:f>IF(C375="","",IF(COUNTIFS('VENTAS'!$A$5:$A$254,C375,'VENTAS'!$C$5:$C$254,"&lt;&gt;")=1,INDEX('VENTAS'!$D$5:$D$254,MATCH(C375,'VENTAS'!$A$5:$A$254,0)),"ID no encontrado"))</x:f>
      </x:c>
      <x:c r="F375" s="26" t="str"/>
      <x:c r="G375" s="27" t="str"/>
      <x:c r="H375" s="27" t="str"/>
      <x:c r="I375" s="26" t="str"/>
      <x:c r="J375" s="30" t="str"/>
      <x:c r="K375" s="28" t="str">
        <x:f>IF(B375="","",IF(ISNUMBER(H375),H375,IF(AND(ISNUMBER(G375),ISNUMBER(J375),J375&gt;0),ROUND(G375/J375,2),"")))</x:f>
      </x:c>
      <x:c r="L375" s="31" t="str"/>
      <x:c r="M375" s="26" t="str"/>
      <x:c r="N375" s="26" t="str">
        <x:v>Incluir</x:v>
      </x:c>
      <x:c r="O375" s="22" t="str"/>
      <x:c r="P375" s="22" t="str"/>
      <x:c r="Q375" s="22" t="str">
        <x:f>IF(B375="","",IF(C375="","Falta ID venta",IF(D375="ID no encontrado","ID venta inválido",IF(COUNTIFS('PAGOS'!$A$5:$A$504,A375,'PAGOS'!$B$5:$B$504,"&gt;0")&gt;1,"ID duplicado",IF(AND(L375&lt;&gt;"",COUNTIFS('PAGOS'!$L$5:$L$504,L375,'PAGOS'!$B$5:$B$504,B375,'PAGOS'!$F$5:$F$504,F375)&gt;1),"Referencia repetida",IF(N375&lt;&gt;"Incluir",N375,IF(NOT(ISNUMBER(K375)),"Falta equivalente","Aplicar")))))))</x:f>
      </x:c>
    </x:row>
    <x:row r="376" ht="25" customHeight="1">
      <x:c r="A376" s="22" t="str">
        <x:v>P-372</x:v>
      </x:c>
      <x:c r="B376" s="25" t="str"/>
      <x:c r="C376" s="26" t="str"/>
      <x:c r="D376" s="22" t="str">
        <x:f>IF(C376="","",IF(COUNTIFS('VENTAS'!$A$5:$A$254,C376,'VENTAS'!$C$5:$C$254,"&lt;&gt;")=1,INDEX('VENTAS'!$C$5:$C$254,MATCH(C376,'VENTAS'!$A$5:$A$254,0)),"ID no encontrado"))</x:f>
      </x:c>
      <x:c r="E376" s="22" t="str">
        <x:f>IF(C376="","",IF(COUNTIFS('VENTAS'!$A$5:$A$254,C376,'VENTAS'!$C$5:$C$254,"&lt;&gt;")=1,INDEX('VENTAS'!$D$5:$D$254,MATCH(C376,'VENTAS'!$A$5:$A$254,0)),"ID no encontrado"))</x:f>
      </x:c>
      <x:c r="F376" s="26" t="str"/>
      <x:c r="G376" s="27" t="str"/>
      <x:c r="H376" s="27" t="str"/>
      <x:c r="I376" s="26" t="str"/>
      <x:c r="J376" s="30" t="str"/>
      <x:c r="K376" s="28" t="str">
        <x:f>IF(B376="","",IF(ISNUMBER(H376),H376,IF(AND(ISNUMBER(G376),ISNUMBER(J376),J376&gt;0),ROUND(G376/J376,2),"")))</x:f>
      </x:c>
      <x:c r="L376" s="31" t="str"/>
      <x:c r="M376" s="26" t="str"/>
      <x:c r="N376" s="26" t="str">
        <x:v>Incluir</x:v>
      </x:c>
      <x:c r="O376" s="22" t="str"/>
      <x:c r="P376" s="22" t="str"/>
      <x:c r="Q376" s="22" t="str">
        <x:f>IF(B376="","",IF(C376="","Falta ID venta",IF(D376="ID no encontrado","ID venta inválido",IF(COUNTIFS('PAGOS'!$A$5:$A$504,A376,'PAGOS'!$B$5:$B$504,"&gt;0")&gt;1,"ID duplicado",IF(AND(L376&lt;&gt;"",COUNTIFS('PAGOS'!$L$5:$L$504,L376,'PAGOS'!$B$5:$B$504,B376,'PAGOS'!$F$5:$F$504,F376)&gt;1),"Referencia repetida",IF(N376&lt;&gt;"Incluir",N376,IF(NOT(ISNUMBER(K376)),"Falta equivalente","Aplicar")))))))</x:f>
      </x:c>
    </x:row>
    <x:row r="377" ht="25" customHeight="1">
      <x:c r="A377" s="22" t="str">
        <x:v>P-373</x:v>
      </x:c>
      <x:c r="B377" s="25" t="str"/>
      <x:c r="C377" s="26" t="str"/>
      <x:c r="D377" s="22" t="str">
        <x:f>IF(C377="","",IF(COUNTIFS('VENTAS'!$A$5:$A$254,C377,'VENTAS'!$C$5:$C$254,"&lt;&gt;")=1,INDEX('VENTAS'!$C$5:$C$254,MATCH(C377,'VENTAS'!$A$5:$A$254,0)),"ID no encontrado"))</x:f>
      </x:c>
      <x:c r="E377" s="22" t="str">
        <x:f>IF(C377="","",IF(COUNTIFS('VENTAS'!$A$5:$A$254,C377,'VENTAS'!$C$5:$C$254,"&lt;&gt;")=1,INDEX('VENTAS'!$D$5:$D$254,MATCH(C377,'VENTAS'!$A$5:$A$254,0)),"ID no encontrado"))</x:f>
      </x:c>
      <x:c r="F377" s="26" t="str"/>
      <x:c r="G377" s="27" t="str"/>
      <x:c r="H377" s="27" t="str"/>
      <x:c r="I377" s="26" t="str"/>
      <x:c r="J377" s="30" t="str"/>
      <x:c r="K377" s="28" t="str">
        <x:f>IF(B377="","",IF(ISNUMBER(H377),H377,IF(AND(ISNUMBER(G377),ISNUMBER(J377),J377&gt;0),ROUND(G377/J377,2),"")))</x:f>
      </x:c>
      <x:c r="L377" s="31" t="str"/>
      <x:c r="M377" s="26" t="str"/>
      <x:c r="N377" s="26" t="str">
        <x:v>Incluir</x:v>
      </x:c>
      <x:c r="O377" s="22" t="str"/>
      <x:c r="P377" s="22" t="str"/>
      <x:c r="Q377" s="22" t="str">
        <x:f>IF(B377="","",IF(C377="","Falta ID venta",IF(D377="ID no encontrado","ID venta inválido",IF(COUNTIFS('PAGOS'!$A$5:$A$504,A377,'PAGOS'!$B$5:$B$504,"&gt;0")&gt;1,"ID duplicado",IF(AND(L377&lt;&gt;"",COUNTIFS('PAGOS'!$L$5:$L$504,L377,'PAGOS'!$B$5:$B$504,B377,'PAGOS'!$F$5:$F$504,F377)&gt;1),"Referencia repetida",IF(N377&lt;&gt;"Incluir",N377,IF(NOT(ISNUMBER(K377)),"Falta equivalente","Aplicar")))))))</x:f>
      </x:c>
    </x:row>
    <x:row r="378" ht="25" customHeight="1">
      <x:c r="A378" s="22" t="str">
        <x:v>P-374</x:v>
      </x:c>
      <x:c r="B378" s="25" t="str"/>
      <x:c r="C378" s="26" t="str"/>
      <x:c r="D378" s="22" t="str">
        <x:f>IF(C378="","",IF(COUNTIFS('VENTAS'!$A$5:$A$254,C378,'VENTAS'!$C$5:$C$254,"&lt;&gt;")=1,INDEX('VENTAS'!$C$5:$C$254,MATCH(C378,'VENTAS'!$A$5:$A$254,0)),"ID no encontrado"))</x:f>
      </x:c>
      <x:c r="E378" s="22" t="str">
        <x:f>IF(C378="","",IF(COUNTIFS('VENTAS'!$A$5:$A$254,C378,'VENTAS'!$C$5:$C$254,"&lt;&gt;")=1,INDEX('VENTAS'!$D$5:$D$254,MATCH(C378,'VENTAS'!$A$5:$A$254,0)),"ID no encontrado"))</x:f>
      </x:c>
      <x:c r="F378" s="26" t="str"/>
      <x:c r="G378" s="27" t="str"/>
      <x:c r="H378" s="27" t="str"/>
      <x:c r="I378" s="26" t="str"/>
      <x:c r="J378" s="30" t="str"/>
      <x:c r="K378" s="28" t="str">
        <x:f>IF(B378="","",IF(ISNUMBER(H378),H378,IF(AND(ISNUMBER(G378),ISNUMBER(J378),J378&gt;0),ROUND(G378/J378,2),"")))</x:f>
      </x:c>
      <x:c r="L378" s="31" t="str"/>
      <x:c r="M378" s="26" t="str"/>
      <x:c r="N378" s="26" t="str">
        <x:v>Incluir</x:v>
      </x:c>
      <x:c r="O378" s="22" t="str"/>
      <x:c r="P378" s="22" t="str"/>
      <x:c r="Q378" s="22" t="str">
        <x:f>IF(B378="","",IF(C378="","Falta ID venta",IF(D378="ID no encontrado","ID venta inválido",IF(COUNTIFS('PAGOS'!$A$5:$A$504,A378,'PAGOS'!$B$5:$B$504,"&gt;0")&gt;1,"ID duplicado",IF(AND(L378&lt;&gt;"",COUNTIFS('PAGOS'!$L$5:$L$504,L378,'PAGOS'!$B$5:$B$504,B378,'PAGOS'!$F$5:$F$504,F378)&gt;1),"Referencia repetida",IF(N378&lt;&gt;"Incluir",N378,IF(NOT(ISNUMBER(K378)),"Falta equivalente","Aplicar")))))))</x:f>
      </x:c>
    </x:row>
    <x:row r="379" ht="25" customHeight="1">
      <x:c r="A379" s="22" t="str">
        <x:v>P-375</x:v>
      </x:c>
      <x:c r="B379" s="25" t="str"/>
      <x:c r="C379" s="26" t="str"/>
      <x:c r="D379" s="22" t="str">
        <x:f>IF(C379="","",IF(COUNTIFS('VENTAS'!$A$5:$A$254,C379,'VENTAS'!$C$5:$C$254,"&lt;&gt;")=1,INDEX('VENTAS'!$C$5:$C$254,MATCH(C379,'VENTAS'!$A$5:$A$254,0)),"ID no encontrado"))</x:f>
      </x:c>
      <x:c r="E379" s="22" t="str">
        <x:f>IF(C379="","",IF(COUNTIFS('VENTAS'!$A$5:$A$254,C379,'VENTAS'!$C$5:$C$254,"&lt;&gt;")=1,INDEX('VENTAS'!$D$5:$D$254,MATCH(C379,'VENTAS'!$A$5:$A$254,0)),"ID no encontrado"))</x:f>
      </x:c>
      <x:c r="F379" s="26" t="str"/>
      <x:c r="G379" s="27" t="str"/>
      <x:c r="H379" s="27" t="str"/>
      <x:c r="I379" s="26" t="str"/>
      <x:c r="J379" s="30" t="str"/>
      <x:c r="K379" s="28" t="str">
        <x:f>IF(B379="","",IF(ISNUMBER(H379),H379,IF(AND(ISNUMBER(G379),ISNUMBER(J379),J379&gt;0),ROUND(G379/J379,2),"")))</x:f>
      </x:c>
      <x:c r="L379" s="31" t="str"/>
      <x:c r="M379" s="26" t="str"/>
      <x:c r="N379" s="26" t="str">
        <x:v>Incluir</x:v>
      </x:c>
      <x:c r="O379" s="22" t="str"/>
      <x:c r="P379" s="22" t="str"/>
      <x:c r="Q379" s="22" t="str">
        <x:f>IF(B379="","",IF(C379="","Falta ID venta",IF(D379="ID no encontrado","ID venta inválido",IF(COUNTIFS('PAGOS'!$A$5:$A$504,A379,'PAGOS'!$B$5:$B$504,"&gt;0")&gt;1,"ID duplicado",IF(AND(L379&lt;&gt;"",COUNTIFS('PAGOS'!$L$5:$L$504,L379,'PAGOS'!$B$5:$B$504,B379,'PAGOS'!$F$5:$F$504,F379)&gt;1),"Referencia repetida",IF(N379&lt;&gt;"Incluir",N379,IF(NOT(ISNUMBER(K379)),"Falta equivalente","Aplicar")))))))</x:f>
      </x:c>
    </x:row>
    <x:row r="380" ht="25" customHeight="1">
      <x:c r="A380" s="22" t="str">
        <x:v>P-376</x:v>
      </x:c>
      <x:c r="B380" s="25" t="str"/>
      <x:c r="C380" s="26" t="str"/>
      <x:c r="D380" s="22" t="str">
        <x:f>IF(C380="","",IF(COUNTIFS('VENTAS'!$A$5:$A$254,C380,'VENTAS'!$C$5:$C$254,"&lt;&gt;")=1,INDEX('VENTAS'!$C$5:$C$254,MATCH(C380,'VENTAS'!$A$5:$A$254,0)),"ID no encontrado"))</x:f>
      </x:c>
      <x:c r="E380" s="22" t="str">
        <x:f>IF(C380="","",IF(COUNTIFS('VENTAS'!$A$5:$A$254,C380,'VENTAS'!$C$5:$C$254,"&lt;&gt;")=1,INDEX('VENTAS'!$D$5:$D$254,MATCH(C380,'VENTAS'!$A$5:$A$254,0)),"ID no encontrado"))</x:f>
      </x:c>
      <x:c r="F380" s="26" t="str"/>
      <x:c r="G380" s="27" t="str"/>
      <x:c r="H380" s="27" t="str"/>
      <x:c r="I380" s="26" t="str"/>
      <x:c r="J380" s="30" t="str"/>
      <x:c r="K380" s="28" t="str">
        <x:f>IF(B380="","",IF(ISNUMBER(H380),H380,IF(AND(ISNUMBER(G380),ISNUMBER(J380),J380&gt;0),ROUND(G380/J380,2),"")))</x:f>
      </x:c>
      <x:c r="L380" s="31" t="str"/>
      <x:c r="M380" s="26" t="str"/>
      <x:c r="N380" s="26" t="str">
        <x:v>Incluir</x:v>
      </x:c>
      <x:c r="O380" s="22" t="str"/>
      <x:c r="P380" s="22" t="str"/>
      <x:c r="Q380" s="22" t="str">
        <x:f>IF(B380="","",IF(C380="","Falta ID venta",IF(D380="ID no encontrado","ID venta inválido",IF(COUNTIFS('PAGOS'!$A$5:$A$504,A380,'PAGOS'!$B$5:$B$504,"&gt;0")&gt;1,"ID duplicado",IF(AND(L380&lt;&gt;"",COUNTIFS('PAGOS'!$L$5:$L$504,L380,'PAGOS'!$B$5:$B$504,B380,'PAGOS'!$F$5:$F$504,F380)&gt;1),"Referencia repetida",IF(N380&lt;&gt;"Incluir",N380,IF(NOT(ISNUMBER(K380)),"Falta equivalente","Aplicar")))))))</x:f>
      </x:c>
    </x:row>
    <x:row r="381" ht="25" customHeight="1">
      <x:c r="A381" s="22" t="str">
        <x:v>P-377</x:v>
      </x:c>
      <x:c r="B381" s="25" t="str"/>
      <x:c r="C381" s="26" t="str"/>
      <x:c r="D381" s="22" t="str">
        <x:f>IF(C381="","",IF(COUNTIFS('VENTAS'!$A$5:$A$254,C381,'VENTAS'!$C$5:$C$254,"&lt;&gt;")=1,INDEX('VENTAS'!$C$5:$C$254,MATCH(C381,'VENTAS'!$A$5:$A$254,0)),"ID no encontrado"))</x:f>
      </x:c>
      <x:c r="E381" s="22" t="str">
        <x:f>IF(C381="","",IF(COUNTIFS('VENTAS'!$A$5:$A$254,C381,'VENTAS'!$C$5:$C$254,"&lt;&gt;")=1,INDEX('VENTAS'!$D$5:$D$254,MATCH(C381,'VENTAS'!$A$5:$A$254,0)),"ID no encontrado"))</x:f>
      </x:c>
      <x:c r="F381" s="26" t="str"/>
      <x:c r="G381" s="27" t="str"/>
      <x:c r="H381" s="27" t="str"/>
      <x:c r="I381" s="26" t="str"/>
      <x:c r="J381" s="30" t="str"/>
      <x:c r="K381" s="28" t="str">
        <x:f>IF(B381="","",IF(ISNUMBER(H381),H381,IF(AND(ISNUMBER(G381),ISNUMBER(J381),J381&gt;0),ROUND(G381/J381,2),"")))</x:f>
      </x:c>
      <x:c r="L381" s="31" t="str"/>
      <x:c r="M381" s="26" t="str"/>
      <x:c r="N381" s="26" t="str">
        <x:v>Incluir</x:v>
      </x:c>
      <x:c r="O381" s="22" t="str"/>
      <x:c r="P381" s="22" t="str"/>
      <x:c r="Q381" s="22" t="str">
        <x:f>IF(B381="","",IF(C381="","Falta ID venta",IF(D381="ID no encontrado","ID venta inválido",IF(COUNTIFS('PAGOS'!$A$5:$A$504,A381,'PAGOS'!$B$5:$B$504,"&gt;0")&gt;1,"ID duplicado",IF(AND(L381&lt;&gt;"",COUNTIFS('PAGOS'!$L$5:$L$504,L381,'PAGOS'!$B$5:$B$504,B381,'PAGOS'!$F$5:$F$504,F381)&gt;1),"Referencia repetida",IF(N381&lt;&gt;"Incluir",N381,IF(NOT(ISNUMBER(K381)),"Falta equivalente","Aplicar")))))))</x:f>
      </x:c>
    </x:row>
    <x:row r="382" ht="25" customHeight="1">
      <x:c r="A382" s="22" t="str">
        <x:v>P-378</x:v>
      </x:c>
      <x:c r="B382" s="25" t="str"/>
      <x:c r="C382" s="26" t="str"/>
      <x:c r="D382" s="22" t="str">
        <x:f>IF(C382="","",IF(COUNTIFS('VENTAS'!$A$5:$A$254,C382,'VENTAS'!$C$5:$C$254,"&lt;&gt;")=1,INDEX('VENTAS'!$C$5:$C$254,MATCH(C382,'VENTAS'!$A$5:$A$254,0)),"ID no encontrado"))</x:f>
      </x:c>
      <x:c r="E382" s="22" t="str">
        <x:f>IF(C382="","",IF(COUNTIFS('VENTAS'!$A$5:$A$254,C382,'VENTAS'!$C$5:$C$254,"&lt;&gt;")=1,INDEX('VENTAS'!$D$5:$D$254,MATCH(C382,'VENTAS'!$A$5:$A$254,0)),"ID no encontrado"))</x:f>
      </x:c>
      <x:c r="F382" s="26" t="str"/>
      <x:c r="G382" s="27" t="str"/>
      <x:c r="H382" s="27" t="str"/>
      <x:c r="I382" s="26" t="str"/>
      <x:c r="J382" s="30" t="str"/>
      <x:c r="K382" s="28" t="str">
        <x:f>IF(B382="","",IF(ISNUMBER(H382),H382,IF(AND(ISNUMBER(G382),ISNUMBER(J382),J382&gt;0),ROUND(G382/J382,2),"")))</x:f>
      </x:c>
      <x:c r="L382" s="31" t="str"/>
      <x:c r="M382" s="26" t="str"/>
      <x:c r="N382" s="26" t="str">
        <x:v>Incluir</x:v>
      </x:c>
      <x:c r="O382" s="22" t="str"/>
      <x:c r="P382" s="22" t="str"/>
      <x:c r="Q382" s="22" t="str">
        <x:f>IF(B382="","",IF(C382="","Falta ID venta",IF(D382="ID no encontrado","ID venta inválido",IF(COUNTIFS('PAGOS'!$A$5:$A$504,A382,'PAGOS'!$B$5:$B$504,"&gt;0")&gt;1,"ID duplicado",IF(AND(L382&lt;&gt;"",COUNTIFS('PAGOS'!$L$5:$L$504,L382,'PAGOS'!$B$5:$B$504,B382,'PAGOS'!$F$5:$F$504,F382)&gt;1),"Referencia repetida",IF(N382&lt;&gt;"Incluir",N382,IF(NOT(ISNUMBER(K382)),"Falta equivalente","Aplicar")))))))</x:f>
      </x:c>
    </x:row>
    <x:row r="383" ht="25" customHeight="1">
      <x:c r="A383" s="22" t="str">
        <x:v>P-379</x:v>
      </x:c>
      <x:c r="B383" s="25" t="str"/>
      <x:c r="C383" s="26" t="str"/>
      <x:c r="D383" s="22" t="str">
        <x:f>IF(C383="","",IF(COUNTIFS('VENTAS'!$A$5:$A$254,C383,'VENTAS'!$C$5:$C$254,"&lt;&gt;")=1,INDEX('VENTAS'!$C$5:$C$254,MATCH(C383,'VENTAS'!$A$5:$A$254,0)),"ID no encontrado"))</x:f>
      </x:c>
      <x:c r="E383" s="22" t="str">
        <x:f>IF(C383="","",IF(COUNTIFS('VENTAS'!$A$5:$A$254,C383,'VENTAS'!$C$5:$C$254,"&lt;&gt;")=1,INDEX('VENTAS'!$D$5:$D$254,MATCH(C383,'VENTAS'!$A$5:$A$254,0)),"ID no encontrado"))</x:f>
      </x:c>
      <x:c r="F383" s="26" t="str"/>
      <x:c r="G383" s="27" t="str"/>
      <x:c r="H383" s="27" t="str"/>
      <x:c r="I383" s="26" t="str"/>
      <x:c r="J383" s="30" t="str"/>
      <x:c r="K383" s="28" t="str">
        <x:f>IF(B383="","",IF(ISNUMBER(H383),H383,IF(AND(ISNUMBER(G383),ISNUMBER(J383),J383&gt;0),ROUND(G383/J383,2),"")))</x:f>
      </x:c>
      <x:c r="L383" s="31" t="str"/>
      <x:c r="M383" s="26" t="str"/>
      <x:c r="N383" s="26" t="str">
        <x:v>Incluir</x:v>
      </x:c>
      <x:c r="O383" s="22" t="str"/>
      <x:c r="P383" s="22" t="str"/>
      <x:c r="Q383" s="22" t="str">
        <x:f>IF(B383="","",IF(C383="","Falta ID venta",IF(D383="ID no encontrado","ID venta inválido",IF(COUNTIFS('PAGOS'!$A$5:$A$504,A383,'PAGOS'!$B$5:$B$504,"&gt;0")&gt;1,"ID duplicado",IF(AND(L383&lt;&gt;"",COUNTIFS('PAGOS'!$L$5:$L$504,L383,'PAGOS'!$B$5:$B$504,B383,'PAGOS'!$F$5:$F$504,F383)&gt;1),"Referencia repetida",IF(N383&lt;&gt;"Incluir",N383,IF(NOT(ISNUMBER(K383)),"Falta equivalente","Aplicar")))))))</x:f>
      </x:c>
    </x:row>
    <x:row r="384" ht="25" customHeight="1">
      <x:c r="A384" s="22" t="str">
        <x:v>P-380</x:v>
      </x:c>
      <x:c r="B384" s="25" t="str"/>
      <x:c r="C384" s="26" t="str"/>
      <x:c r="D384" s="22" t="str">
        <x:f>IF(C384="","",IF(COUNTIFS('VENTAS'!$A$5:$A$254,C384,'VENTAS'!$C$5:$C$254,"&lt;&gt;")=1,INDEX('VENTAS'!$C$5:$C$254,MATCH(C384,'VENTAS'!$A$5:$A$254,0)),"ID no encontrado"))</x:f>
      </x:c>
      <x:c r="E384" s="22" t="str">
        <x:f>IF(C384="","",IF(COUNTIFS('VENTAS'!$A$5:$A$254,C384,'VENTAS'!$C$5:$C$254,"&lt;&gt;")=1,INDEX('VENTAS'!$D$5:$D$254,MATCH(C384,'VENTAS'!$A$5:$A$254,0)),"ID no encontrado"))</x:f>
      </x:c>
      <x:c r="F384" s="26" t="str"/>
      <x:c r="G384" s="27" t="str"/>
      <x:c r="H384" s="27" t="str"/>
      <x:c r="I384" s="26" t="str"/>
      <x:c r="J384" s="30" t="str"/>
      <x:c r="K384" s="28" t="str">
        <x:f>IF(B384="","",IF(ISNUMBER(H384),H384,IF(AND(ISNUMBER(G384),ISNUMBER(J384),J384&gt;0),ROUND(G384/J384,2),"")))</x:f>
      </x:c>
      <x:c r="L384" s="31" t="str"/>
      <x:c r="M384" s="26" t="str"/>
      <x:c r="N384" s="26" t="str">
        <x:v>Incluir</x:v>
      </x:c>
      <x:c r="O384" s="22" t="str"/>
      <x:c r="P384" s="22" t="str"/>
      <x:c r="Q384" s="22" t="str">
        <x:f>IF(B384="","",IF(C384="","Falta ID venta",IF(D384="ID no encontrado","ID venta inválido",IF(COUNTIFS('PAGOS'!$A$5:$A$504,A384,'PAGOS'!$B$5:$B$504,"&gt;0")&gt;1,"ID duplicado",IF(AND(L384&lt;&gt;"",COUNTIFS('PAGOS'!$L$5:$L$504,L384,'PAGOS'!$B$5:$B$504,B384,'PAGOS'!$F$5:$F$504,F384)&gt;1),"Referencia repetida",IF(N384&lt;&gt;"Incluir",N384,IF(NOT(ISNUMBER(K384)),"Falta equivalente","Aplicar")))))))</x:f>
      </x:c>
    </x:row>
    <x:row r="385" ht="25" customHeight="1">
      <x:c r="A385" s="22" t="str">
        <x:v>P-381</x:v>
      </x:c>
      <x:c r="B385" s="25" t="str"/>
      <x:c r="C385" s="26" t="str"/>
      <x:c r="D385" s="22" t="str">
        <x:f>IF(C385="","",IF(COUNTIFS('VENTAS'!$A$5:$A$254,C385,'VENTAS'!$C$5:$C$254,"&lt;&gt;")=1,INDEX('VENTAS'!$C$5:$C$254,MATCH(C385,'VENTAS'!$A$5:$A$254,0)),"ID no encontrado"))</x:f>
      </x:c>
      <x:c r="E385" s="22" t="str">
        <x:f>IF(C385="","",IF(COUNTIFS('VENTAS'!$A$5:$A$254,C385,'VENTAS'!$C$5:$C$254,"&lt;&gt;")=1,INDEX('VENTAS'!$D$5:$D$254,MATCH(C385,'VENTAS'!$A$5:$A$254,0)),"ID no encontrado"))</x:f>
      </x:c>
      <x:c r="F385" s="26" t="str"/>
      <x:c r="G385" s="27" t="str"/>
      <x:c r="H385" s="27" t="str"/>
      <x:c r="I385" s="26" t="str"/>
      <x:c r="J385" s="30" t="str"/>
      <x:c r="K385" s="28" t="str">
        <x:f>IF(B385="","",IF(ISNUMBER(H385),H385,IF(AND(ISNUMBER(G385),ISNUMBER(J385),J385&gt;0),ROUND(G385/J385,2),"")))</x:f>
      </x:c>
      <x:c r="L385" s="31" t="str"/>
      <x:c r="M385" s="26" t="str"/>
      <x:c r="N385" s="26" t="str">
        <x:v>Incluir</x:v>
      </x:c>
      <x:c r="O385" s="22" t="str"/>
      <x:c r="P385" s="22" t="str"/>
      <x:c r="Q385" s="22" t="str">
        <x:f>IF(B385="","",IF(C385="","Falta ID venta",IF(D385="ID no encontrado","ID venta inválido",IF(COUNTIFS('PAGOS'!$A$5:$A$504,A385,'PAGOS'!$B$5:$B$504,"&gt;0")&gt;1,"ID duplicado",IF(AND(L385&lt;&gt;"",COUNTIFS('PAGOS'!$L$5:$L$504,L385,'PAGOS'!$B$5:$B$504,B385,'PAGOS'!$F$5:$F$504,F385)&gt;1),"Referencia repetida",IF(N385&lt;&gt;"Incluir",N385,IF(NOT(ISNUMBER(K385)),"Falta equivalente","Aplicar")))))))</x:f>
      </x:c>
    </x:row>
    <x:row r="386" ht="25" customHeight="1">
      <x:c r="A386" s="22" t="str">
        <x:v>P-382</x:v>
      </x:c>
      <x:c r="B386" s="25" t="str"/>
      <x:c r="C386" s="26" t="str"/>
      <x:c r="D386" s="22" t="str">
        <x:f>IF(C386="","",IF(COUNTIFS('VENTAS'!$A$5:$A$254,C386,'VENTAS'!$C$5:$C$254,"&lt;&gt;")=1,INDEX('VENTAS'!$C$5:$C$254,MATCH(C386,'VENTAS'!$A$5:$A$254,0)),"ID no encontrado"))</x:f>
      </x:c>
      <x:c r="E386" s="22" t="str">
        <x:f>IF(C386="","",IF(COUNTIFS('VENTAS'!$A$5:$A$254,C386,'VENTAS'!$C$5:$C$254,"&lt;&gt;")=1,INDEX('VENTAS'!$D$5:$D$254,MATCH(C386,'VENTAS'!$A$5:$A$254,0)),"ID no encontrado"))</x:f>
      </x:c>
      <x:c r="F386" s="26" t="str"/>
      <x:c r="G386" s="27" t="str"/>
      <x:c r="H386" s="27" t="str"/>
      <x:c r="I386" s="26" t="str"/>
      <x:c r="J386" s="30" t="str"/>
      <x:c r="K386" s="28" t="str">
        <x:f>IF(B386="","",IF(ISNUMBER(H386),H386,IF(AND(ISNUMBER(G386),ISNUMBER(J386),J386&gt;0),ROUND(G386/J386,2),"")))</x:f>
      </x:c>
      <x:c r="L386" s="31" t="str"/>
      <x:c r="M386" s="26" t="str"/>
      <x:c r="N386" s="26" t="str">
        <x:v>Incluir</x:v>
      </x:c>
      <x:c r="O386" s="22" t="str"/>
      <x:c r="P386" s="22" t="str"/>
      <x:c r="Q386" s="22" t="str">
        <x:f>IF(B386="","",IF(C386="","Falta ID venta",IF(D386="ID no encontrado","ID venta inválido",IF(COUNTIFS('PAGOS'!$A$5:$A$504,A386,'PAGOS'!$B$5:$B$504,"&gt;0")&gt;1,"ID duplicado",IF(AND(L386&lt;&gt;"",COUNTIFS('PAGOS'!$L$5:$L$504,L386,'PAGOS'!$B$5:$B$504,B386,'PAGOS'!$F$5:$F$504,F386)&gt;1),"Referencia repetida",IF(N386&lt;&gt;"Incluir",N386,IF(NOT(ISNUMBER(K386)),"Falta equivalente","Aplicar")))))))</x:f>
      </x:c>
    </x:row>
    <x:row r="387" ht="25" customHeight="1">
      <x:c r="A387" s="22" t="str">
        <x:v>P-383</x:v>
      </x:c>
      <x:c r="B387" s="25" t="str"/>
      <x:c r="C387" s="26" t="str"/>
      <x:c r="D387" s="22" t="str">
        <x:f>IF(C387="","",IF(COUNTIFS('VENTAS'!$A$5:$A$254,C387,'VENTAS'!$C$5:$C$254,"&lt;&gt;")=1,INDEX('VENTAS'!$C$5:$C$254,MATCH(C387,'VENTAS'!$A$5:$A$254,0)),"ID no encontrado"))</x:f>
      </x:c>
      <x:c r="E387" s="22" t="str">
        <x:f>IF(C387="","",IF(COUNTIFS('VENTAS'!$A$5:$A$254,C387,'VENTAS'!$C$5:$C$254,"&lt;&gt;")=1,INDEX('VENTAS'!$D$5:$D$254,MATCH(C387,'VENTAS'!$A$5:$A$254,0)),"ID no encontrado"))</x:f>
      </x:c>
      <x:c r="F387" s="26" t="str"/>
      <x:c r="G387" s="27" t="str"/>
      <x:c r="H387" s="27" t="str"/>
      <x:c r="I387" s="26" t="str"/>
      <x:c r="J387" s="30" t="str"/>
      <x:c r="K387" s="28" t="str">
        <x:f>IF(B387="","",IF(ISNUMBER(H387),H387,IF(AND(ISNUMBER(G387),ISNUMBER(J387),J387&gt;0),ROUND(G387/J387,2),"")))</x:f>
      </x:c>
      <x:c r="L387" s="31" t="str"/>
      <x:c r="M387" s="26" t="str"/>
      <x:c r="N387" s="26" t="str">
        <x:v>Incluir</x:v>
      </x:c>
      <x:c r="O387" s="22" t="str"/>
      <x:c r="P387" s="22" t="str"/>
      <x:c r="Q387" s="22" t="str">
        <x:f>IF(B387="","",IF(C387="","Falta ID venta",IF(D387="ID no encontrado","ID venta inválido",IF(COUNTIFS('PAGOS'!$A$5:$A$504,A387,'PAGOS'!$B$5:$B$504,"&gt;0")&gt;1,"ID duplicado",IF(AND(L387&lt;&gt;"",COUNTIFS('PAGOS'!$L$5:$L$504,L387,'PAGOS'!$B$5:$B$504,B387,'PAGOS'!$F$5:$F$504,F387)&gt;1),"Referencia repetida",IF(N387&lt;&gt;"Incluir",N387,IF(NOT(ISNUMBER(K387)),"Falta equivalente","Aplicar")))))))</x:f>
      </x:c>
    </x:row>
    <x:row r="388" ht="25" customHeight="1">
      <x:c r="A388" s="22" t="str">
        <x:v>P-384</x:v>
      </x:c>
      <x:c r="B388" s="25" t="str"/>
      <x:c r="C388" s="26" t="str"/>
      <x:c r="D388" s="22" t="str">
        <x:f>IF(C388="","",IF(COUNTIFS('VENTAS'!$A$5:$A$254,C388,'VENTAS'!$C$5:$C$254,"&lt;&gt;")=1,INDEX('VENTAS'!$C$5:$C$254,MATCH(C388,'VENTAS'!$A$5:$A$254,0)),"ID no encontrado"))</x:f>
      </x:c>
      <x:c r="E388" s="22" t="str">
        <x:f>IF(C388="","",IF(COUNTIFS('VENTAS'!$A$5:$A$254,C388,'VENTAS'!$C$5:$C$254,"&lt;&gt;")=1,INDEX('VENTAS'!$D$5:$D$254,MATCH(C388,'VENTAS'!$A$5:$A$254,0)),"ID no encontrado"))</x:f>
      </x:c>
      <x:c r="F388" s="26" t="str"/>
      <x:c r="G388" s="27" t="str"/>
      <x:c r="H388" s="27" t="str"/>
      <x:c r="I388" s="26" t="str"/>
      <x:c r="J388" s="30" t="str"/>
      <x:c r="K388" s="28" t="str">
        <x:f>IF(B388="","",IF(ISNUMBER(H388),H388,IF(AND(ISNUMBER(G388),ISNUMBER(J388),J388&gt;0),ROUND(G388/J388,2),"")))</x:f>
      </x:c>
      <x:c r="L388" s="31" t="str"/>
      <x:c r="M388" s="26" t="str"/>
      <x:c r="N388" s="26" t="str">
        <x:v>Incluir</x:v>
      </x:c>
      <x:c r="O388" s="22" t="str"/>
      <x:c r="P388" s="22" t="str"/>
      <x:c r="Q388" s="22" t="str">
        <x:f>IF(B388="","",IF(C388="","Falta ID venta",IF(D388="ID no encontrado","ID venta inválido",IF(COUNTIFS('PAGOS'!$A$5:$A$504,A388,'PAGOS'!$B$5:$B$504,"&gt;0")&gt;1,"ID duplicado",IF(AND(L388&lt;&gt;"",COUNTIFS('PAGOS'!$L$5:$L$504,L388,'PAGOS'!$B$5:$B$504,B388,'PAGOS'!$F$5:$F$504,F388)&gt;1),"Referencia repetida",IF(N388&lt;&gt;"Incluir",N388,IF(NOT(ISNUMBER(K388)),"Falta equivalente","Aplicar")))))))</x:f>
      </x:c>
    </x:row>
    <x:row r="389" ht="25" customHeight="1">
      <x:c r="A389" s="22" t="str">
        <x:v>P-385</x:v>
      </x:c>
      <x:c r="B389" s="25" t="str"/>
      <x:c r="C389" s="26" t="str"/>
      <x:c r="D389" s="22" t="str">
        <x:f>IF(C389="","",IF(COUNTIFS('VENTAS'!$A$5:$A$254,C389,'VENTAS'!$C$5:$C$254,"&lt;&gt;")=1,INDEX('VENTAS'!$C$5:$C$254,MATCH(C389,'VENTAS'!$A$5:$A$254,0)),"ID no encontrado"))</x:f>
      </x:c>
      <x:c r="E389" s="22" t="str">
        <x:f>IF(C389="","",IF(COUNTIFS('VENTAS'!$A$5:$A$254,C389,'VENTAS'!$C$5:$C$254,"&lt;&gt;")=1,INDEX('VENTAS'!$D$5:$D$254,MATCH(C389,'VENTAS'!$A$5:$A$254,0)),"ID no encontrado"))</x:f>
      </x:c>
      <x:c r="F389" s="26" t="str"/>
      <x:c r="G389" s="27" t="str"/>
      <x:c r="H389" s="27" t="str"/>
      <x:c r="I389" s="26" t="str"/>
      <x:c r="J389" s="30" t="str"/>
      <x:c r="K389" s="28" t="str">
        <x:f>IF(B389="","",IF(ISNUMBER(H389),H389,IF(AND(ISNUMBER(G389),ISNUMBER(J389),J389&gt;0),ROUND(G389/J389,2),"")))</x:f>
      </x:c>
      <x:c r="L389" s="31" t="str"/>
      <x:c r="M389" s="26" t="str"/>
      <x:c r="N389" s="26" t="str">
        <x:v>Incluir</x:v>
      </x:c>
      <x:c r="O389" s="22" t="str"/>
      <x:c r="P389" s="22" t="str"/>
      <x:c r="Q389" s="22" t="str">
        <x:f>IF(B389="","",IF(C389="","Falta ID venta",IF(D389="ID no encontrado","ID venta inválido",IF(COUNTIFS('PAGOS'!$A$5:$A$504,A389,'PAGOS'!$B$5:$B$504,"&gt;0")&gt;1,"ID duplicado",IF(AND(L389&lt;&gt;"",COUNTIFS('PAGOS'!$L$5:$L$504,L389,'PAGOS'!$B$5:$B$504,B389,'PAGOS'!$F$5:$F$504,F389)&gt;1),"Referencia repetida",IF(N389&lt;&gt;"Incluir",N389,IF(NOT(ISNUMBER(K389)),"Falta equivalente","Aplicar")))))))</x:f>
      </x:c>
    </x:row>
    <x:row r="390" ht="25" customHeight="1">
      <x:c r="A390" s="22" t="str">
        <x:v>P-386</x:v>
      </x:c>
      <x:c r="B390" s="25" t="str"/>
      <x:c r="C390" s="26" t="str"/>
      <x:c r="D390" s="22" t="str">
        <x:f>IF(C390="","",IF(COUNTIFS('VENTAS'!$A$5:$A$254,C390,'VENTAS'!$C$5:$C$254,"&lt;&gt;")=1,INDEX('VENTAS'!$C$5:$C$254,MATCH(C390,'VENTAS'!$A$5:$A$254,0)),"ID no encontrado"))</x:f>
      </x:c>
      <x:c r="E390" s="22" t="str">
        <x:f>IF(C390="","",IF(COUNTIFS('VENTAS'!$A$5:$A$254,C390,'VENTAS'!$C$5:$C$254,"&lt;&gt;")=1,INDEX('VENTAS'!$D$5:$D$254,MATCH(C390,'VENTAS'!$A$5:$A$254,0)),"ID no encontrado"))</x:f>
      </x:c>
      <x:c r="F390" s="26" t="str"/>
      <x:c r="G390" s="27" t="str"/>
      <x:c r="H390" s="27" t="str"/>
      <x:c r="I390" s="26" t="str"/>
      <x:c r="J390" s="30" t="str"/>
      <x:c r="K390" s="28" t="str">
        <x:f>IF(B390="","",IF(ISNUMBER(H390),H390,IF(AND(ISNUMBER(G390),ISNUMBER(J390),J390&gt;0),ROUND(G390/J390,2),"")))</x:f>
      </x:c>
      <x:c r="L390" s="31" t="str"/>
      <x:c r="M390" s="26" t="str"/>
      <x:c r="N390" s="26" t="str">
        <x:v>Incluir</x:v>
      </x:c>
      <x:c r="O390" s="22" t="str"/>
      <x:c r="P390" s="22" t="str"/>
      <x:c r="Q390" s="22" t="str">
        <x:f>IF(B390="","",IF(C390="","Falta ID venta",IF(D390="ID no encontrado","ID venta inválido",IF(COUNTIFS('PAGOS'!$A$5:$A$504,A390,'PAGOS'!$B$5:$B$504,"&gt;0")&gt;1,"ID duplicado",IF(AND(L390&lt;&gt;"",COUNTIFS('PAGOS'!$L$5:$L$504,L390,'PAGOS'!$B$5:$B$504,B390,'PAGOS'!$F$5:$F$504,F390)&gt;1),"Referencia repetida",IF(N390&lt;&gt;"Incluir",N390,IF(NOT(ISNUMBER(K390)),"Falta equivalente","Aplicar")))))))</x:f>
      </x:c>
    </x:row>
    <x:row r="391" ht="25" customHeight="1">
      <x:c r="A391" s="22" t="str">
        <x:v>P-387</x:v>
      </x:c>
      <x:c r="B391" s="25" t="str"/>
      <x:c r="C391" s="26" t="str"/>
      <x:c r="D391" s="22" t="str">
        <x:f>IF(C391="","",IF(COUNTIFS('VENTAS'!$A$5:$A$254,C391,'VENTAS'!$C$5:$C$254,"&lt;&gt;")=1,INDEX('VENTAS'!$C$5:$C$254,MATCH(C391,'VENTAS'!$A$5:$A$254,0)),"ID no encontrado"))</x:f>
      </x:c>
      <x:c r="E391" s="22" t="str">
        <x:f>IF(C391="","",IF(COUNTIFS('VENTAS'!$A$5:$A$254,C391,'VENTAS'!$C$5:$C$254,"&lt;&gt;")=1,INDEX('VENTAS'!$D$5:$D$254,MATCH(C391,'VENTAS'!$A$5:$A$254,0)),"ID no encontrado"))</x:f>
      </x:c>
      <x:c r="F391" s="26" t="str"/>
      <x:c r="G391" s="27" t="str"/>
      <x:c r="H391" s="27" t="str"/>
      <x:c r="I391" s="26" t="str"/>
      <x:c r="J391" s="30" t="str"/>
      <x:c r="K391" s="28" t="str">
        <x:f>IF(B391="","",IF(ISNUMBER(H391),H391,IF(AND(ISNUMBER(G391),ISNUMBER(J391),J391&gt;0),ROUND(G391/J391,2),"")))</x:f>
      </x:c>
      <x:c r="L391" s="31" t="str"/>
      <x:c r="M391" s="26" t="str"/>
      <x:c r="N391" s="26" t="str">
        <x:v>Incluir</x:v>
      </x:c>
      <x:c r="O391" s="22" t="str"/>
      <x:c r="P391" s="22" t="str"/>
      <x:c r="Q391" s="22" t="str">
        <x:f>IF(B391="","",IF(C391="","Falta ID venta",IF(D391="ID no encontrado","ID venta inválido",IF(COUNTIFS('PAGOS'!$A$5:$A$504,A391,'PAGOS'!$B$5:$B$504,"&gt;0")&gt;1,"ID duplicado",IF(AND(L391&lt;&gt;"",COUNTIFS('PAGOS'!$L$5:$L$504,L391,'PAGOS'!$B$5:$B$504,B391,'PAGOS'!$F$5:$F$504,F391)&gt;1),"Referencia repetida",IF(N391&lt;&gt;"Incluir",N391,IF(NOT(ISNUMBER(K391)),"Falta equivalente","Aplicar")))))))</x:f>
      </x:c>
    </x:row>
    <x:row r="392" ht="25" customHeight="1">
      <x:c r="A392" s="22" t="str">
        <x:v>P-388</x:v>
      </x:c>
      <x:c r="B392" s="25" t="str"/>
      <x:c r="C392" s="26" t="str"/>
      <x:c r="D392" s="22" t="str">
        <x:f>IF(C392="","",IF(COUNTIFS('VENTAS'!$A$5:$A$254,C392,'VENTAS'!$C$5:$C$254,"&lt;&gt;")=1,INDEX('VENTAS'!$C$5:$C$254,MATCH(C392,'VENTAS'!$A$5:$A$254,0)),"ID no encontrado"))</x:f>
      </x:c>
      <x:c r="E392" s="22" t="str">
        <x:f>IF(C392="","",IF(COUNTIFS('VENTAS'!$A$5:$A$254,C392,'VENTAS'!$C$5:$C$254,"&lt;&gt;")=1,INDEX('VENTAS'!$D$5:$D$254,MATCH(C392,'VENTAS'!$A$5:$A$254,0)),"ID no encontrado"))</x:f>
      </x:c>
      <x:c r="F392" s="26" t="str"/>
      <x:c r="G392" s="27" t="str"/>
      <x:c r="H392" s="27" t="str"/>
      <x:c r="I392" s="26" t="str"/>
      <x:c r="J392" s="30" t="str"/>
      <x:c r="K392" s="28" t="str">
        <x:f>IF(B392="","",IF(ISNUMBER(H392),H392,IF(AND(ISNUMBER(G392),ISNUMBER(J392),J392&gt;0),ROUND(G392/J392,2),"")))</x:f>
      </x:c>
      <x:c r="L392" s="31" t="str"/>
      <x:c r="M392" s="26" t="str"/>
      <x:c r="N392" s="26" t="str">
        <x:v>Incluir</x:v>
      </x:c>
      <x:c r="O392" s="22" t="str"/>
      <x:c r="P392" s="22" t="str"/>
      <x:c r="Q392" s="22" t="str">
        <x:f>IF(B392="","",IF(C392="","Falta ID venta",IF(D392="ID no encontrado","ID venta inválido",IF(COUNTIFS('PAGOS'!$A$5:$A$504,A392,'PAGOS'!$B$5:$B$504,"&gt;0")&gt;1,"ID duplicado",IF(AND(L392&lt;&gt;"",COUNTIFS('PAGOS'!$L$5:$L$504,L392,'PAGOS'!$B$5:$B$504,B392,'PAGOS'!$F$5:$F$504,F392)&gt;1),"Referencia repetida",IF(N392&lt;&gt;"Incluir",N392,IF(NOT(ISNUMBER(K392)),"Falta equivalente","Aplicar")))))))</x:f>
      </x:c>
    </x:row>
    <x:row r="393" ht="25" customHeight="1">
      <x:c r="A393" s="22" t="str">
        <x:v>P-389</x:v>
      </x:c>
      <x:c r="B393" s="25" t="str"/>
      <x:c r="C393" s="26" t="str"/>
      <x:c r="D393" s="22" t="str">
        <x:f>IF(C393="","",IF(COUNTIFS('VENTAS'!$A$5:$A$254,C393,'VENTAS'!$C$5:$C$254,"&lt;&gt;")=1,INDEX('VENTAS'!$C$5:$C$254,MATCH(C393,'VENTAS'!$A$5:$A$254,0)),"ID no encontrado"))</x:f>
      </x:c>
      <x:c r="E393" s="22" t="str">
        <x:f>IF(C393="","",IF(COUNTIFS('VENTAS'!$A$5:$A$254,C393,'VENTAS'!$C$5:$C$254,"&lt;&gt;")=1,INDEX('VENTAS'!$D$5:$D$254,MATCH(C393,'VENTAS'!$A$5:$A$254,0)),"ID no encontrado"))</x:f>
      </x:c>
      <x:c r="F393" s="26" t="str"/>
      <x:c r="G393" s="27" t="str"/>
      <x:c r="H393" s="27" t="str"/>
      <x:c r="I393" s="26" t="str"/>
      <x:c r="J393" s="30" t="str"/>
      <x:c r="K393" s="28" t="str">
        <x:f>IF(B393="","",IF(ISNUMBER(H393),H393,IF(AND(ISNUMBER(G393),ISNUMBER(J393),J393&gt;0),ROUND(G393/J393,2),"")))</x:f>
      </x:c>
      <x:c r="L393" s="31" t="str"/>
      <x:c r="M393" s="26" t="str"/>
      <x:c r="N393" s="26" t="str">
        <x:v>Incluir</x:v>
      </x:c>
      <x:c r="O393" s="22" t="str"/>
      <x:c r="P393" s="22" t="str"/>
      <x:c r="Q393" s="22" t="str">
        <x:f>IF(B393="","",IF(C393="","Falta ID venta",IF(D393="ID no encontrado","ID venta inválido",IF(COUNTIFS('PAGOS'!$A$5:$A$504,A393,'PAGOS'!$B$5:$B$504,"&gt;0")&gt;1,"ID duplicado",IF(AND(L393&lt;&gt;"",COUNTIFS('PAGOS'!$L$5:$L$504,L393,'PAGOS'!$B$5:$B$504,B393,'PAGOS'!$F$5:$F$504,F393)&gt;1),"Referencia repetida",IF(N393&lt;&gt;"Incluir",N393,IF(NOT(ISNUMBER(K393)),"Falta equivalente","Aplicar")))))))</x:f>
      </x:c>
    </x:row>
    <x:row r="394" ht="25" customHeight="1">
      <x:c r="A394" s="22" t="str">
        <x:v>P-390</x:v>
      </x:c>
      <x:c r="B394" s="25" t="str"/>
      <x:c r="C394" s="26" t="str"/>
      <x:c r="D394" s="22" t="str">
        <x:f>IF(C394="","",IF(COUNTIFS('VENTAS'!$A$5:$A$254,C394,'VENTAS'!$C$5:$C$254,"&lt;&gt;")=1,INDEX('VENTAS'!$C$5:$C$254,MATCH(C394,'VENTAS'!$A$5:$A$254,0)),"ID no encontrado"))</x:f>
      </x:c>
      <x:c r="E394" s="22" t="str">
        <x:f>IF(C394="","",IF(COUNTIFS('VENTAS'!$A$5:$A$254,C394,'VENTAS'!$C$5:$C$254,"&lt;&gt;")=1,INDEX('VENTAS'!$D$5:$D$254,MATCH(C394,'VENTAS'!$A$5:$A$254,0)),"ID no encontrado"))</x:f>
      </x:c>
      <x:c r="F394" s="26" t="str"/>
      <x:c r="G394" s="27" t="str"/>
      <x:c r="H394" s="27" t="str"/>
      <x:c r="I394" s="26" t="str"/>
      <x:c r="J394" s="30" t="str"/>
      <x:c r="K394" s="28" t="str">
        <x:f>IF(B394="","",IF(ISNUMBER(H394),H394,IF(AND(ISNUMBER(G394),ISNUMBER(J394),J394&gt;0),ROUND(G394/J394,2),"")))</x:f>
      </x:c>
      <x:c r="L394" s="31" t="str"/>
      <x:c r="M394" s="26" t="str"/>
      <x:c r="N394" s="26" t="str">
        <x:v>Incluir</x:v>
      </x:c>
      <x:c r="O394" s="22" t="str"/>
      <x:c r="P394" s="22" t="str"/>
      <x:c r="Q394" s="22" t="str">
        <x:f>IF(B394="","",IF(C394="","Falta ID venta",IF(D394="ID no encontrado","ID venta inválido",IF(COUNTIFS('PAGOS'!$A$5:$A$504,A394,'PAGOS'!$B$5:$B$504,"&gt;0")&gt;1,"ID duplicado",IF(AND(L394&lt;&gt;"",COUNTIFS('PAGOS'!$L$5:$L$504,L394,'PAGOS'!$B$5:$B$504,B394,'PAGOS'!$F$5:$F$504,F394)&gt;1),"Referencia repetida",IF(N394&lt;&gt;"Incluir",N394,IF(NOT(ISNUMBER(K394)),"Falta equivalente","Aplicar")))))))</x:f>
      </x:c>
    </x:row>
    <x:row r="395" ht="25" customHeight="1">
      <x:c r="A395" s="22" t="str">
        <x:v>P-391</x:v>
      </x:c>
      <x:c r="B395" s="25" t="str"/>
      <x:c r="C395" s="26" t="str"/>
      <x:c r="D395" s="22" t="str">
        <x:f>IF(C395="","",IF(COUNTIFS('VENTAS'!$A$5:$A$254,C395,'VENTAS'!$C$5:$C$254,"&lt;&gt;")=1,INDEX('VENTAS'!$C$5:$C$254,MATCH(C395,'VENTAS'!$A$5:$A$254,0)),"ID no encontrado"))</x:f>
      </x:c>
      <x:c r="E395" s="22" t="str">
        <x:f>IF(C395="","",IF(COUNTIFS('VENTAS'!$A$5:$A$254,C395,'VENTAS'!$C$5:$C$254,"&lt;&gt;")=1,INDEX('VENTAS'!$D$5:$D$254,MATCH(C395,'VENTAS'!$A$5:$A$254,0)),"ID no encontrado"))</x:f>
      </x:c>
      <x:c r="F395" s="26" t="str"/>
      <x:c r="G395" s="27" t="str"/>
      <x:c r="H395" s="27" t="str"/>
      <x:c r="I395" s="26" t="str"/>
      <x:c r="J395" s="30" t="str"/>
      <x:c r="K395" s="28" t="str">
        <x:f>IF(B395="","",IF(ISNUMBER(H395),H395,IF(AND(ISNUMBER(G395),ISNUMBER(J395),J395&gt;0),ROUND(G395/J395,2),"")))</x:f>
      </x:c>
      <x:c r="L395" s="31" t="str"/>
      <x:c r="M395" s="26" t="str"/>
      <x:c r="N395" s="26" t="str">
        <x:v>Incluir</x:v>
      </x:c>
      <x:c r="O395" s="22" t="str"/>
      <x:c r="P395" s="22" t="str"/>
      <x:c r="Q395" s="22" t="str">
        <x:f>IF(B395="","",IF(C395="","Falta ID venta",IF(D395="ID no encontrado","ID venta inválido",IF(COUNTIFS('PAGOS'!$A$5:$A$504,A395,'PAGOS'!$B$5:$B$504,"&gt;0")&gt;1,"ID duplicado",IF(AND(L395&lt;&gt;"",COUNTIFS('PAGOS'!$L$5:$L$504,L395,'PAGOS'!$B$5:$B$504,B395,'PAGOS'!$F$5:$F$504,F395)&gt;1),"Referencia repetida",IF(N395&lt;&gt;"Incluir",N395,IF(NOT(ISNUMBER(K395)),"Falta equivalente","Aplicar")))))))</x:f>
      </x:c>
    </x:row>
    <x:row r="396" ht="25" customHeight="1">
      <x:c r="A396" s="22" t="str">
        <x:v>P-392</x:v>
      </x:c>
      <x:c r="B396" s="25" t="str"/>
      <x:c r="C396" s="26" t="str"/>
      <x:c r="D396" s="22" t="str">
        <x:f>IF(C396="","",IF(COUNTIFS('VENTAS'!$A$5:$A$254,C396,'VENTAS'!$C$5:$C$254,"&lt;&gt;")=1,INDEX('VENTAS'!$C$5:$C$254,MATCH(C396,'VENTAS'!$A$5:$A$254,0)),"ID no encontrado"))</x:f>
      </x:c>
      <x:c r="E396" s="22" t="str">
        <x:f>IF(C396="","",IF(COUNTIFS('VENTAS'!$A$5:$A$254,C396,'VENTAS'!$C$5:$C$254,"&lt;&gt;")=1,INDEX('VENTAS'!$D$5:$D$254,MATCH(C396,'VENTAS'!$A$5:$A$254,0)),"ID no encontrado"))</x:f>
      </x:c>
      <x:c r="F396" s="26" t="str"/>
      <x:c r="G396" s="27" t="str"/>
      <x:c r="H396" s="27" t="str"/>
      <x:c r="I396" s="26" t="str"/>
      <x:c r="J396" s="30" t="str"/>
      <x:c r="K396" s="28" t="str">
        <x:f>IF(B396="","",IF(ISNUMBER(H396),H396,IF(AND(ISNUMBER(G396),ISNUMBER(J396),J396&gt;0),ROUND(G396/J396,2),"")))</x:f>
      </x:c>
      <x:c r="L396" s="31" t="str"/>
      <x:c r="M396" s="26" t="str"/>
      <x:c r="N396" s="26" t="str">
        <x:v>Incluir</x:v>
      </x:c>
      <x:c r="O396" s="22" t="str"/>
      <x:c r="P396" s="22" t="str"/>
      <x:c r="Q396" s="22" t="str">
        <x:f>IF(B396="","",IF(C396="","Falta ID venta",IF(D396="ID no encontrado","ID venta inválido",IF(COUNTIFS('PAGOS'!$A$5:$A$504,A396,'PAGOS'!$B$5:$B$504,"&gt;0")&gt;1,"ID duplicado",IF(AND(L396&lt;&gt;"",COUNTIFS('PAGOS'!$L$5:$L$504,L396,'PAGOS'!$B$5:$B$504,B396,'PAGOS'!$F$5:$F$504,F396)&gt;1),"Referencia repetida",IF(N396&lt;&gt;"Incluir",N396,IF(NOT(ISNUMBER(K396)),"Falta equivalente","Aplicar")))))))</x:f>
      </x:c>
    </x:row>
    <x:row r="397" ht="25" customHeight="1">
      <x:c r="A397" s="22" t="str">
        <x:v>P-393</x:v>
      </x:c>
      <x:c r="B397" s="25" t="str"/>
      <x:c r="C397" s="26" t="str"/>
      <x:c r="D397" s="22" t="str">
        <x:f>IF(C397="","",IF(COUNTIFS('VENTAS'!$A$5:$A$254,C397,'VENTAS'!$C$5:$C$254,"&lt;&gt;")=1,INDEX('VENTAS'!$C$5:$C$254,MATCH(C397,'VENTAS'!$A$5:$A$254,0)),"ID no encontrado"))</x:f>
      </x:c>
      <x:c r="E397" s="22" t="str">
        <x:f>IF(C397="","",IF(COUNTIFS('VENTAS'!$A$5:$A$254,C397,'VENTAS'!$C$5:$C$254,"&lt;&gt;")=1,INDEX('VENTAS'!$D$5:$D$254,MATCH(C397,'VENTAS'!$A$5:$A$254,0)),"ID no encontrado"))</x:f>
      </x:c>
      <x:c r="F397" s="26" t="str"/>
      <x:c r="G397" s="27" t="str"/>
      <x:c r="H397" s="27" t="str"/>
      <x:c r="I397" s="26" t="str"/>
      <x:c r="J397" s="30" t="str"/>
      <x:c r="K397" s="28" t="str">
        <x:f>IF(B397="","",IF(ISNUMBER(H397),H397,IF(AND(ISNUMBER(G397),ISNUMBER(J397),J397&gt;0),ROUND(G397/J397,2),"")))</x:f>
      </x:c>
      <x:c r="L397" s="31" t="str"/>
      <x:c r="M397" s="26" t="str"/>
      <x:c r="N397" s="26" t="str">
        <x:v>Incluir</x:v>
      </x:c>
      <x:c r="O397" s="22" t="str"/>
      <x:c r="P397" s="22" t="str"/>
      <x:c r="Q397" s="22" t="str">
        <x:f>IF(B397="","",IF(C397="","Falta ID venta",IF(D397="ID no encontrado","ID venta inválido",IF(COUNTIFS('PAGOS'!$A$5:$A$504,A397,'PAGOS'!$B$5:$B$504,"&gt;0")&gt;1,"ID duplicado",IF(AND(L397&lt;&gt;"",COUNTIFS('PAGOS'!$L$5:$L$504,L397,'PAGOS'!$B$5:$B$504,B397,'PAGOS'!$F$5:$F$504,F397)&gt;1),"Referencia repetida",IF(N397&lt;&gt;"Incluir",N397,IF(NOT(ISNUMBER(K397)),"Falta equivalente","Aplicar")))))))</x:f>
      </x:c>
    </x:row>
    <x:row r="398" ht="25" customHeight="1">
      <x:c r="A398" s="22" t="str">
        <x:v>P-394</x:v>
      </x:c>
      <x:c r="B398" s="25" t="str"/>
      <x:c r="C398" s="26" t="str"/>
      <x:c r="D398" s="22" t="str">
        <x:f>IF(C398="","",IF(COUNTIFS('VENTAS'!$A$5:$A$254,C398,'VENTAS'!$C$5:$C$254,"&lt;&gt;")=1,INDEX('VENTAS'!$C$5:$C$254,MATCH(C398,'VENTAS'!$A$5:$A$254,0)),"ID no encontrado"))</x:f>
      </x:c>
      <x:c r="E398" s="22" t="str">
        <x:f>IF(C398="","",IF(COUNTIFS('VENTAS'!$A$5:$A$254,C398,'VENTAS'!$C$5:$C$254,"&lt;&gt;")=1,INDEX('VENTAS'!$D$5:$D$254,MATCH(C398,'VENTAS'!$A$5:$A$254,0)),"ID no encontrado"))</x:f>
      </x:c>
      <x:c r="F398" s="26" t="str"/>
      <x:c r="G398" s="27" t="str"/>
      <x:c r="H398" s="27" t="str"/>
      <x:c r="I398" s="26" t="str"/>
      <x:c r="J398" s="30" t="str"/>
      <x:c r="K398" s="28" t="str">
        <x:f>IF(B398="","",IF(ISNUMBER(H398),H398,IF(AND(ISNUMBER(G398),ISNUMBER(J398),J398&gt;0),ROUND(G398/J398,2),"")))</x:f>
      </x:c>
      <x:c r="L398" s="31" t="str"/>
      <x:c r="M398" s="26" t="str"/>
      <x:c r="N398" s="26" t="str">
        <x:v>Incluir</x:v>
      </x:c>
      <x:c r="O398" s="22" t="str"/>
      <x:c r="P398" s="22" t="str"/>
      <x:c r="Q398" s="22" t="str">
        <x:f>IF(B398="","",IF(C398="","Falta ID venta",IF(D398="ID no encontrado","ID venta inválido",IF(COUNTIFS('PAGOS'!$A$5:$A$504,A398,'PAGOS'!$B$5:$B$504,"&gt;0")&gt;1,"ID duplicado",IF(AND(L398&lt;&gt;"",COUNTIFS('PAGOS'!$L$5:$L$504,L398,'PAGOS'!$B$5:$B$504,B398,'PAGOS'!$F$5:$F$504,F398)&gt;1),"Referencia repetida",IF(N398&lt;&gt;"Incluir",N398,IF(NOT(ISNUMBER(K398)),"Falta equivalente","Aplicar")))))))</x:f>
      </x:c>
    </x:row>
    <x:row r="399" ht="25" customHeight="1">
      <x:c r="A399" s="22" t="str">
        <x:v>P-395</x:v>
      </x:c>
      <x:c r="B399" s="25" t="str"/>
      <x:c r="C399" s="26" t="str"/>
      <x:c r="D399" s="22" t="str">
        <x:f>IF(C399="","",IF(COUNTIFS('VENTAS'!$A$5:$A$254,C399,'VENTAS'!$C$5:$C$254,"&lt;&gt;")=1,INDEX('VENTAS'!$C$5:$C$254,MATCH(C399,'VENTAS'!$A$5:$A$254,0)),"ID no encontrado"))</x:f>
      </x:c>
      <x:c r="E399" s="22" t="str">
        <x:f>IF(C399="","",IF(COUNTIFS('VENTAS'!$A$5:$A$254,C399,'VENTAS'!$C$5:$C$254,"&lt;&gt;")=1,INDEX('VENTAS'!$D$5:$D$254,MATCH(C399,'VENTAS'!$A$5:$A$254,0)),"ID no encontrado"))</x:f>
      </x:c>
      <x:c r="F399" s="26" t="str"/>
      <x:c r="G399" s="27" t="str"/>
      <x:c r="H399" s="27" t="str"/>
      <x:c r="I399" s="26" t="str"/>
      <x:c r="J399" s="30" t="str"/>
      <x:c r="K399" s="28" t="str">
        <x:f>IF(B399="","",IF(ISNUMBER(H399),H399,IF(AND(ISNUMBER(G399),ISNUMBER(J399),J399&gt;0),ROUND(G399/J399,2),"")))</x:f>
      </x:c>
      <x:c r="L399" s="31" t="str"/>
      <x:c r="M399" s="26" t="str"/>
      <x:c r="N399" s="26" t="str">
        <x:v>Incluir</x:v>
      </x:c>
      <x:c r="O399" s="22" t="str"/>
      <x:c r="P399" s="22" t="str"/>
      <x:c r="Q399" s="22" t="str">
        <x:f>IF(B399="","",IF(C399="","Falta ID venta",IF(D399="ID no encontrado","ID venta inválido",IF(COUNTIFS('PAGOS'!$A$5:$A$504,A399,'PAGOS'!$B$5:$B$504,"&gt;0")&gt;1,"ID duplicado",IF(AND(L399&lt;&gt;"",COUNTIFS('PAGOS'!$L$5:$L$504,L399,'PAGOS'!$B$5:$B$504,B399,'PAGOS'!$F$5:$F$504,F399)&gt;1),"Referencia repetida",IF(N399&lt;&gt;"Incluir",N399,IF(NOT(ISNUMBER(K399)),"Falta equivalente","Aplicar")))))))</x:f>
      </x:c>
    </x:row>
    <x:row r="400" ht="25" customHeight="1">
      <x:c r="A400" s="22" t="str">
        <x:v>P-396</x:v>
      </x:c>
      <x:c r="B400" s="25" t="str"/>
      <x:c r="C400" s="26" t="str"/>
      <x:c r="D400" s="22" t="str">
        <x:f>IF(C400="","",IF(COUNTIFS('VENTAS'!$A$5:$A$254,C400,'VENTAS'!$C$5:$C$254,"&lt;&gt;")=1,INDEX('VENTAS'!$C$5:$C$254,MATCH(C400,'VENTAS'!$A$5:$A$254,0)),"ID no encontrado"))</x:f>
      </x:c>
      <x:c r="E400" s="22" t="str">
        <x:f>IF(C400="","",IF(COUNTIFS('VENTAS'!$A$5:$A$254,C400,'VENTAS'!$C$5:$C$254,"&lt;&gt;")=1,INDEX('VENTAS'!$D$5:$D$254,MATCH(C400,'VENTAS'!$A$5:$A$254,0)),"ID no encontrado"))</x:f>
      </x:c>
      <x:c r="F400" s="26" t="str"/>
      <x:c r="G400" s="27" t="str"/>
      <x:c r="H400" s="27" t="str"/>
      <x:c r="I400" s="26" t="str"/>
      <x:c r="J400" s="30" t="str"/>
      <x:c r="K400" s="28" t="str">
        <x:f>IF(B400="","",IF(ISNUMBER(H400),H400,IF(AND(ISNUMBER(G400),ISNUMBER(J400),J400&gt;0),ROUND(G400/J400,2),"")))</x:f>
      </x:c>
      <x:c r="L400" s="31" t="str"/>
      <x:c r="M400" s="26" t="str"/>
      <x:c r="N400" s="26" t="str">
        <x:v>Incluir</x:v>
      </x:c>
      <x:c r="O400" s="22" t="str"/>
      <x:c r="P400" s="22" t="str"/>
      <x:c r="Q400" s="22" t="str">
        <x:f>IF(B400="","",IF(C400="","Falta ID venta",IF(D400="ID no encontrado","ID venta inválido",IF(COUNTIFS('PAGOS'!$A$5:$A$504,A400,'PAGOS'!$B$5:$B$504,"&gt;0")&gt;1,"ID duplicado",IF(AND(L400&lt;&gt;"",COUNTIFS('PAGOS'!$L$5:$L$504,L400,'PAGOS'!$B$5:$B$504,B400,'PAGOS'!$F$5:$F$504,F400)&gt;1),"Referencia repetida",IF(N400&lt;&gt;"Incluir",N400,IF(NOT(ISNUMBER(K400)),"Falta equivalente","Aplicar")))))))</x:f>
      </x:c>
    </x:row>
    <x:row r="401" ht="25" customHeight="1">
      <x:c r="A401" s="22" t="str">
        <x:v>P-397</x:v>
      </x:c>
      <x:c r="B401" s="25" t="str"/>
      <x:c r="C401" s="26" t="str"/>
      <x:c r="D401" s="22" t="str">
        <x:f>IF(C401="","",IF(COUNTIFS('VENTAS'!$A$5:$A$254,C401,'VENTAS'!$C$5:$C$254,"&lt;&gt;")=1,INDEX('VENTAS'!$C$5:$C$254,MATCH(C401,'VENTAS'!$A$5:$A$254,0)),"ID no encontrado"))</x:f>
      </x:c>
      <x:c r="E401" s="22" t="str">
        <x:f>IF(C401="","",IF(COUNTIFS('VENTAS'!$A$5:$A$254,C401,'VENTAS'!$C$5:$C$254,"&lt;&gt;")=1,INDEX('VENTAS'!$D$5:$D$254,MATCH(C401,'VENTAS'!$A$5:$A$254,0)),"ID no encontrado"))</x:f>
      </x:c>
      <x:c r="F401" s="26" t="str"/>
      <x:c r="G401" s="27" t="str"/>
      <x:c r="H401" s="27" t="str"/>
      <x:c r="I401" s="26" t="str"/>
      <x:c r="J401" s="30" t="str"/>
      <x:c r="K401" s="28" t="str">
        <x:f>IF(B401="","",IF(ISNUMBER(H401),H401,IF(AND(ISNUMBER(G401),ISNUMBER(J401),J401&gt;0),ROUND(G401/J401,2),"")))</x:f>
      </x:c>
      <x:c r="L401" s="31" t="str"/>
      <x:c r="M401" s="26" t="str"/>
      <x:c r="N401" s="26" t="str">
        <x:v>Incluir</x:v>
      </x:c>
      <x:c r="O401" s="22" t="str"/>
      <x:c r="P401" s="22" t="str"/>
      <x:c r="Q401" s="22" t="str">
        <x:f>IF(B401="","",IF(C401="","Falta ID venta",IF(D401="ID no encontrado","ID venta inválido",IF(COUNTIFS('PAGOS'!$A$5:$A$504,A401,'PAGOS'!$B$5:$B$504,"&gt;0")&gt;1,"ID duplicado",IF(AND(L401&lt;&gt;"",COUNTIFS('PAGOS'!$L$5:$L$504,L401,'PAGOS'!$B$5:$B$504,B401,'PAGOS'!$F$5:$F$504,F401)&gt;1),"Referencia repetida",IF(N401&lt;&gt;"Incluir",N401,IF(NOT(ISNUMBER(K401)),"Falta equivalente","Aplicar")))))))</x:f>
      </x:c>
    </x:row>
    <x:row r="402" ht="25" customHeight="1">
      <x:c r="A402" s="22" t="str">
        <x:v>P-398</x:v>
      </x:c>
      <x:c r="B402" s="25" t="str"/>
      <x:c r="C402" s="26" t="str"/>
      <x:c r="D402" s="22" t="str">
        <x:f>IF(C402="","",IF(COUNTIFS('VENTAS'!$A$5:$A$254,C402,'VENTAS'!$C$5:$C$254,"&lt;&gt;")=1,INDEX('VENTAS'!$C$5:$C$254,MATCH(C402,'VENTAS'!$A$5:$A$254,0)),"ID no encontrado"))</x:f>
      </x:c>
      <x:c r="E402" s="22" t="str">
        <x:f>IF(C402="","",IF(COUNTIFS('VENTAS'!$A$5:$A$254,C402,'VENTAS'!$C$5:$C$254,"&lt;&gt;")=1,INDEX('VENTAS'!$D$5:$D$254,MATCH(C402,'VENTAS'!$A$5:$A$254,0)),"ID no encontrado"))</x:f>
      </x:c>
      <x:c r="F402" s="26" t="str"/>
      <x:c r="G402" s="27" t="str"/>
      <x:c r="H402" s="27" t="str"/>
      <x:c r="I402" s="26" t="str"/>
      <x:c r="J402" s="30" t="str"/>
      <x:c r="K402" s="28" t="str">
        <x:f>IF(B402="","",IF(ISNUMBER(H402),H402,IF(AND(ISNUMBER(G402),ISNUMBER(J402),J402&gt;0),ROUND(G402/J402,2),"")))</x:f>
      </x:c>
      <x:c r="L402" s="31" t="str"/>
      <x:c r="M402" s="26" t="str"/>
      <x:c r="N402" s="26" t="str">
        <x:v>Incluir</x:v>
      </x:c>
      <x:c r="O402" s="22" t="str"/>
      <x:c r="P402" s="22" t="str"/>
      <x:c r="Q402" s="22" t="str">
        <x:f>IF(B402="","",IF(C402="","Falta ID venta",IF(D402="ID no encontrado","ID venta inválido",IF(COUNTIFS('PAGOS'!$A$5:$A$504,A402,'PAGOS'!$B$5:$B$504,"&gt;0")&gt;1,"ID duplicado",IF(AND(L402&lt;&gt;"",COUNTIFS('PAGOS'!$L$5:$L$504,L402,'PAGOS'!$B$5:$B$504,B402,'PAGOS'!$F$5:$F$504,F402)&gt;1),"Referencia repetida",IF(N402&lt;&gt;"Incluir",N402,IF(NOT(ISNUMBER(K402)),"Falta equivalente","Aplicar")))))))</x:f>
      </x:c>
    </x:row>
    <x:row r="403" ht="25" customHeight="1">
      <x:c r="A403" s="22" t="str">
        <x:v>P-399</x:v>
      </x:c>
      <x:c r="B403" s="25" t="str"/>
      <x:c r="C403" s="26" t="str"/>
      <x:c r="D403" s="22" t="str">
        <x:f>IF(C403="","",IF(COUNTIFS('VENTAS'!$A$5:$A$254,C403,'VENTAS'!$C$5:$C$254,"&lt;&gt;")=1,INDEX('VENTAS'!$C$5:$C$254,MATCH(C403,'VENTAS'!$A$5:$A$254,0)),"ID no encontrado"))</x:f>
      </x:c>
      <x:c r="E403" s="22" t="str">
        <x:f>IF(C403="","",IF(COUNTIFS('VENTAS'!$A$5:$A$254,C403,'VENTAS'!$C$5:$C$254,"&lt;&gt;")=1,INDEX('VENTAS'!$D$5:$D$254,MATCH(C403,'VENTAS'!$A$5:$A$254,0)),"ID no encontrado"))</x:f>
      </x:c>
      <x:c r="F403" s="26" t="str"/>
      <x:c r="G403" s="27" t="str"/>
      <x:c r="H403" s="27" t="str"/>
      <x:c r="I403" s="26" t="str"/>
      <x:c r="J403" s="30" t="str"/>
      <x:c r="K403" s="28" t="str">
        <x:f>IF(B403="","",IF(ISNUMBER(H403),H403,IF(AND(ISNUMBER(G403),ISNUMBER(J403),J403&gt;0),ROUND(G403/J403,2),"")))</x:f>
      </x:c>
      <x:c r="L403" s="31" t="str"/>
      <x:c r="M403" s="26" t="str"/>
      <x:c r="N403" s="26" t="str">
        <x:v>Incluir</x:v>
      </x:c>
      <x:c r="O403" s="22" t="str"/>
      <x:c r="P403" s="22" t="str"/>
      <x:c r="Q403" s="22" t="str">
        <x:f>IF(B403="","",IF(C403="","Falta ID venta",IF(D403="ID no encontrado","ID venta inválido",IF(COUNTIFS('PAGOS'!$A$5:$A$504,A403,'PAGOS'!$B$5:$B$504,"&gt;0")&gt;1,"ID duplicado",IF(AND(L403&lt;&gt;"",COUNTIFS('PAGOS'!$L$5:$L$504,L403,'PAGOS'!$B$5:$B$504,B403,'PAGOS'!$F$5:$F$504,F403)&gt;1),"Referencia repetida",IF(N403&lt;&gt;"Incluir",N403,IF(NOT(ISNUMBER(K403)),"Falta equivalente","Aplicar")))))))</x:f>
      </x:c>
    </x:row>
    <x:row r="404" ht="25" customHeight="1">
      <x:c r="A404" s="22" t="str">
        <x:v>P-400</x:v>
      </x:c>
      <x:c r="B404" s="25" t="str"/>
      <x:c r="C404" s="26" t="str"/>
      <x:c r="D404" s="22" t="str">
        <x:f>IF(C404="","",IF(COUNTIFS('VENTAS'!$A$5:$A$254,C404,'VENTAS'!$C$5:$C$254,"&lt;&gt;")=1,INDEX('VENTAS'!$C$5:$C$254,MATCH(C404,'VENTAS'!$A$5:$A$254,0)),"ID no encontrado"))</x:f>
      </x:c>
      <x:c r="E404" s="22" t="str">
        <x:f>IF(C404="","",IF(COUNTIFS('VENTAS'!$A$5:$A$254,C404,'VENTAS'!$C$5:$C$254,"&lt;&gt;")=1,INDEX('VENTAS'!$D$5:$D$254,MATCH(C404,'VENTAS'!$A$5:$A$254,0)),"ID no encontrado"))</x:f>
      </x:c>
      <x:c r="F404" s="26" t="str"/>
      <x:c r="G404" s="27" t="str"/>
      <x:c r="H404" s="27" t="str"/>
      <x:c r="I404" s="26" t="str"/>
      <x:c r="J404" s="30" t="str"/>
      <x:c r="K404" s="28" t="str">
        <x:f>IF(B404="","",IF(ISNUMBER(H404),H404,IF(AND(ISNUMBER(G404),ISNUMBER(J404),J404&gt;0),ROUND(G404/J404,2),"")))</x:f>
      </x:c>
      <x:c r="L404" s="31" t="str"/>
      <x:c r="M404" s="26" t="str"/>
      <x:c r="N404" s="26" t="str">
        <x:v>Incluir</x:v>
      </x:c>
      <x:c r="O404" s="22" t="str"/>
      <x:c r="P404" s="22" t="str"/>
      <x:c r="Q404" s="22" t="str">
        <x:f>IF(B404="","",IF(C404="","Falta ID venta",IF(D404="ID no encontrado","ID venta inválido",IF(COUNTIFS('PAGOS'!$A$5:$A$504,A404,'PAGOS'!$B$5:$B$504,"&gt;0")&gt;1,"ID duplicado",IF(AND(L404&lt;&gt;"",COUNTIFS('PAGOS'!$L$5:$L$504,L404,'PAGOS'!$B$5:$B$504,B404,'PAGOS'!$F$5:$F$504,F404)&gt;1),"Referencia repetida",IF(N404&lt;&gt;"Incluir",N404,IF(NOT(ISNUMBER(K404)),"Falta equivalente","Aplicar")))))))</x:f>
      </x:c>
    </x:row>
    <x:row r="405" ht="25" customHeight="1">
      <x:c r="A405" s="22" t="str">
        <x:v>P-401</x:v>
      </x:c>
      <x:c r="B405" s="25" t="str"/>
      <x:c r="C405" s="26" t="str"/>
      <x:c r="D405" s="22" t="str">
        <x:f>IF(C405="","",IF(COUNTIFS('VENTAS'!$A$5:$A$254,C405,'VENTAS'!$C$5:$C$254,"&lt;&gt;")=1,INDEX('VENTAS'!$C$5:$C$254,MATCH(C405,'VENTAS'!$A$5:$A$254,0)),"ID no encontrado"))</x:f>
      </x:c>
      <x:c r="E405" s="22" t="str">
        <x:f>IF(C405="","",IF(COUNTIFS('VENTAS'!$A$5:$A$254,C405,'VENTAS'!$C$5:$C$254,"&lt;&gt;")=1,INDEX('VENTAS'!$D$5:$D$254,MATCH(C405,'VENTAS'!$A$5:$A$254,0)),"ID no encontrado"))</x:f>
      </x:c>
      <x:c r="F405" s="26" t="str"/>
      <x:c r="G405" s="27" t="str"/>
      <x:c r="H405" s="27" t="str"/>
      <x:c r="I405" s="26" t="str"/>
      <x:c r="J405" s="30" t="str"/>
      <x:c r="K405" s="28" t="str">
        <x:f>IF(B405="","",IF(ISNUMBER(H405),H405,IF(AND(ISNUMBER(G405),ISNUMBER(J405),J405&gt;0),ROUND(G405/J405,2),"")))</x:f>
      </x:c>
      <x:c r="L405" s="31" t="str"/>
      <x:c r="M405" s="26" t="str"/>
      <x:c r="N405" s="26" t="str">
        <x:v>Incluir</x:v>
      </x:c>
      <x:c r="O405" s="22" t="str"/>
      <x:c r="P405" s="22" t="str"/>
      <x:c r="Q405" s="22" t="str">
        <x:f>IF(B405="","",IF(C405="","Falta ID venta",IF(D405="ID no encontrado","ID venta inválido",IF(COUNTIFS('PAGOS'!$A$5:$A$504,A405,'PAGOS'!$B$5:$B$504,"&gt;0")&gt;1,"ID duplicado",IF(AND(L405&lt;&gt;"",COUNTIFS('PAGOS'!$L$5:$L$504,L405,'PAGOS'!$B$5:$B$504,B405,'PAGOS'!$F$5:$F$504,F405)&gt;1),"Referencia repetida",IF(N405&lt;&gt;"Incluir",N405,IF(NOT(ISNUMBER(K405)),"Falta equivalente","Aplicar")))))))</x:f>
      </x:c>
    </x:row>
    <x:row r="406" ht="25" customHeight="1">
      <x:c r="A406" s="22" t="str">
        <x:v>P-402</x:v>
      </x:c>
      <x:c r="B406" s="25" t="str"/>
      <x:c r="C406" s="26" t="str"/>
      <x:c r="D406" s="22" t="str">
        <x:f>IF(C406="","",IF(COUNTIFS('VENTAS'!$A$5:$A$254,C406,'VENTAS'!$C$5:$C$254,"&lt;&gt;")=1,INDEX('VENTAS'!$C$5:$C$254,MATCH(C406,'VENTAS'!$A$5:$A$254,0)),"ID no encontrado"))</x:f>
      </x:c>
      <x:c r="E406" s="22" t="str">
        <x:f>IF(C406="","",IF(COUNTIFS('VENTAS'!$A$5:$A$254,C406,'VENTAS'!$C$5:$C$254,"&lt;&gt;")=1,INDEX('VENTAS'!$D$5:$D$254,MATCH(C406,'VENTAS'!$A$5:$A$254,0)),"ID no encontrado"))</x:f>
      </x:c>
      <x:c r="F406" s="26" t="str"/>
      <x:c r="G406" s="27" t="str"/>
      <x:c r="H406" s="27" t="str"/>
      <x:c r="I406" s="26" t="str"/>
      <x:c r="J406" s="30" t="str"/>
      <x:c r="K406" s="28" t="str">
        <x:f>IF(B406="","",IF(ISNUMBER(H406),H406,IF(AND(ISNUMBER(G406),ISNUMBER(J406),J406&gt;0),ROUND(G406/J406,2),"")))</x:f>
      </x:c>
      <x:c r="L406" s="31" t="str"/>
      <x:c r="M406" s="26" t="str"/>
      <x:c r="N406" s="26" t="str">
        <x:v>Incluir</x:v>
      </x:c>
      <x:c r="O406" s="22" t="str"/>
      <x:c r="P406" s="22" t="str"/>
      <x:c r="Q406" s="22" t="str">
        <x:f>IF(B406="","",IF(C406="","Falta ID venta",IF(D406="ID no encontrado","ID venta inválido",IF(COUNTIFS('PAGOS'!$A$5:$A$504,A406,'PAGOS'!$B$5:$B$504,"&gt;0")&gt;1,"ID duplicado",IF(AND(L406&lt;&gt;"",COUNTIFS('PAGOS'!$L$5:$L$504,L406,'PAGOS'!$B$5:$B$504,B406,'PAGOS'!$F$5:$F$504,F406)&gt;1),"Referencia repetida",IF(N406&lt;&gt;"Incluir",N406,IF(NOT(ISNUMBER(K406)),"Falta equivalente","Aplicar")))))))</x:f>
      </x:c>
    </x:row>
    <x:row r="407" ht="25" customHeight="1">
      <x:c r="A407" s="22" t="str">
        <x:v>P-403</x:v>
      </x:c>
      <x:c r="B407" s="25" t="str"/>
      <x:c r="C407" s="26" t="str"/>
      <x:c r="D407" s="22" t="str">
        <x:f>IF(C407="","",IF(COUNTIFS('VENTAS'!$A$5:$A$254,C407,'VENTAS'!$C$5:$C$254,"&lt;&gt;")=1,INDEX('VENTAS'!$C$5:$C$254,MATCH(C407,'VENTAS'!$A$5:$A$254,0)),"ID no encontrado"))</x:f>
      </x:c>
      <x:c r="E407" s="22" t="str">
        <x:f>IF(C407="","",IF(COUNTIFS('VENTAS'!$A$5:$A$254,C407,'VENTAS'!$C$5:$C$254,"&lt;&gt;")=1,INDEX('VENTAS'!$D$5:$D$254,MATCH(C407,'VENTAS'!$A$5:$A$254,0)),"ID no encontrado"))</x:f>
      </x:c>
      <x:c r="F407" s="26" t="str"/>
      <x:c r="G407" s="27" t="str"/>
      <x:c r="H407" s="27" t="str"/>
      <x:c r="I407" s="26" t="str"/>
      <x:c r="J407" s="30" t="str"/>
      <x:c r="K407" s="28" t="str">
        <x:f>IF(B407="","",IF(ISNUMBER(H407),H407,IF(AND(ISNUMBER(G407),ISNUMBER(J407),J407&gt;0),ROUND(G407/J407,2),"")))</x:f>
      </x:c>
      <x:c r="L407" s="31" t="str"/>
      <x:c r="M407" s="26" t="str"/>
      <x:c r="N407" s="26" t="str">
        <x:v>Incluir</x:v>
      </x:c>
      <x:c r="O407" s="22" t="str"/>
      <x:c r="P407" s="22" t="str"/>
      <x:c r="Q407" s="22" t="str">
        <x:f>IF(B407="","",IF(C407="","Falta ID venta",IF(D407="ID no encontrado","ID venta inválido",IF(COUNTIFS('PAGOS'!$A$5:$A$504,A407,'PAGOS'!$B$5:$B$504,"&gt;0")&gt;1,"ID duplicado",IF(AND(L407&lt;&gt;"",COUNTIFS('PAGOS'!$L$5:$L$504,L407,'PAGOS'!$B$5:$B$504,B407,'PAGOS'!$F$5:$F$504,F407)&gt;1),"Referencia repetida",IF(N407&lt;&gt;"Incluir",N407,IF(NOT(ISNUMBER(K407)),"Falta equivalente","Aplicar")))))))</x:f>
      </x:c>
    </x:row>
    <x:row r="408" ht="25" customHeight="1">
      <x:c r="A408" s="22" t="str">
        <x:v>P-404</x:v>
      </x:c>
      <x:c r="B408" s="25" t="str"/>
      <x:c r="C408" s="26" t="str"/>
      <x:c r="D408" s="22" t="str">
        <x:f>IF(C408="","",IF(COUNTIFS('VENTAS'!$A$5:$A$254,C408,'VENTAS'!$C$5:$C$254,"&lt;&gt;")=1,INDEX('VENTAS'!$C$5:$C$254,MATCH(C408,'VENTAS'!$A$5:$A$254,0)),"ID no encontrado"))</x:f>
      </x:c>
      <x:c r="E408" s="22" t="str">
        <x:f>IF(C408="","",IF(COUNTIFS('VENTAS'!$A$5:$A$254,C408,'VENTAS'!$C$5:$C$254,"&lt;&gt;")=1,INDEX('VENTAS'!$D$5:$D$254,MATCH(C408,'VENTAS'!$A$5:$A$254,0)),"ID no encontrado"))</x:f>
      </x:c>
      <x:c r="F408" s="26" t="str"/>
      <x:c r="G408" s="27" t="str"/>
      <x:c r="H408" s="27" t="str"/>
      <x:c r="I408" s="26" t="str"/>
      <x:c r="J408" s="30" t="str"/>
      <x:c r="K408" s="28" t="str">
        <x:f>IF(B408="","",IF(ISNUMBER(H408),H408,IF(AND(ISNUMBER(G408),ISNUMBER(J408),J408&gt;0),ROUND(G408/J408,2),"")))</x:f>
      </x:c>
      <x:c r="L408" s="31" t="str"/>
      <x:c r="M408" s="26" t="str"/>
      <x:c r="N408" s="26" t="str">
        <x:v>Incluir</x:v>
      </x:c>
      <x:c r="O408" s="22" t="str"/>
      <x:c r="P408" s="22" t="str"/>
      <x:c r="Q408" s="22" t="str">
        <x:f>IF(B408="","",IF(C408="","Falta ID venta",IF(D408="ID no encontrado","ID venta inválido",IF(COUNTIFS('PAGOS'!$A$5:$A$504,A408,'PAGOS'!$B$5:$B$504,"&gt;0")&gt;1,"ID duplicado",IF(AND(L408&lt;&gt;"",COUNTIFS('PAGOS'!$L$5:$L$504,L408,'PAGOS'!$B$5:$B$504,B408,'PAGOS'!$F$5:$F$504,F408)&gt;1),"Referencia repetida",IF(N408&lt;&gt;"Incluir",N408,IF(NOT(ISNUMBER(K408)),"Falta equivalente","Aplicar")))))))</x:f>
      </x:c>
    </x:row>
    <x:row r="409" ht="25" customHeight="1">
      <x:c r="A409" s="22" t="str">
        <x:v>P-405</x:v>
      </x:c>
      <x:c r="B409" s="25" t="str"/>
      <x:c r="C409" s="26" t="str"/>
      <x:c r="D409" s="22" t="str">
        <x:f>IF(C409="","",IF(COUNTIFS('VENTAS'!$A$5:$A$254,C409,'VENTAS'!$C$5:$C$254,"&lt;&gt;")=1,INDEX('VENTAS'!$C$5:$C$254,MATCH(C409,'VENTAS'!$A$5:$A$254,0)),"ID no encontrado"))</x:f>
      </x:c>
      <x:c r="E409" s="22" t="str">
        <x:f>IF(C409="","",IF(COUNTIFS('VENTAS'!$A$5:$A$254,C409,'VENTAS'!$C$5:$C$254,"&lt;&gt;")=1,INDEX('VENTAS'!$D$5:$D$254,MATCH(C409,'VENTAS'!$A$5:$A$254,0)),"ID no encontrado"))</x:f>
      </x:c>
      <x:c r="F409" s="26" t="str"/>
      <x:c r="G409" s="27" t="str"/>
      <x:c r="H409" s="27" t="str"/>
      <x:c r="I409" s="26" t="str"/>
      <x:c r="J409" s="30" t="str"/>
      <x:c r="K409" s="28" t="str">
        <x:f>IF(B409="","",IF(ISNUMBER(H409),H409,IF(AND(ISNUMBER(G409),ISNUMBER(J409),J409&gt;0),ROUND(G409/J409,2),"")))</x:f>
      </x:c>
      <x:c r="L409" s="31" t="str"/>
      <x:c r="M409" s="26" t="str"/>
      <x:c r="N409" s="26" t="str">
        <x:v>Incluir</x:v>
      </x:c>
      <x:c r="O409" s="22" t="str"/>
      <x:c r="P409" s="22" t="str"/>
      <x:c r="Q409" s="22" t="str">
        <x:f>IF(B409="","",IF(C409="","Falta ID venta",IF(D409="ID no encontrado","ID venta inválido",IF(COUNTIFS('PAGOS'!$A$5:$A$504,A409,'PAGOS'!$B$5:$B$504,"&gt;0")&gt;1,"ID duplicado",IF(AND(L409&lt;&gt;"",COUNTIFS('PAGOS'!$L$5:$L$504,L409,'PAGOS'!$B$5:$B$504,B409,'PAGOS'!$F$5:$F$504,F409)&gt;1),"Referencia repetida",IF(N409&lt;&gt;"Incluir",N409,IF(NOT(ISNUMBER(K409)),"Falta equivalente","Aplicar")))))))</x:f>
      </x:c>
    </x:row>
    <x:row r="410" ht="25" customHeight="1">
      <x:c r="A410" s="22" t="str">
        <x:v>P-406</x:v>
      </x:c>
      <x:c r="B410" s="25" t="str"/>
      <x:c r="C410" s="26" t="str"/>
      <x:c r="D410" s="22" t="str">
        <x:f>IF(C410="","",IF(COUNTIFS('VENTAS'!$A$5:$A$254,C410,'VENTAS'!$C$5:$C$254,"&lt;&gt;")=1,INDEX('VENTAS'!$C$5:$C$254,MATCH(C410,'VENTAS'!$A$5:$A$254,0)),"ID no encontrado"))</x:f>
      </x:c>
      <x:c r="E410" s="22" t="str">
        <x:f>IF(C410="","",IF(COUNTIFS('VENTAS'!$A$5:$A$254,C410,'VENTAS'!$C$5:$C$254,"&lt;&gt;")=1,INDEX('VENTAS'!$D$5:$D$254,MATCH(C410,'VENTAS'!$A$5:$A$254,0)),"ID no encontrado"))</x:f>
      </x:c>
      <x:c r="F410" s="26" t="str"/>
      <x:c r="G410" s="27" t="str"/>
      <x:c r="H410" s="27" t="str"/>
      <x:c r="I410" s="26" t="str"/>
      <x:c r="J410" s="30" t="str"/>
      <x:c r="K410" s="28" t="str">
        <x:f>IF(B410="","",IF(ISNUMBER(H410),H410,IF(AND(ISNUMBER(G410),ISNUMBER(J410),J410&gt;0),ROUND(G410/J410,2),"")))</x:f>
      </x:c>
      <x:c r="L410" s="31" t="str"/>
      <x:c r="M410" s="26" t="str"/>
      <x:c r="N410" s="26" t="str">
        <x:v>Incluir</x:v>
      </x:c>
      <x:c r="O410" s="22" t="str"/>
      <x:c r="P410" s="22" t="str"/>
      <x:c r="Q410" s="22" t="str">
        <x:f>IF(B410="","",IF(C410="","Falta ID venta",IF(D410="ID no encontrado","ID venta inválido",IF(COUNTIFS('PAGOS'!$A$5:$A$504,A410,'PAGOS'!$B$5:$B$504,"&gt;0")&gt;1,"ID duplicado",IF(AND(L410&lt;&gt;"",COUNTIFS('PAGOS'!$L$5:$L$504,L410,'PAGOS'!$B$5:$B$504,B410,'PAGOS'!$F$5:$F$504,F410)&gt;1),"Referencia repetida",IF(N410&lt;&gt;"Incluir",N410,IF(NOT(ISNUMBER(K410)),"Falta equivalente","Aplicar")))))))</x:f>
      </x:c>
    </x:row>
    <x:row r="411" ht="25" customHeight="1">
      <x:c r="A411" s="22" t="str">
        <x:v>P-407</x:v>
      </x:c>
      <x:c r="B411" s="25" t="str"/>
      <x:c r="C411" s="26" t="str"/>
      <x:c r="D411" s="22" t="str">
        <x:f>IF(C411="","",IF(COUNTIFS('VENTAS'!$A$5:$A$254,C411,'VENTAS'!$C$5:$C$254,"&lt;&gt;")=1,INDEX('VENTAS'!$C$5:$C$254,MATCH(C411,'VENTAS'!$A$5:$A$254,0)),"ID no encontrado"))</x:f>
      </x:c>
      <x:c r="E411" s="22" t="str">
        <x:f>IF(C411="","",IF(COUNTIFS('VENTAS'!$A$5:$A$254,C411,'VENTAS'!$C$5:$C$254,"&lt;&gt;")=1,INDEX('VENTAS'!$D$5:$D$254,MATCH(C411,'VENTAS'!$A$5:$A$254,0)),"ID no encontrado"))</x:f>
      </x:c>
      <x:c r="F411" s="26" t="str"/>
      <x:c r="G411" s="27" t="str"/>
      <x:c r="H411" s="27" t="str"/>
      <x:c r="I411" s="26" t="str"/>
      <x:c r="J411" s="30" t="str"/>
      <x:c r="K411" s="28" t="str">
        <x:f>IF(B411="","",IF(ISNUMBER(H411),H411,IF(AND(ISNUMBER(G411),ISNUMBER(J411),J411&gt;0),ROUND(G411/J411,2),"")))</x:f>
      </x:c>
      <x:c r="L411" s="31" t="str"/>
      <x:c r="M411" s="26" t="str"/>
      <x:c r="N411" s="26" t="str">
        <x:v>Incluir</x:v>
      </x:c>
      <x:c r="O411" s="22" t="str"/>
      <x:c r="P411" s="22" t="str"/>
      <x:c r="Q411" s="22" t="str">
        <x:f>IF(B411="","",IF(C411="","Falta ID venta",IF(D411="ID no encontrado","ID venta inválido",IF(COUNTIFS('PAGOS'!$A$5:$A$504,A411,'PAGOS'!$B$5:$B$504,"&gt;0")&gt;1,"ID duplicado",IF(AND(L411&lt;&gt;"",COUNTIFS('PAGOS'!$L$5:$L$504,L411,'PAGOS'!$B$5:$B$504,B411,'PAGOS'!$F$5:$F$504,F411)&gt;1),"Referencia repetida",IF(N411&lt;&gt;"Incluir",N411,IF(NOT(ISNUMBER(K411)),"Falta equivalente","Aplicar")))))))</x:f>
      </x:c>
    </x:row>
    <x:row r="412" ht="25" customHeight="1">
      <x:c r="A412" s="22" t="str">
        <x:v>P-408</x:v>
      </x:c>
      <x:c r="B412" s="25" t="str"/>
      <x:c r="C412" s="26" t="str"/>
      <x:c r="D412" s="22" t="str">
        <x:f>IF(C412="","",IF(COUNTIFS('VENTAS'!$A$5:$A$254,C412,'VENTAS'!$C$5:$C$254,"&lt;&gt;")=1,INDEX('VENTAS'!$C$5:$C$254,MATCH(C412,'VENTAS'!$A$5:$A$254,0)),"ID no encontrado"))</x:f>
      </x:c>
      <x:c r="E412" s="22" t="str">
        <x:f>IF(C412="","",IF(COUNTIFS('VENTAS'!$A$5:$A$254,C412,'VENTAS'!$C$5:$C$254,"&lt;&gt;")=1,INDEX('VENTAS'!$D$5:$D$254,MATCH(C412,'VENTAS'!$A$5:$A$254,0)),"ID no encontrado"))</x:f>
      </x:c>
      <x:c r="F412" s="26" t="str"/>
      <x:c r="G412" s="27" t="str"/>
      <x:c r="H412" s="27" t="str"/>
      <x:c r="I412" s="26" t="str"/>
      <x:c r="J412" s="30" t="str"/>
      <x:c r="K412" s="28" t="str">
        <x:f>IF(B412="","",IF(ISNUMBER(H412),H412,IF(AND(ISNUMBER(G412),ISNUMBER(J412),J412&gt;0),ROUND(G412/J412,2),"")))</x:f>
      </x:c>
      <x:c r="L412" s="31" t="str"/>
      <x:c r="M412" s="26" t="str"/>
      <x:c r="N412" s="26" t="str">
        <x:v>Incluir</x:v>
      </x:c>
      <x:c r="O412" s="22" t="str"/>
      <x:c r="P412" s="22" t="str"/>
      <x:c r="Q412" s="22" t="str">
        <x:f>IF(B412="","",IF(C412="","Falta ID venta",IF(D412="ID no encontrado","ID venta inválido",IF(COUNTIFS('PAGOS'!$A$5:$A$504,A412,'PAGOS'!$B$5:$B$504,"&gt;0")&gt;1,"ID duplicado",IF(AND(L412&lt;&gt;"",COUNTIFS('PAGOS'!$L$5:$L$504,L412,'PAGOS'!$B$5:$B$504,B412,'PAGOS'!$F$5:$F$504,F412)&gt;1),"Referencia repetida",IF(N412&lt;&gt;"Incluir",N412,IF(NOT(ISNUMBER(K412)),"Falta equivalente","Aplicar")))))))</x:f>
      </x:c>
    </x:row>
    <x:row r="413" ht="25" customHeight="1">
      <x:c r="A413" s="22" t="str">
        <x:v>P-409</x:v>
      </x:c>
      <x:c r="B413" s="25" t="str"/>
      <x:c r="C413" s="26" t="str"/>
      <x:c r="D413" s="22" t="str">
        <x:f>IF(C413="","",IF(COUNTIFS('VENTAS'!$A$5:$A$254,C413,'VENTAS'!$C$5:$C$254,"&lt;&gt;")=1,INDEX('VENTAS'!$C$5:$C$254,MATCH(C413,'VENTAS'!$A$5:$A$254,0)),"ID no encontrado"))</x:f>
      </x:c>
      <x:c r="E413" s="22" t="str">
        <x:f>IF(C413="","",IF(COUNTIFS('VENTAS'!$A$5:$A$254,C413,'VENTAS'!$C$5:$C$254,"&lt;&gt;")=1,INDEX('VENTAS'!$D$5:$D$254,MATCH(C413,'VENTAS'!$A$5:$A$254,0)),"ID no encontrado"))</x:f>
      </x:c>
      <x:c r="F413" s="26" t="str"/>
      <x:c r="G413" s="27" t="str"/>
      <x:c r="H413" s="27" t="str"/>
      <x:c r="I413" s="26" t="str"/>
      <x:c r="J413" s="30" t="str"/>
      <x:c r="K413" s="28" t="str">
        <x:f>IF(B413="","",IF(ISNUMBER(H413),H413,IF(AND(ISNUMBER(G413),ISNUMBER(J413),J413&gt;0),ROUND(G413/J413,2),"")))</x:f>
      </x:c>
      <x:c r="L413" s="31" t="str"/>
      <x:c r="M413" s="26" t="str"/>
      <x:c r="N413" s="26" t="str">
        <x:v>Incluir</x:v>
      </x:c>
      <x:c r="O413" s="22" t="str"/>
      <x:c r="P413" s="22" t="str"/>
      <x:c r="Q413" s="22" t="str">
        <x:f>IF(B413="","",IF(C413="","Falta ID venta",IF(D413="ID no encontrado","ID venta inválido",IF(COUNTIFS('PAGOS'!$A$5:$A$504,A413,'PAGOS'!$B$5:$B$504,"&gt;0")&gt;1,"ID duplicado",IF(AND(L413&lt;&gt;"",COUNTIFS('PAGOS'!$L$5:$L$504,L413,'PAGOS'!$B$5:$B$504,B413,'PAGOS'!$F$5:$F$504,F413)&gt;1),"Referencia repetida",IF(N413&lt;&gt;"Incluir",N413,IF(NOT(ISNUMBER(K413)),"Falta equivalente","Aplicar")))))))</x:f>
      </x:c>
    </x:row>
    <x:row r="414" ht="25" customHeight="1">
      <x:c r="A414" s="22" t="str">
        <x:v>P-410</x:v>
      </x:c>
      <x:c r="B414" s="25" t="str"/>
      <x:c r="C414" s="26" t="str"/>
      <x:c r="D414" s="22" t="str">
        <x:f>IF(C414="","",IF(COUNTIFS('VENTAS'!$A$5:$A$254,C414,'VENTAS'!$C$5:$C$254,"&lt;&gt;")=1,INDEX('VENTAS'!$C$5:$C$254,MATCH(C414,'VENTAS'!$A$5:$A$254,0)),"ID no encontrado"))</x:f>
      </x:c>
      <x:c r="E414" s="22" t="str">
        <x:f>IF(C414="","",IF(COUNTIFS('VENTAS'!$A$5:$A$254,C414,'VENTAS'!$C$5:$C$254,"&lt;&gt;")=1,INDEX('VENTAS'!$D$5:$D$254,MATCH(C414,'VENTAS'!$A$5:$A$254,0)),"ID no encontrado"))</x:f>
      </x:c>
      <x:c r="F414" s="26" t="str"/>
      <x:c r="G414" s="27" t="str"/>
      <x:c r="H414" s="27" t="str"/>
      <x:c r="I414" s="26" t="str"/>
      <x:c r="J414" s="30" t="str"/>
      <x:c r="K414" s="28" t="str">
        <x:f>IF(B414="","",IF(ISNUMBER(H414),H414,IF(AND(ISNUMBER(G414),ISNUMBER(J414),J414&gt;0),ROUND(G414/J414,2),"")))</x:f>
      </x:c>
      <x:c r="L414" s="31" t="str"/>
      <x:c r="M414" s="26" t="str"/>
      <x:c r="N414" s="26" t="str">
        <x:v>Incluir</x:v>
      </x:c>
      <x:c r="O414" s="22" t="str"/>
      <x:c r="P414" s="22" t="str"/>
      <x:c r="Q414" s="22" t="str">
        <x:f>IF(B414="","",IF(C414="","Falta ID venta",IF(D414="ID no encontrado","ID venta inválido",IF(COUNTIFS('PAGOS'!$A$5:$A$504,A414,'PAGOS'!$B$5:$B$504,"&gt;0")&gt;1,"ID duplicado",IF(AND(L414&lt;&gt;"",COUNTIFS('PAGOS'!$L$5:$L$504,L414,'PAGOS'!$B$5:$B$504,B414,'PAGOS'!$F$5:$F$504,F414)&gt;1),"Referencia repetida",IF(N414&lt;&gt;"Incluir",N414,IF(NOT(ISNUMBER(K414)),"Falta equivalente","Aplicar")))))))</x:f>
      </x:c>
    </x:row>
    <x:row r="415" ht="25" customHeight="1">
      <x:c r="A415" s="22" t="str">
        <x:v>P-411</x:v>
      </x:c>
      <x:c r="B415" s="25" t="str"/>
      <x:c r="C415" s="26" t="str"/>
      <x:c r="D415" s="22" t="str">
        <x:f>IF(C415="","",IF(COUNTIFS('VENTAS'!$A$5:$A$254,C415,'VENTAS'!$C$5:$C$254,"&lt;&gt;")=1,INDEX('VENTAS'!$C$5:$C$254,MATCH(C415,'VENTAS'!$A$5:$A$254,0)),"ID no encontrado"))</x:f>
      </x:c>
      <x:c r="E415" s="22" t="str">
        <x:f>IF(C415="","",IF(COUNTIFS('VENTAS'!$A$5:$A$254,C415,'VENTAS'!$C$5:$C$254,"&lt;&gt;")=1,INDEX('VENTAS'!$D$5:$D$254,MATCH(C415,'VENTAS'!$A$5:$A$254,0)),"ID no encontrado"))</x:f>
      </x:c>
      <x:c r="F415" s="26" t="str"/>
      <x:c r="G415" s="27" t="str"/>
      <x:c r="H415" s="27" t="str"/>
      <x:c r="I415" s="26" t="str"/>
      <x:c r="J415" s="30" t="str"/>
      <x:c r="K415" s="28" t="str">
        <x:f>IF(B415="","",IF(ISNUMBER(H415),H415,IF(AND(ISNUMBER(G415),ISNUMBER(J415),J415&gt;0),ROUND(G415/J415,2),"")))</x:f>
      </x:c>
      <x:c r="L415" s="31" t="str"/>
      <x:c r="M415" s="26" t="str"/>
      <x:c r="N415" s="26" t="str">
        <x:v>Incluir</x:v>
      </x:c>
      <x:c r="O415" s="22" t="str"/>
      <x:c r="P415" s="22" t="str"/>
      <x:c r="Q415" s="22" t="str">
        <x:f>IF(B415="","",IF(C415="","Falta ID venta",IF(D415="ID no encontrado","ID venta inválido",IF(COUNTIFS('PAGOS'!$A$5:$A$504,A415,'PAGOS'!$B$5:$B$504,"&gt;0")&gt;1,"ID duplicado",IF(AND(L415&lt;&gt;"",COUNTIFS('PAGOS'!$L$5:$L$504,L415,'PAGOS'!$B$5:$B$504,B415,'PAGOS'!$F$5:$F$504,F415)&gt;1),"Referencia repetida",IF(N415&lt;&gt;"Incluir",N415,IF(NOT(ISNUMBER(K415)),"Falta equivalente","Aplicar")))))))</x:f>
      </x:c>
    </x:row>
    <x:row r="416" ht="25" customHeight="1">
      <x:c r="A416" s="22" t="str">
        <x:v>P-412</x:v>
      </x:c>
      <x:c r="B416" s="25" t="str"/>
      <x:c r="C416" s="26" t="str"/>
      <x:c r="D416" s="22" t="str">
        <x:f>IF(C416="","",IF(COUNTIFS('VENTAS'!$A$5:$A$254,C416,'VENTAS'!$C$5:$C$254,"&lt;&gt;")=1,INDEX('VENTAS'!$C$5:$C$254,MATCH(C416,'VENTAS'!$A$5:$A$254,0)),"ID no encontrado"))</x:f>
      </x:c>
      <x:c r="E416" s="22" t="str">
        <x:f>IF(C416="","",IF(COUNTIFS('VENTAS'!$A$5:$A$254,C416,'VENTAS'!$C$5:$C$254,"&lt;&gt;")=1,INDEX('VENTAS'!$D$5:$D$254,MATCH(C416,'VENTAS'!$A$5:$A$254,0)),"ID no encontrado"))</x:f>
      </x:c>
      <x:c r="F416" s="26" t="str"/>
      <x:c r="G416" s="27" t="str"/>
      <x:c r="H416" s="27" t="str"/>
      <x:c r="I416" s="26" t="str"/>
      <x:c r="J416" s="30" t="str"/>
      <x:c r="K416" s="28" t="str">
        <x:f>IF(B416="","",IF(ISNUMBER(H416),H416,IF(AND(ISNUMBER(G416),ISNUMBER(J416),J416&gt;0),ROUND(G416/J416,2),"")))</x:f>
      </x:c>
      <x:c r="L416" s="31" t="str"/>
      <x:c r="M416" s="26" t="str"/>
      <x:c r="N416" s="26" t="str">
        <x:v>Incluir</x:v>
      </x:c>
      <x:c r="O416" s="22" t="str"/>
      <x:c r="P416" s="22" t="str"/>
      <x:c r="Q416" s="22" t="str">
        <x:f>IF(B416="","",IF(C416="","Falta ID venta",IF(D416="ID no encontrado","ID venta inválido",IF(COUNTIFS('PAGOS'!$A$5:$A$504,A416,'PAGOS'!$B$5:$B$504,"&gt;0")&gt;1,"ID duplicado",IF(AND(L416&lt;&gt;"",COUNTIFS('PAGOS'!$L$5:$L$504,L416,'PAGOS'!$B$5:$B$504,B416,'PAGOS'!$F$5:$F$504,F416)&gt;1),"Referencia repetida",IF(N416&lt;&gt;"Incluir",N416,IF(NOT(ISNUMBER(K416)),"Falta equivalente","Aplicar")))))))</x:f>
      </x:c>
    </x:row>
    <x:row r="417" ht="25" customHeight="1">
      <x:c r="A417" s="22" t="str">
        <x:v>P-413</x:v>
      </x:c>
      <x:c r="B417" s="25" t="str"/>
      <x:c r="C417" s="26" t="str"/>
      <x:c r="D417" s="22" t="str">
        <x:f>IF(C417="","",IF(COUNTIFS('VENTAS'!$A$5:$A$254,C417,'VENTAS'!$C$5:$C$254,"&lt;&gt;")=1,INDEX('VENTAS'!$C$5:$C$254,MATCH(C417,'VENTAS'!$A$5:$A$254,0)),"ID no encontrado"))</x:f>
      </x:c>
      <x:c r="E417" s="22" t="str">
        <x:f>IF(C417="","",IF(COUNTIFS('VENTAS'!$A$5:$A$254,C417,'VENTAS'!$C$5:$C$254,"&lt;&gt;")=1,INDEX('VENTAS'!$D$5:$D$254,MATCH(C417,'VENTAS'!$A$5:$A$254,0)),"ID no encontrado"))</x:f>
      </x:c>
      <x:c r="F417" s="26" t="str"/>
      <x:c r="G417" s="27" t="str"/>
      <x:c r="H417" s="27" t="str"/>
      <x:c r="I417" s="26" t="str"/>
      <x:c r="J417" s="30" t="str"/>
      <x:c r="K417" s="28" t="str">
        <x:f>IF(B417="","",IF(ISNUMBER(H417),H417,IF(AND(ISNUMBER(G417),ISNUMBER(J417),J417&gt;0),ROUND(G417/J417,2),"")))</x:f>
      </x:c>
      <x:c r="L417" s="31" t="str"/>
      <x:c r="M417" s="26" t="str"/>
      <x:c r="N417" s="26" t="str">
        <x:v>Incluir</x:v>
      </x:c>
      <x:c r="O417" s="22" t="str"/>
      <x:c r="P417" s="22" t="str"/>
      <x:c r="Q417" s="22" t="str">
        <x:f>IF(B417="","",IF(C417="","Falta ID venta",IF(D417="ID no encontrado","ID venta inválido",IF(COUNTIFS('PAGOS'!$A$5:$A$504,A417,'PAGOS'!$B$5:$B$504,"&gt;0")&gt;1,"ID duplicado",IF(AND(L417&lt;&gt;"",COUNTIFS('PAGOS'!$L$5:$L$504,L417,'PAGOS'!$B$5:$B$504,B417,'PAGOS'!$F$5:$F$504,F417)&gt;1),"Referencia repetida",IF(N417&lt;&gt;"Incluir",N417,IF(NOT(ISNUMBER(K417)),"Falta equivalente","Aplicar")))))))</x:f>
      </x:c>
    </x:row>
    <x:row r="418" ht="25" customHeight="1">
      <x:c r="A418" s="22" t="str">
        <x:v>P-414</x:v>
      </x:c>
      <x:c r="B418" s="25" t="str"/>
      <x:c r="C418" s="26" t="str"/>
      <x:c r="D418" s="22" t="str">
        <x:f>IF(C418="","",IF(COUNTIFS('VENTAS'!$A$5:$A$254,C418,'VENTAS'!$C$5:$C$254,"&lt;&gt;")=1,INDEX('VENTAS'!$C$5:$C$254,MATCH(C418,'VENTAS'!$A$5:$A$254,0)),"ID no encontrado"))</x:f>
      </x:c>
      <x:c r="E418" s="22" t="str">
        <x:f>IF(C418="","",IF(COUNTIFS('VENTAS'!$A$5:$A$254,C418,'VENTAS'!$C$5:$C$254,"&lt;&gt;")=1,INDEX('VENTAS'!$D$5:$D$254,MATCH(C418,'VENTAS'!$A$5:$A$254,0)),"ID no encontrado"))</x:f>
      </x:c>
      <x:c r="F418" s="26" t="str"/>
      <x:c r="G418" s="27" t="str"/>
      <x:c r="H418" s="27" t="str"/>
      <x:c r="I418" s="26" t="str"/>
      <x:c r="J418" s="30" t="str"/>
      <x:c r="K418" s="28" t="str">
        <x:f>IF(B418="","",IF(ISNUMBER(H418),H418,IF(AND(ISNUMBER(G418),ISNUMBER(J418),J418&gt;0),ROUND(G418/J418,2),"")))</x:f>
      </x:c>
      <x:c r="L418" s="31" t="str"/>
      <x:c r="M418" s="26" t="str"/>
      <x:c r="N418" s="26" t="str">
        <x:v>Incluir</x:v>
      </x:c>
      <x:c r="O418" s="22" t="str"/>
      <x:c r="P418" s="22" t="str"/>
      <x:c r="Q418" s="22" t="str">
        <x:f>IF(B418="","",IF(C418="","Falta ID venta",IF(D418="ID no encontrado","ID venta inválido",IF(COUNTIFS('PAGOS'!$A$5:$A$504,A418,'PAGOS'!$B$5:$B$504,"&gt;0")&gt;1,"ID duplicado",IF(AND(L418&lt;&gt;"",COUNTIFS('PAGOS'!$L$5:$L$504,L418,'PAGOS'!$B$5:$B$504,B418,'PAGOS'!$F$5:$F$504,F418)&gt;1),"Referencia repetida",IF(N418&lt;&gt;"Incluir",N418,IF(NOT(ISNUMBER(K418)),"Falta equivalente","Aplicar")))))))</x:f>
      </x:c>
    </x:row>
    <x:row r="419" ht="25" customHeight="1">
      <x:c r="A419" s="22" t="str">
        <x:v>P-415</x:v>
      </x:c>
      <x:c r="B419" s="25" t="str"/>
      <x:c r="C419" s="26" t="str"/>
      <x:c r="D419" s="22" t="str">
        <x:f>IF(C419="","",IF(COUNTIFS('VENTAS'!$A$5:$A$254,C419,'VENTAS'!$C$5:$C$254,"&lt;&gt;")=1,INDEX('VENTAS'!$C$5:$C$254,MATCH(C419,'VENTAS'!$A$5:$A$254,0)),"ID no encontrado"))</x:f>
      </x:c>
      <x:c r="E419" s="22" t="str">
        <x:f>IF(C419="","",IF(COUNTIFS('VENTAS'!$A$5:$A$254,C419,'VENTAS'!$C$5:$C$254,"&lt;&gt;")=1,INDEX('VENTAS'!$D$5:$D$254,MATCH(C419,'VENTAS'!$A$5:$A$254,0)),"ID no encontrado"))</x:f>
      </x:c>
      <x:c r="F419" s="26" t="str"/>
      <x:c r="G419" s="27" t="str"/>
      <x:c r="H419" s="27" t="str"/>
      <x:c r="I419" s="26" t="str"/>
      <x:c r="J419" s="30" t="str"/>
      <x:c r="K419" s="28" t="str">
        <x:f>IF(B419="","",IF(ISNUMBER(H419),H419,IF(AND(ISNUMBER(G419),ISNUMBER(J419),J419&gt;0),ROUND(G419/J419,2),"")))</x:f>
      </x:c>
      <x:c r="L419" s="31" t="str"/>
      <x:c r="M419" s="26" t="str"/>
      <x:c r="N419" s="26" t="str">
        <x:v>Incluir</x:v>
      </x:c>
      <x:c r="O419" s="22" t="str"/>
      <x:c r="P419" s="22" t="str"/>
      <x:c r="Q419" s="22" t="str">
        <x:f>IF(B419="","",IF(C419="","Falta ID venta",IF(D419="ID no encontrado","ID venta inválido",IF(COUNTIFS('PAGOS'!$A$5:$A$504,A419,'PAGOS'!$B$5:$B$504,"&gt;0")&gt;1,"ID duplicado",IF(AND(L419&lt;&gt;"",COUNTIFS('PAGOS'!$L$5:$L$504,L419,'PAGOS'!$B$5:$B$504,B419,'PAGOS'!$F$5:$F$504,F419)&gt;1),"Referencia repetida",IF(N419&lt;&gt;"Incluir",N419,IF(NOT(ISNUMBER(K419)),"Falta equivalente","Aplicar")))))))</x:f>
      </x:c>
    </x:row>
    <x:row r="420" ht="25" customHeight="1">
      <x:c r="A420" s="22" t="str">
        <x:v>P-416</x:v>
      </x:c>
      <x:c r="B420" s="25" t="str"/>
      <x:c r="C420" s="26" t="str"/>
      <x:c r="D420" s="22" t="str">
        <x:f>IF(C420="","",IF(COUNTIFS('VENTAS'!$A$5:$A$254,C420,'VENTAS'!$C$5:$C$254,"&lt;&gt;")=1,INDEX('VENTAS'!$C$5:$C$254,MATCH(C420,'VENTAS'!$A$5:$A$254,0)),"ID no encontrado"))</x:f>
      </x:c>
      <x:c r="E420" s="22" t="str">
        <x:f>IF(C420="","",IF(COUNTIFS('VENTAS'!$A$5:$A$254,C420,'VENTAS'!$C$5:$C$254,"&lt;&gt;")=1,INDEX('VENTAS'!$D$5:$D$254,MATCH(C420,'VENTAS'!$A$5:$A$254,0)),"ID no encontrado"))</x:f>
      </x:c>
      <x:c r="F420" s="26" t="str"/>
      <x:c r="G420" s="27" t="str"/>
      <x:c r="H420" s="27" t="str"/>
      <x:c r="I420" s="26" t="str"/>
      <x:c r="J420" s="30" t="str"/>
      <x:c r="K420" s="28" t="str">
        <x:f>IF(B420="","",IF(ISNUMBER(H420),H420,IF(AND(ISNUMBER(G420),ISNUMBER(J420),J420&gt;0),ROUND(G420/J420,2),"")))</x:f>
      </x:c>
      <x:c r="L420" s="31" t="str"/>
      <x:c r="M420" s="26" t="str"/>
      <x:c r="N420" s="26" t="str">
        <x:v>Incluir</x:v>
      </x:c>
      <x:c r="O420" s="22" t="str"/>
      <x:c r="P420" s="22" t="str"/>
      <x:c r="Q420" s="22" t="str">
        <x:f>IF(B420="","",IF(C420="","Falta ID venta",IF(D420="ID no encontrado","ID venta inválido",IF(COUNTIFS('PAGOS'!$A$5:$A$504,A420,'PAGOS'!$B$5:$B$504,"&gt;0")&gt;1,"ID duplicado",IF(AND(L420&lt;&gt;"",COUNTIFS('PAGOS'!$L$5:$L$504,L420,'PAGOS'!$B$5:$B$504,B420,'PAGOS'!$F$5:$F$504,F420)&gt;1),"Referencia repetida",IF(N420&lt;&gt;"Incluir",N420,IF(NOT(ISNUMBER(K420)),"Falta equivalente","Aplicar")))))))</x:f>
      </x:c>
    </x:row>
    <x:row r="421" ht="25" customHeight="1">
      <x:c r="A421" s="22" t="str">
        <x:v>P-417</x:v>
      </x:c>
      <x:c r="B421" s="25" t="str"/>
      <x:c r="C421" s="26" t="str"/>
      <x:c r="D421" s="22" t="str">
        <x:f>IF(C421="","",IF(COUNTIFS('VENTAS'!$A$5:$A$254,C421,'VENTAS'!$C$5:$C$254,"&lt;&gt;")=1,INDEX('VENTAS'!$C$5:$C$254,MATCH(C421,'VENTAS'!$A$5:$A$254,0)),"ID no encontrado"))</x:f>
      </x:c>
      <x:c r="E421" s="22" t="str">
        <x:f>IF(C421="","",IF(COUNTIFS('VENTAS'!$A$5:$A$254,C421,'VENTAS'!$C$5:$C$254,"&lt;&gt;")=1,INDEX('VENTAS'!$D$5:$D$254,MATCH(C421,'VENTAS'!$A$5:$A$254,0)),"ID no encontrado"))</x:f>
      </x:c>
      <x:c r="F421" s="26" t="str"/>
      <x:c r="G421" s="27" t="str"/>
      <x:c r="H421" s="27" t="str"/>
      <x:c r="I421" s="26" t="str"/>
      <x:c r="J421" s="30" t="str"/>
      <x:c r="K421" s="28" t="str">
        <x:f>IF(B421="","",IF(ISNUMBER(H421),H421,IF(AND(ISNUMBER(G421),ISNUMBER(J421),J421&gt;0),ROUND(G421/J421,2),"")))</x:f>
      </x:c>
      <x:c r="L421" s="31" t="str"/>
      <x:c r="M421" s="26" t="str"/>
      <x:c r="N421" s="26" t="str">
        <x:v>Incluir</x:v>
      </x:c>
      <x:c r="O421" s="22" t="str"/>
      <x:c r="P421" s="22" t="str"/>
      <x:c r="Q421" s="22" t="str">
        <x:f>IF(B421="","",IF(C421="","Falta ID venta",IF(D421="ID no encontrado","ID venta inválido",IF(COUNTIFS('PAGOS'!$A$5:$A$504,A421,'PAGOS'!$B$5:$B$504,"&gt;0")&gt;1,"ID duplicado",IF(AND(L421&lt;&gt;"",COUNTIFS('PAGOS'!$L$5:$L$504,L421,'PAGOS'!$B$5:$B$504,B421,'PAGOS'!$F$5:$F$504,F421)&gt;1),"Referencia repetida",IF(N421&lt;&gt;"Incluir",N421,IF(NOT(ISNUMBER(K421)),"Falta equivalente","Aplicar")))))))</x:f>
      </x:c>
    </x:row>
    <x:row r="422" ht="25" customHeight="1">
      <x:c r="A422" s="22" t="str">
        <x:v>P-418</x:v>
      </x:c>
      <x:c r="B422" s="25" t="str"/>
      <x:c r="C422" s="26" t="str"/>
      <x:c r="D422" s="22" t="str">
        <x:f>IF(C422="","",IF(COUNTIFS('VENTAS'!$A$5:$A$254,C422,'VENTAS'!$C$5:$C$254,"&lt;&gt;")=1,INDEX('VENTAS'!$C$5:$C$254,MATCH(C422,'VENTAS'!$A$5:$A$254,0)),"ID no encontrado"))</x:f>
      </x:c>
      <x:c r="E422" s="22" t="str">
        <x:f>IF(C422="","",IF(COUNTIFS('VENTAS'!$A$5:$A$254,C422,'VENTAS'!$C$5:$C$254,"&lt;&gt;")=1,INDEX('VENTAS'!$D$5:$D$254,MATCH(C422,'VENTAS'!$A$5:$A$254,0)),"ID no encontrado"))</x:f>
      </x:c>
      <x:c r="F422" s="26" t="str"/>
      <x:c r="G422" s="27" t="str"/>
      <x:c r="H422" s="27" t="str"/>
      <x:c r="I422" s="26" t="str"/>
      <x:c r="J422" s="30" t="str"/>
      <x:c r="K422" s="28" t="str">
        <x:f>IF(B422="","",IF(ISNUMBER(H422),H422,IF(AND(ISNUMBER(G422),ISNUMBER(J422),J422&gt;0),ROUND(G422/J422,2),"")))</x:f>
      </x:c>
      <x:c r="L422" s="31" t="str"/>
      <x:c r="M422" s="26" t="str"/>
      <x:c r="N422" s="26" t="str">
        <x:v>Incluir</x:v>
      </x:c>
      <x:c r="O422" s="22" t="str"/>
      <x:c r="P422" s="22" t="str"/>
      <x:c r="Q422" s="22" t="str">
        <x:f>IF(B422="","",IF(C422="","Falta ID venta",IF(D422="ID no encontrado","ID venta inválido",IF(COUNTIFS('PAGOS'!$A$5:$A$504,A422,'PAGOS'!$B$5:$B$504,"&gt;0")&gt;1,"ID duplicado",IF(AND(L422&lt;&gt;"",COUNTIFS('PAGOS'!$L$5:$L$504,L422,'PAGOS'!$B$5:$B$504,B422,'PAGOS'!$F$5:$F$504,F422)&gt;1),"Referencia repetida",IF(N422&lt;&gt;"Incluir",N422,IF(NOT(ISNUMBER(K422)),"Falta equivalente","Aplicar")))))))</x:f>
      </x:c>
    </x:row>
    <x:row r="423" ht="25" customHeight="1">
      <x:c r="A423" s="22" t="str">
        <x:v>P-419</x:v>
      </x:c>
      <x:c r="B423" s="25" t="str"/>
      <x:c r="C423" s="26" t="str"/>
      <x:c r="D423" s="22" t="str">
        <x:f>IF(C423="","",IF(COUNTIFS('VENTAS'!$A$5:$A$254,C423,'VENTAS'!$C$5:$C$254,"&lt;&gt;")=1,INDEX('VENTAS'!$C$5:$C$254,MATCH(C423,'VENTAS'!$A$5:$A$254,0)),"ID no encontrado"))</x:f>
      </x:c>
      <x:c r="E423" s="22" t="str">
        <x:f>IF(C423="","",IF(COUNTIFS('VENTAS'!$A$5:$A$254,C423,'VENTAS'!$C$5:$C$254,"&lt;&gt;")=1,INDEX('VENTAS'!$D$5:$D$254,MATCH(C423,'VENTAS'!$A$5:$A$254,0)),"ID no encontrado"))</x:f>
      </x:c>
      <x:c r="F423" s="26" t="str"/>
      <x:c r="G423" s="27" t="str"/>
      <x:c r="H423" s="27" t="str"/>
      <x:c r="I423" s="26" t="str"/>
      <x:c r="J423" s="30" t="str"/>
      <x:c r="K423" s="28" t="str">
        <x:f>IF(B423="","",IF(ISNUMBER(H423),H423,IF(AND(ISNUMBER(G423),ISNUMBER(J423),J423&gt;0),ROUND(G423/J423,2),"")))</x:f>
      </x:c>
      <x:c r="L423" s="31" t="str"/>
      <x:c r="M423" s="26" t="str"/>
      <x:c r="N423" s="26" t="str">
        <x:v>Incluir</x:v>
      </x:c>
      <x:c r="O423" s="22" t="str"/>
      <x:c r="P423" s="22" t="str"/>
      <x:c r="Q423" s="22" t="str">
        <x:f>IF(B423="","",IF(C423="","Falta ID venta",IF(D423="ID no encontrado","ID venta inválido",IF(COUNTIFS('PAGOS'!$A$5:$A$504,A423,'PAGOS'!$B$5:$B$504,"&gt;0")&gt;1,"ID duplicado",IF(AND(L423&lt;&gt;"",COUNTIFS('PAGOS'!$L$5:$L$504,L423,'PAGOS'!$B$5:$B$504,B423,'PAGOS'!$F$5:$F$504,F423)&gt;1),"Referencia repetida",IF(N423&lt;&gt;"Incluir",N423,IF(NOT(ISNUMBER(K423)),"Falta equivalente","Aplicar")))))))</x:f>
      </x:c>
    </x:row>
    <x:row r="424" ht="25" customHeight="1">
      <x:c r="A424" s="22" t="str">
        <x:v>P-420</x:v>
      </x:c>
      <x:c r="B424" s="25" t="str"/>
      <x:c r="C424" s="26" t="str"/>
      <x:c r="D424" s="22" t="str">
        <x:f>IF(C424="","",IF(COUNTIFS('VENTAS'!$A$5:$A$254,C424,'VENTAS'!$C$5:$C$254,"&lt;&gt;")=1,INDEX('VENTAS'!$C$5:$C$254,MATCH(C424,'VENTAS'!$A$5:$A$254,0)),"ID no encontrado"))</x:f>
      </x:c>
      <x:c r="E424" s="22" t="str">
        <x:f>IF(C424="","",IF(COUNTIFS('VENTAS'!$A$5:$A$254,C424,'VENTAS'!$C$5:$C$254,"&lt;&gt;")=1,INDEX('VENTAS'!$D$5:$D$254,MATCH(C424,'VENTAS'!$A$5:$A$254,0)),"ID no encontrado"))</x:f>
      </x:c>
      <x:c r="F424" s="26" t="str"/>
      <x:c r="G424" s="27" t="str"/>
      <x:c r="H424" s="27" t="str"/>
      <x:c r="I424" s="26" t="str"/>
      <x:c r="J424" s="30" t="str"/>
      <x:c r="K424" s="28" t="str">
        <x:f>IF(B424="","",IF(ISNUMBER(H424),H424,IF(AND(ISNUMBER(G424),ISNUMBER(J424),J424&gt;0),ROUND(G424/J424,2),"")))</x:f>
      </x:c>
      <x:c r="L424" s="31" t="str"/>
      <x:c r="M424" s="26" t="str"/>
      <x:c r="N424" s="26" t="str">
        <x:v>Incluir</x:v>
      </x:c>
      <x:c r="O424" s="22" t="str"/>
      <x:c r="P424" s="22" t="str"/>
      <x:c r="Q424" s="22" t="str">
        <x:f>IF(B424="","",IF(C424="","Falta ID venta",IF(D424="ID no encontrado","ID venta inválido",IF(COUNTIFS('PAGOS'!$A$5:$A$504,A424,'PAGOS'!$B$5:$B$504,"&gt;0")&gt;1,"ID duplicado",IF(AND(L424&lt;&gt;"",COUNTIFS('PAGOS'!$L$5:$L$504,L424,'PAGOS'!$B$5:$B$504,B424,'PAGOS'!$F$5:$F$504,F424)&gt;1),"Referencia repetida",IF(N424&lt;&gt;"Incluir",N424,IF(NOT(ISNUMBER(K424)),"Falta equivalente","Aplicar")))))))</x:f>
      </x:c>
    </x:row>
    <x:row r="425" ht="25" customHeight="1">
      <x:c r="A425" s="22" t="str">
        <x:v>P-421</x:v>
      </x:c>
      <x:c r="B425" s="25" t="str"/>
      <x:c r="C425" s="26" t="str"/>
      <x:c r="D425" s="22" t="str">
        <x:f>IF(C425="","",IF(COUNTIFS('VENTAS'!$A$5:$A$254,C425,'VENTAS'!$C$5:$C$254,"&lt;&gt;")=1,INDEX('VENTAS'!$C$5:$C$254,MATCH(C425,'VENTAS'!$A$5:$A$254,0)),"ID no encontrado"))</x:f>
      </x:c>
      <x:c r="E425" s="22" t="str">
        <x:f>IF(C425="","",IF(COUNTIFS('VENTAS'!$A$5:$A$254,C425,'VENTAS'!$C$5:$C$254,"&lt;&gt;")=1,INDEX('VENTAS'!$D$5:$D$254,MATCH(C425,'VENTAS'!$A$5:$A$254,0)),"ID no encontrado"))</x:f>
      </x:c>
      <x:c r="F425" s="26" t="str"/>
      <x:c r="G425" s="27" t="str"/>
      <x:c r="H425" s="27" t="str"/>
      <x:c r="I425" s="26" t="str"/>
      <x:c r="J425" s="30" t="str"/>
      <x:c r="K425" s="28" t="str">
        <x:f>IF(B425="","",IF(ISNUMBER(H425),H425,IF(AND(ISNUMBER(G425),ISNUMBER(J425),J425&gt;0),ROUND(G425/J425,2),"")))</x:f>
      </x:c>
      <x:c r="L425" s="31" t="str"/>
      <x:c r="M425" s="26" t="str"/>
      <x:c r="N425" s="26" t="str">
        <x:v>Incluir</x:v>
      </x:c>
      <x:c r="O425" s="22" t="str"/>
      <x:c r="P425" s="22" t="str"/>
      <x:c r="Q425" s="22" t="str">
        <x:f>IF(B425="","",IF(C425="","Falta ID venta",IF(D425="ID no encontrado","ID venta inválido",IF(COUNTIFS('PAGOS'!$A$5:$A$504,A425,'PAGOS'!$B$5:$B$504,"&gt;0")&gt;1,"ID duplicado",IF(AND(L425&lt;&gt;"",COUNTIFS('PAGOS'!$L$5:$L$504,L425,'PAGOS'!$B$5:$B$504,B425,'PAGOS'!$F$5:$F$504,F425)&gt;1),"Referencia repetida",IF(N425&lt;&gt;"Incluir",N425,IF(NOT(ISNUMBER(K425)),"Falta equivalente","Aplicar")))))))</x:f>
      </x:c>
    </x:row>
    <x:row r="426" ht="25" customHeight="1">
      <x:c r="A426" s="22" t="str">
        <x:v>P-422</x:v>
      </x:c>
      <x:c r="B426" s="25" t="str"/>
      <x:c r="C426" s="26" t="str"/>
      <x:c r="D426" s="22" t="str">
        <x:f>IF(C426="","",IF(COUNTIFS('VENTAS'!$A$5:$A$254,C426,'VENTAS'!$C$5:$C$254,"&lt;&gt;")=1,INDEX('VENTAS'!$C$5:$C$254,MATCH(C426,'VENTAS'!$A$5:$A$254,0)),"ID no encontrado"))</x:f>
      </x:c>
      <x:c r="E426" s="22" t="str">
        <x:f>IF(C426="","",IF(COUNTIFS('VENTAS'!$A$5:$A$254,C426,'VENTAS'!$C$5:$C$254,"&lt;&gt;")=1,INDEX('VENTAS'!$D$5:$D$254,MATCH(C426,'VENTAS'!$A$5:$A$254,0)),"ID no encontrado"))</x:f>
      </x:c>
      <x:c r="F426" s="26" t="str"/>
      <x:c r="G426" s="27" t="str"/>
      <x:c r="H426" s="27" t="str"/>
      <x:c r="I426" s="26" t="str"/>
      <x:c r="J426" s="30" t="str"/>
      <x:c r="K426" s="28" t="str">
        <x:f>IF(B426="","",IF(ISNUMBER(H426),H426,IF(AND(ISNUMBER(G426),ISNUMBER(J426),J426&gt;0),ROUND(G426/J426,2),"")))</x:f>
      </x:c>
      <x:c r="L426" s="31" t="str"/>
      <x:c r="M426" s="26" t="str"/>
      <x:c r="N426" s="26" t="str">
        <x:v>Incluir</x:v>
      </x:c>
      <x:c r="O426" s="22" t="str"/>
      <x:c r="P426" s="22" t="str"/>
      <x:c r="Q426" s="22" t="str">
        <x:f>IF(B426="","",IF(C426="","Falta ID venta",IF(D426="ID no encontrado","ID venta inválido",IF(COUNTIFS('PAGOS'!$A$5:$A$504,A426,'PAGOS'!$B$5:$B$504,"&gt;0")&gt;1,"ID duplicado",IF(AND(L426&lt;&gt;"",COUNTIFS('PAGOS'!$L$5:$L$504,L426,'PAGOS'!$B$5:$B$504,B426,'PAGOS'!$F$5:$F$504,F426)&gt;1),"Referencia repetida",IF(N426&lt;&gt;"Incluir",N426,IF(NOT(ISNUMBER(K426)),"Falta equivalente","Aplicar")))))))</x:f>
      </x:c>
    </x:row>
    <x:row r="427" ht="25" customHeight="1">
      <x:c r="A427" s="22" t="str">
        <x:v>P-423</x:v>
      </x:c>
      <x:c r="B427" s="25" t="str"/>
      <x:c r="C427" s="26" t="str"/>
      <x:c r="D427" s="22" t="str">
        <x:f>IF(C427="","",IF(COUNTIFS('VENTAS'!$A$5:$A$254,C427,'VENTAS'!$C$5:$C$254,"&lt;&gt;")=1,INDEX('VENTAS'!$C$5:$C$254,MATCH(C427,'VENTAS'!$A$5:$A$254,0)),"ID no encontrado"))</x:f>
      </x:c>
      <x:c r="E427" s="22" t="str">
        <x:f>IF(C427="","",IF(COUNTIFS('VENTAS'!$A$5:$A$254,C427,'VENTAS'!$C$5:$C$254,"&lt;&gt;")=1,INDEX('VENTAS'!$D$5:$D$254,MATCH(C427,'VENTAS'!$A$5:$A$254,0)),"ID no encontrado"))</x:f>
      </x:c>
      <x:c r="F427" s="26" t="str"/>
      <x:c r="G427" s="27" t="str"/>
      <x:c r="H427" s="27" t="str"/>
      <x:c r="I427" s="26" t="str"/>
      <x:c r="J427" s="30" t="str"/>
      <x:c r="K427" s="28" t="str">
        <x:f>IF(B427="","",IF(ISNUMBER(H427),H427,IF(AND(ISNUMBER(G427),ISNUMBER(J427),J427&gt;0),ROUND(G427/J427,2),"")))</x:f>
      </x:c>
      <x:c r="L427" s="31" t="str"/>
      <x:c r="M427" s="26" t="str"/>
      <x:c r="N427" s="26" t="str">
        <x:v>Incluir</x:v>
      </x:c>
      <x:c r="O427" s="22" t="str"/>
      <x:c r="P427" s="22" t="str"/>
      <x:c r="Q427" s="22" t="str">
        <x:f>IF(B427="","",IF(C427="","Falta ID venta",IF(D427="ID no encontrado","ID venta inválido",IF(COUNTIFS('PAGOS'!$A$5:$A$504,A427,'PAGOS'!$B$5:$B$504,"&gt;0")&gt;1,"ID duplicado",IF(AND(L427&lt;&gt;"",COUNTIFS('PAGOS'!$L$5:$L$504,L427,'PAGOS'!$B$5:$B$504,B427,'PAGOS'!$F$5:$F$504,F427)&gt;1),"Referencia repetida",IF(N427&lt;&gt;"Incluir",N427,IF(NOT(ISNUMBER(K427)),"Falta equivalente","Aplicar")))))))</x:f>
      </x:c>
    </x:row>
    <x:row r="428" ht="25" customHeight="1">
      <x:c r="A428" s="22" t="str">
        <x:v>P-424</x:v>
      </x:c>
      <x:c r="B428" s="25" t="str"/>
      <x:c r="C428" s="26" t="str"/>
      <x:c r="D428" s="22" t="str">
        <x:f>IF(C428="","",IF(COUNTIFS('VENTAS'!$A$5:$A$254,C428,'VENTAS'!$C$5:$C$254,"&lt;&gt;")=1,INDEX('VENTAS'!$C$5:$C$254,MATCH(C428,'VENTAS'!$A$5:$A$254,0)),"ID no encontrado"))</x:f>
      </x:c>
      <x:c r="E428" s="22" t="str">
        <x:f>IF(C428="","",IF(COUNTIFS('VENTAS'!$A$5:$A$254,C428,'VENTAS'!$C$5:$C$254,"&lt;&gt;")=1,INDEX('VENTAS'!$D$5:$D$254,MATCH(C428,'VENTAS'!$A$5:$A$254,0)),"ID no encontrado"))</x:f>
      </x:c>
      <x:c r="F428" s="26" t="str"/>
      <x:c r="G428" s="27" t="str"/>
      <x:c r="H428" s="27" t="str"/>
      <x:c r="I428" s="26" t="str"/>
      <x:c r="J428" s="30" t="str"/>
      <x:c r="K428" s="28" t="str">
        <x:f>IF(B428="","",IF(ISNUMBER(H428),H428,IF(AND(ISNUMBER(G428),ISNUMBER(J428),J428&gt;0),ROUND(G428/J428,2),"")))</x:f>
      </x:c>
      <x:c r="L428" s="31" t="str"/>
      <x:c r="M428" s="26" t="str"/>
      <x:c r="N428" s="26" t="str">
        <x:v>Incluir</x:v>
      </x:c>
      <x:c r="O428" s="22" t="str"/>
      <x:c r="P428" s="22" t="str"/>
      <x:c r="Q428" s="22" t="str">
        <x:f>IF(B428="","",IF(C428="","Falta ID venta",IF(D428="ID no encontrado","ID venta inválido",IF(COUNTIFS('PAGOS'!$A$5:$A$504,A428,'PAGOS'!$B$5:$B$504,"&gt;0")&gt;1,"ID duplicado",IF(AND(L428&lt;&gt;"",COUNTIFS('PAGOS'!$L$5:$L$504,L428,'PAGOS'!$B$5:$B$504,B428,'PAGOS'!$F$5:$F$504,F428)&gt;1),"Referencia repetida",IF(N428&lt;&gt;"Incluir",N428,IF(NOT(ISNUMBER(K428)),"Falta equivalente","Aplicar")))))))</x:f>
      </x:c>
    </x:row>
    <x:row r="429" ht="25" customHeight="1">
      <x:c r="A429" s="22" t="str">
        <x:v>P-425</x:v>
      </x:c>
      <x:c r="B429" s="25" t="str"/>
      <x:c r="C429" s="26" t="str"/>
      <x:c r="D429" s="22" t="str">
        <x:f>IF(C429="","",IF(COUNTIFS('VENTAS'!$A$5:$A$254,C429,'VENTAS'!$C$5:$C$254,"&lt;&gt;")=1,INDEX('VENTAS'!$C$5:$C$254,MATCH(C429,'VENTAS'!$A$5:$A$254,0)),"ID no encontrado"))</x:f>
      </x:c>
      <x:c r="E429" s="22" t="str">
        <x:f>IF(C429="","",IF(COUNTIFS('VENTAS'!$A$5:$A$254,C429,'VENTAS'!$C$5:$C$254,"&lt;&gt;")=1,INDEX('VENTAS'!$D$5:$D$254,MATCH(C429,'VENTAS'!$A$5:$A$254,0)),"ID no encontrado"))</x:f>
      </x:c>
      <x:c r="F429" s="26" t="str"/>
      <x:c r="G429" s="27" t="str"/>
      <x:c r="H429" s="27" t="str"/>
      <x:c r="I429" s="26" t="str"/>
      <x:c r="J429" s="30" t="str"/>
      <x:c r="K429" s="28" t="str">
        <x:f>IF(B429="","",IF(ISNUMBER(H429),H429,IF(AND(ISNUMBER(G429),ISNUMBER(J429),J429&gt;0),ROUND(G429/J429,2),"")))</x:f>
      </x:c>
      <x:c r="L429" s="31" t="str"/>
      <x:c r="M429" s="26" t="str"/>
      <x:c r="N429" s="26" t="str">
        <x:v>Incluir</x:v>
      </x:c>
      <x:c r="O429" s="22" t="str"/>
      <x:c r="P429" s="22" t="str"/>
      <x:c r="Q429" s="22" t="str">
        <x:f>IF(B429="","",IF(C429="","Falta ID venta",IF(D429="ID no encontrado","ID venta inválido",IF(COUNTIFS('PAGOS'!$A$5:$A$504,A429,'PAGOS'!$B$5:$B$504,"&gt;0")&gt;1,"ID duplicado",IF(AND(L429&lt;&gt;"",COUNTIFS('PAGOS'!$L$5:$L$504,L429,'PAGOS'!$B$5:$B$504,B429,'PAGOS'!$F$5:$F$504,F429)&gt;1),"Referencia repetida",IF(N429&lt;&gt;"Incluir",N429,IF(NOT(ISNUMBER(K429)),"Falta equivalente","Aplicar")))))))</x:f>
      </x:c>
    </x:row>
    <x:row r="430" ht="25" customHeight="1">
      <x:c r="A430" s="22" t="str">
        <x:v>P-426</x:v>
      </x:c>
      <x:c r="B430" s="25" t="str"/>
      <x:c r="C430" s="26" t="str"/>
      <x:c r="D430" s="22" t="str">
        <x:f>IF(C430="","",IF(COUNTIFS('VENTAS'!$A$5:$A$254,C430,'VENTAS'!$C$5:$C$254,"&lt;&gt;")=1,INDEX('VENTAS'!$C$5:$C$254,MATCH(C430,'VENTAS'!$A$5:$A$254,0)),"ID no encontrado"))</x:f>
      </x:c>
      <x:c r="E430" s="22" t="str">
        <x:f>IF(C430="","",IF(COUNTIFS('VENTAS'!$A$5:$A$254,C430,'VENTAS'!$C$5:$C$254,"&lt;&gt;")=1,INDEX('VENTAS'!$D$5:$D$254,MATCH(C430,'VENTAS'!$A$5:$A$254,0)),"ID no encontrado"))</x:f>
      </x:c>
      <x:c r="F430" s="26" t="str"/>
      <x:c r="G430" s="27" t="str"/>
      <x:c r="H430" s="27" t="str"/>
      <x:c r="I430" s="26" t="str"/>
      <x:c r="J430" s="30" t="str"/>
      <x:c r="K430" s="28" t="str">
        <x:f>IF(B430="","",IF(ISNUMBER(H430),H430,IF(AND(ISNUMBER(G430),ISNUMBER(J430),J430&gt;0),ROUND(G430/J430,2),"")))</x:f>
      </x:c>
      <x:c r="L430" s="31" t="str"/>
      <x:c r="M430" s="26" t="str"/>
      <x:c r="N430" s="26" t="str">
        <x:v>Incluir</x:v>
      </x:c>
      <x:c r="O430" s="22" t="str"/>
      <x:c r="P430" s="22" t="str"/>
      <x:c r="Q430" s="22" t="str">
        <x:f>IF(B430="","",IF(C430="","Falta ID venta",IF(D430="ID no encontrado","ID venta inválido",IF(COUNTIFS('PAGOS'!$A$5:$A$504,A430,'PAGOS'!$B$5:$B$504,"&gt;0")&gt;1,"ID duplicado",IF(AND(L430&lt;&gt;"",COUNTIFS('PAGOS'!$L$5:$L$504,L430,'PAGOS'!$B$5:$B$504,B430,'PAGOS'!$F$5:$F$504,F430)&gt;1),"Referencia repetida",IF(N430&lt;&gt;"Incluir",N430,IF(NOT(ISNUMBER(K430)),"Falta equivalente","Aplicar")))))))</x:f>
      </x:c>
    </x:row>
    <x:row r="431" ht="25" customHeight="1">
      <x:c r="A431" s="22" t="str">
        <x:v>P-427</x:v>
      </x:c>
      <x:c r="B431" s="25" t="str"/>
      <x:c r="C431" s="26" t="str"/>
      <x:c r="D431" s="22" t="str">
        <x:f>IF(C431="","",IF(COUNTIFS('VENTAS'!$A$5:$A$254,C431,'VENTAS'!$C$5:$C$254,"&lt;&gt;")=1,INDEX('VENTAS'!$C$5:$C$254,MATCH(C431,'VENTAS'!$A$5:$A$254,0)),"ID no encontrado"))</x:f>
      </x:c>
      <x:c r="E431" s="22" t="str">
        <x:f>IF(C431="","",IF(COUNTIFS('VENTAS'!$A$5:$A$254,C431,'VENTAS'!$C$5:$C$254,"&lt;&gt;")=1,INDEX('VENTAS'!$D$5:$D$254,MATCH(C431,'VENTAS'!$A$5:$A$254,0)),"ID no encontrado"))</x:f>
      </x:c>
      <x:c r="F431" s="26" t="str"/>
      <x:c r="G431" s="27" t="str"/>
      <x:c r="H431" s="27" t="str"/>
      <x:c r="I431" s="26" t="str"/>
      <x:c r="J431" s="30" t="str"/>
      <x:c r="K431" s="28" t="str">
        <x:f>IF(B431="","",IF(ISNUMBER(H431),H431,IF(AND(ISNUMBER(G431),ISNUMBER(J431),J431&gt;0),ROUND(G431/J431,2),"")))</x:f>
      </x:c>
      <x:c r="L431" s="31" t="str"/>
      <x:c r="M431" s="26" t="str"/>
      <x:c r="N431" s="26" t="str">
        <x:v>Incluir</x:v>
      </x:c>
      <x:c r="O431" s="22" t="str"/>
      <x:c r="P431" s="22" t="str"/>
      <x:c r="Q431" s="22" t="str">
        <x:f>IF(B431="","",IF(C431="","Falta ID venta",IF(D431="ID no encontrado","ID venta inválido",IF(COUNTIFS('PAGOS'!$A$5:$A$504,A431,'PAGOS'!$B$5:$B$504,"&gt;0")&gt;1,"ID duplicado",IF(AND(L431&lt;&gt;"",COUNTIFS('PAGOS'!$L$5:$L$504,L431,'PAGOS'!$B$5:$B$504,B431,'PAGOS'!$F$5:$F$504,F431)&gt;1),"Referencia repetida",IF(N431&lt;&gt;"Incluir",N431,IF(NOT(ISNUMBER(K431)),"Falta equivalente","Aplicar")))))))</x:f>
      </x:c>
    </x:row>
    <x:row r="432" ht="25" customHeight="1">
      <x:c r="A432" s="22" t="str">
        <x:v>P-428</x:v>
      </x:c>
      <x:c r="B432" s="25" t="str"/>
      <x:c r="C432" s="26" t="str"/>
      <x:c r="D432" s="22" t="str">
        <x:f>IF(C432="","",IF(COUNTIFS('VENTAS'!$A$5:$A$254,C432,'VENTAS'!$C$5:$C$254,"&lt;&gt;")=1,INDEX('VENTAS'!$C$5:$C$254,MATCH(C432,'VENTAS'!$A$5:$A$254,0)),"ID no encontrado"))</x:f>
      </x:c>
      <x:c r="E432" s="22" t="str">
        <x:f>IF(C432="","",IF(COUNTIFS('VENTAS'!$A$5:$A$254,C432,'VENTAS'!$C$5:$C$254,"&lt;&gt;")=1,INDEX('VENTAS'!$D$5:$D$254,MATCH(C432,'VENTAS'!$A$5:$A$254,0)),"ID no encontrado"))</x:f>
      </x:c>
      <x:c r="F432" s="26" t="str"/>
      <x:c r="G432" s="27" t="str"/>
      <x:c r="H432" s="27" t="str"/>
      <x:c r="I432" s="26" t="str"/>
      <x:c r="J432" s="30" t="str"/>
      <x:c r="K432" s="28" t="str">
        <x:f>IF(B432="","",IF(ISNUMBER(H432),H432,IF(AND(ISNUMBER(G432),ISNUMBER(J432),J432&gt;0),ROUND(G432/J432,2),"")))</x:f>
      </x:c>
      <x:c r="L432" s="31" t="str"/>
      <x:c r="M432" s="26" t="str"/>
      <x:c r="N432" s="26" t="str">
        <x:v>Incluir</x:v>
      </x:c>
      <x:c r="O432" s="22" t="str"/>
      <x:c r="P432" s="22" t="str"/>
      <x:c r="Q432" s="22" t="str">
        <x:f>IF(B432="","",IF(C432="","Falta ID venta",IF(D432="ID no encontrado","ID venta inválido",IF(COUNTIFS('PAGOS'!$A$5:$A$504,A432,'PAGOS'!$B$5:$B$504,"&gt;0")&gt;1,"ID duplicado",IF(AND(L432&lt;&gt;"",COUNTIFS('PAGOS'!$L$5:$L$504,L432,'PAGOS'!$B$5:$B$504,B432,'PAGOS'!$F$5:$F$504,F432)&gt;1),"Referencia repetida",IF(N432&lt;&gt;"Incluir",N432,IF(NOT(ISNUMBER(K432)),"Falta equivalente","Aplicar")))))))</x:f>
      </x:c>
    </x:row>
    <x:row r="433" ht="25" customHeight="1">
      <x:c r="A433" s="22" t="str">
        <x:v>P-429</x:v>
      </x:c>
      <x:c r="B433" s="25" t="str"/>
      <x:c r="C433" s="26" t="str"/>
      <x:c r="D433" s="22" t="str">
        <x:f>IF(C433="","",IF(COUNTIFS('VENTAS'!$A$5:$A$254,C433,'VENTAS'!$C$5:$C$254,"&lt;&gt;")=1,INDEX('VENTAS'!$C$5:$C$254,MATCH(C433,'VENTAS'!$A$5:$A$254,0)),"ID no encontrado"))</x:f>
      </x:c>
      <x:c r="E433" s="22" t="str">
        <x:f>IF(C433="","",IF(COUNTIFS('VENTAS'!$A$5:$A$254,C433,'VENTAS'!$C$5:$C$254,"&lt;&gt;")=1,INDEX('VENTAS'!$D$5:$D$254,MATCH(C433,'VENTAS'!$A$5:$A$254,0)),"ID no encontrado"))</x:f>
      </x:c>
      <x:c r="F433" s="26" t="str"/>
      <x:c r="G433" s="27" t="str"/>
      <x:c r="H433" s="27" t="str"/>
      <x:c r="I433" s="26" t="str"/>
      <x:c r="J433" s="30" t="str"/>
      <x:c r="K433" s="28" t="str">
        <x:f>IF(B433="","",IF(ISNUMBER(H433),H433,IF(AND(ISNUMBER(G433),ISNUMBER(J433),J433&gt;0),ROUND(G433/J433,2),"")))</x:f>
      </x:c>
      <x:c r="L433" s="31" t="str"/>
      <x:c r="M433" s="26" t="str"/>
      <x:c r="N433" s="26" t="str">
        <x:v>Incluir</x:v>
      </x:c>
      <x:c r="O433" s="22" t="str"/>
      <x:c r="P433" s="22" t="str"/>
      <x:c r="Q433" s="22" t="str">
        <x:f>IF(B433="","",IF(C433="","Falta ID venta",IF(D433="ID no encontrado","ID venta inválido",IF(COUNTIFS('PAGOS'!$A$5:$A$504,A433,'PAGOS'!$B$5:$B$504,"&gt;0")&gt;1,"ID duplicado",IF(AND(L433&lt;&gt;"",COUNTIFS('PAGOS'!$L$5:$L$504,L433,'PAGOS'!$B$5:$B$504,B433,'PAGOS'!$F$5:$F$504,F433)&gt;1),"Referencia repetida",IF(N433&lt;&gt;"Incluir",N433,IF(NOT(ISNUMBER(K433)),"Falta equivalente","Aplicar")))))))</x:f>
      </x:c>
    </x:row>
    <x:row r="434" ht="25" customHeight="1">
      <x:c r="A434" s="22" t="str">
        <x:v>P-430</x:v>
      </x:c>
      <x:c r="B434" s="25" t="str"/>
      <x:c r="C434" s="26" t="str"/>
      <x:c r="D434" s="22" t="str">
        <x:f>IF(C434="","",IF(COUNTIFS('VENTAS'!$A$5:$A$254,C434,'VENTAS'!$C$5:$C$254,"&lt;&gt;")=1,INDEX('VENTAS'!$C$5:$C$254,MATCH(C434,'VENTAS'!$A$5:$A$254,0)),"ID no encontrado"))</x:f>
      </x:c>
      <x:c r="E434" s="22" t="str">
        <x:f>IF(C434="","",IF(COUNTIFS('VENTAS'!$A$5:$A$254,C434,'VENTAS'!$C$5:$C$254,"&lt;&gt;")=1,INDEX('VENTAS'!$D$5:$D$254,MATCH(C434,'VENTAS'!$A$5:$A$254,0)),"ID no encontrado"))</x:f>
      </x:c>
      <x:c r="F434" s="26" t="str"/>
      <x:c r="G434" s="27" t="str"/>
      <x:c r="H434" s="27" t="str"/>
      <x:c r="I434" s="26" t="str"/>
      <x:c r="J434" s="30" t="str"/>
      <x:c r="K434" s="28" t="str">
        <x:f>IF(B434="","",IF(ISNUMBER(H434),H434,IF(AND(ISNUMBER(G434),ISNUMBER(J434),J434&gt;0),ROUND(G434/J434,2),"")))</x:f>
      </x:c>
      <x:c r="L434" s="31" t="str"/>
      <x:c r="M434" s="26" t="str"/>
      <x:c r="N434" s="26" t="str">
        <x:v>Incluir</x:v>
      </x:c>
      <x:c r="O434" s="22" t="str"/>
      <x:c r="P434" s="22" t="str"/>
      <x:c r="Q434" s="22" t="str">
        <x:f>IF(B434="","",IF(C434="","Falta ID venta",IF(D434="ID no encontrado","ID venta inválido",IF(COUNTIFS('PAGOS'!$A$5:$A$504,A434,'PAGOS'!$B$5:$B$504,"&gt;0")&gt;1,"ID duplicado",IF(AND(L434&lt;&gt;"",COUNTIFS('PAGOS'!$L$5:$L$504,L434,'PAGOS'!$B$5:$B$504,B434,'PAGOS'!$F$5:$F$504,F434)&gt;1),"Referencia repetida",IF(N434&lt;&gt;"Incluir",N434,IF(NOT(ISNUMBER(K434)),"Falta equivalente","Aplicar")))))))</x:f>
      </x:c>
    </x:row>
    <x:row r="435" ht="25" customHeight="1">
      <x:c r="A435" s="22" t="str">
        <x:v>P-431</x:v>
      </x:c>
      <x:c r="B435" s="25" t="str"/>
      <x:c r="C435" s="26" t="str"/>
      <x:c r="D435" s="22" t="str">
        <x:f>IF(C435="","",IF(COUNTIFS('VENTAS'!$A$5:$A$254,C435,'VENTAS'!$C$5:$C$254,"&lt;&gt;")=1,INDEX('VENTAS'!$C$5:$C$254,MATCH(C435,'VENTAS'!$A$5:$A$254,0)),"ID no encontrado"))</x:f>
      </x:c>
      <x:c r="E435" s="22" t="str">
        <x:f>IF(C435="","",IF(COUNTIFS('VENTAS'!$A$5:$A$254,C435,'VENTAS'!$C$5:$C$254,"&lt;&gt;")=1,INDEX('VENTAS'!$D$5:$D$254,MATCH(C435,'VENTAS'!$A$5:$A$254,0)),"ID no encontrado"))</x:f>
      </x:c>
      <x:c r="F435" s="26" t="str"/>
      <x:c r="G435" s="27" t="str"/>
      <x:c r="H435" s="27" t="str"/>
      <x:c r="I435" s="26" t="str"/>
      <x:c r="J435" s="30" t="str"/>
      <x:c r="K435" s="28" t="str">
        <x:f>IF(B435="","",IF(ISNUMBER(H435),H435,IF(AND(ISNUMBER(G435),ISNUMBER(J435),J435&gt;0),ROUND(G435/J435,2),"")))</x:f>
      </x:c>
      <x:c r="L435" s="31" t="str"/>
      <x:c r="M435" s="26" t="str"/>
      <x:c r="N435" s="26" t="str">
        <x:v>Incluir</x:v>
      </x:c>
      <x:c r="O435" s="22" t="str"/>
      <x:c r="P435" s="22" t="str"/>
      <x:c r="Q435" s="22" t="str">
        <x:f>IF(B435="","",IF(C435="","Falta ID venta",IF(D435="ID no encontrado","ID venta inválido",IF(COUNTIFS('PAGOS'!$A$5:$A$504,A435,'PAGOS'!$B$5:$B$504,"&gt;0")&gt;1,"ID duplicado",IF(AND(L435&lt;&gt;"",COUNTIFS('PAGOS'!$L$5:$L$504,L435,'PAGOS'!$B$5:$B$504,B435,'PAGOS'!$F$5:$F$504,F435)&gt;1),"Referencia repetida",IF(N435&lt;&gt;"Incluir",N435,IF(NOT(ISNUMBER(K435)),"Falta equivalente","Aplicar")))))))</x:f>
      </x:c>
    </x:row>
    <x:row r="436" ht="25" customHeight="1">
      <x:c r="A436" s="22" t="str">
        <x:v>P-432</x:v>
      </x:c>
      <x:c r="B436" s="25" t="str"/>
      <x:c r="C436" s="26" t="str"/>
      <x:c r="D436" s="22" t="str">
        <x:f>IF(C436="","",IF(COUNTIFS('VENTAS'!$A$5:$A$254,C436,'VENTAS'!$C$5:$C$254,"&lt;&gt;")=1,INDEX('VENTAS'!$C$5:$C$254,MATCH(C436,'VENTAS'!$A$5:$A$254,0)),"ID no encontrado"))</x:f>
      </x:c>
      <x:c r="E436" s="22" t="str">
        <x:f>IF(C436="","",IF(COUNTIFS('VENTAS'!$A$5:$A$254,C436,'VENTAS'!$C$5:$C$254,"&lt;&gt;")=1,INDEX('VENTAS'!$D$5:$D$254,MATCH(C436,'VENTAS'!$A$5:$A$254,0)),"ID no encontrado"))</x:f>
      </x:c>
      <x:c r="F436" s="26" t="str"/>
      <x:c r="G436" s="27" t="str"/>
      <x:c r="H436" s="27" t="str"/>
      <x:c r="I436" s="26" t="str"/>
      <x:c r="J436" s="30" t="str"/>
      <x:c r="K436" s="28" t="str">
        <x:f>IF(B436="","",IF(ISNUMBER(H436),H436,IF(AND(ISNUMBER(G436),ISNUMBER(J436),J436&gt;0),ROUND(G436/J436,2),"")))</x:f>
      </x:c>
      <x:c r="L436" s="31" t="str"/>
      <x:c r="M436" s="26" t="str"/>
      <x:c r="N436" s="26" t="str">
        <x:v>Incluir</x:v>
      </x:c>
      <x:c r="O436" s="22" t="str"/>
      <x:c r="P436" s="22" t="str"/>
      <x:c r="Q436" s="22" t="str">
        <x:f>IF(B436="","",IF(C436="","Falta ID venta",IF(D436="ID no encontrado","ID venta inválido",IF(COUNTIFS('PAGOS'!$A$5:$A$504,A436,'PAGOS'!$B$5:$B$504,"&gt;0")&gt;1,"ID duplicado",IF(AND(L436&lt;&gt;"",COUNTIFS('PAGOS'!$L$5:$L$504,L436,'PAGOS'!$B$5:$B$504,B436,'PAGOS'!$F$5:$F$504,F436)&gt;1),"Referencia repetida",IF(N436&lt;&gt;"Incluir",N436,IF(NOT(ISNUMBER(K436)),"Falta equivalente","Aplicar")))))))</x:f>
      </x:c>
    </x:row>
    <x:row r="437" ht="25" customHeight="1">
      <x:c r="A437" s="22" t="str">
        <x:v>P-433</x:v>
      </x:c>
      <x:c r="B437" s="25" t="str"/>
      <x:c r="C437" s="26" t="str"/>
      <x:c r="D437" s="22" t="str">
        <x:f>IF(C437="","",IF(COUNTIFS('VENTAS'!$A$5:$A$254,C437,'VENTAS'!$C$5:$C$254,"&lt;&gt;")=1,INDEX('VENTAS'!$C$5:$C$254,MATCH(C437,'VENTAS'!$A$5:$A$254,0)),"ID no encontrado"))</x:f>
      </x:c>
      <x:c r="E437" s="22" t="str">
        <x:f>IF(C437="","",IF(COUNTIFS('VENTAS'!$A$5:$A$254,C437,'VENTAS'!$C$5:$C$254,"&lt;&gt;")=1,INDEX('VENTAS'!$D$5:$D$254,MATCH(C437,'VENTAS'!$A$5:$A$254,0)),"ID no encontrado"))</x:f>
      </x:c>
      <x:c r="F437" s="26" t="str"/>
      <x:c r="G437" s="27" t="str"/>
      <x:c r="H437" s="27" t="str"/>
      <x:c r="I437" s="26" t="str"/>
      <x:c r="J437" s="30" t="str"/>
      <x:c r="K437" s="28" t="str">
        <x:f>IF(B437="","",IF(ISNUMBER(H437),H437,IF(AND(ISNUMBER(G437),ISNUMBER(J437),J437&gt;0),ROUND(G437/J437,2),"")))</x:f>
      </x:c>
      <x:c r="L437" s="31" t="str"/>
      <x:c r="M437" s="26" t="str"/>
      <x:c r="N437" s="26" t="str">
        <x:v>Incluir</x:v>
      </x:c>
      <x:c r="O437" s="22" t="str"/>
      <x:c r="P437" s="22" t="str"/>
      <x:c r="Q437" s="22" t="str">
        <x:f>IF(B437="","",IF(C437="","Falta ID venta",IF(D437="ID no encontrado","ID venta inválido",IF(COUNTIFS('PAGOS'!$A$5:$A$504,A437,'PAGOS'!$B$5:$B$504,"&gt;0")&gt;1,"ID duplicado",IF(AND(L437&lt;&gt;"",COUNTIFS('PAGOS'!$L$5:$L$504,L437,'PAGOS'!$B$5:$B$504,B437,'PAGOS'!$F$5:$F$504,F437)&gt;1),"Referencia repetida",IF(N437&lt;&gt;"Incluir",N437,IF(NOT(ISNUMBER(K437)),"Falta equivalente","Aplicar")))))))</x:f>
      </x:c>
    </x:row>
    <x:row r="438" ht="25" customHeight="1">
      <x:c r="A438" s="22" t="str">
        <x:v>P-434</x:v>
      </x:c>
      <x:c r="B438" s="25" t="str"/>
      <x:c r="C438" s="26" t="str"/>
      <x:c r="D438" s="22" t="str">
        <x:f>IF(C438="","",IF(COUNTIFS('VENTAS'!$A$5:$A$254,C438,'VENTAS'!$C$5:$C$254,"&lt;&gt;")=1,INDEX('VENTAS'!$C$5:$C$254,MATCH(C438,'VENTAS'!$A$5:$A$254,0)),"ID no encontrado"))</x:f>
      </x:c>
      <x:c r="E438" s="22" t="str">
        <x:f>IF(C438="","",IF(COUNTIFS('VENTAS'!$A$5:$A$254,C438,'VENTAS'!$C$5:$C$254,"&lt;&gt;")=1,INDEX('VENTAS'!$D$5:$D$254,MATCH(C438,'VENTAS'!$A$5:$A$254,0)),"ID no encontrado"))</x:f>
      </x:c>
      <x:c r="F438" s="26" t="str"/>
      <x:c r="G438" s="27" t="str"/>
      <x:c r="H438" s="27" t="str"/>
      <x:c r="I438" s="26" t="str"/>
      <x:c r="J438" s="30" t="str"/>
      <x:c r="K438" s="28" t="str">
        <x:f>IF(B438="","",IF(ISNUMBER(H438),H438,IF(AND(ISNUMBER(G438),ISNUMBER(J438),J438&gt;0),ROUND(G438/J438,2),"")))</x:f>
      </x:c>
      <x:c r="L438" s="31" t="str"/>
      <x:c r="M438" s="26" t="str"/>
      <x:c r="N438" s="26" t="str">
        <x:v>Incluir</x:v>
      </x:c>
      <x:c r="O438" s="22" t="str"/>
      <x:c r="P438" s="22" t="str"/>
      <x:c r="Q438" s="22" t="str">
        <x:f>IF(B438="","",IF(C438="","Falta ID venta",IF(D438="ID no encontrado","ID venta inválido",IF(COUNTIFS('PAGOS'!$A$5:$A$504,A438,'PAGOS'!$B$5:$B$504,"&gt;0")&gt;1,"ID duplicado",IF(AND(L438&lt;&gt;"",COUNTIFS('PAGOS'!$L$5:$L$504,L438,'PAGOS'!$B$5:$B$504,B438,'PAGOS'!$F$5:$F$504,F438)&gt;1),"Referencia repetida",IF(N438&lt;&gt;"Incluir",N438,IF(NOT(ISNUMBER(K438)),"Falta equivalente","Aplicar")))))))</x:f>
      </x:c>
    </x:row>
    <x:row r="439" ht="25" customHeight="1">
      <x:c r="A439" s="22" t="str">
        <x:v>P-435</x:v>
      </x:c>
      <x:c r="B439" s="25" t="str"/>
      <x:c r="C439" s="26" t="str"/>
      <x:c r="D439" s="22" t="str">
        <x:f>IF(C439="","",IF(COUNTIFS('VENTAS'!$A$5:$A$254,C439,'VENTAS'!$C$5:$C$254,"&lt;&gt;")=1,INDEX('VENTAS'!$C$5:$C$254,MATCH(C439,'VENTAS'!$A$5:$A$254,0)),"ID no encontrado"))</x:f>
      </x:c>
      <x:c r="E439" s="22" t="str">
        <x:f>IF(C439="","",IF(COUNTIFS('VENTAS'!$A$5:$A$254,C439,'VENTAS'!$C$5:$C$254,"&lt;&gt;")=1,INDEX('VENTAS'!$D$5:$D$254,MATCH(C439,'VENTAS'!$A$5:$A$254,0)),"ID no encontrado"))</x:f>
      </x:c>
      <x:c r="F439" s="26" t="str"/>
      <x:c r="G439" s="27" t="str"/>
      <x:c r="H439" s="27" t="str"/>
      <x:c r="I439" s="26" t="str"/>
      <x:c r="J439" s="30" t="str"/>
      <x:c r="K439" s="28" t="str">
        <x:f>IF(B439="","",IF(ISNUMBER(H439),H439,IF(AND(ISNUMBER(G439),ISNUMBER(J439),J439&gt;0),ROUND(G439/J439,2),"")))</x:f>
      </x:c>
      <x:c r="L439" s="31" t="str"/>
      <x:c r="M439" s="26" t="str"/>
      <x:c r="N439" s="26" t="str">
        <x:v>Incluir</x:v>
      </x:c>
      <x:c r="O439" s="22" t="str"/>
      <x:c r="P439" s="22" t="str"/>
      <x:c r="Q439" s="22" t="str">
        <x:f>IF(B439="","",IF(C439="","Falta ID venta",IF(D439="ID no encontrado","ID venta inválido",IF(COUNTIFS('PAGOS'!$A$5:$A$504,A439,'PAGOS'!$B$5:$B$504,"&gt;0")&gt;1,"ID duplicado",IF(AND(L439&lt;&gt;"",COUNTIFS('PAGOS'!$L$5:$L$504,L439,'PAGOS'!$B$5:$B$504,B439,'PAGOS'!$F$5:$F$504,F439)&gt;1),"Referencia repetida",IF(N439&lt;&gt;"Incluir",N439,IF(NOT(ISNUMBER(K439)),"Falta equivalente","Aplicar")))))))</x:f>
      </x:c>
    </x:row>
    <x:row r="440" ht="25" customHeight="1">
      <x:c r="A440" s="22" t="str">
        <x:v>P-436</x:v>
      </x:c>
      <x:c r="B440" s="25" t="str"/>
      <x:c r="C440" s="26" t="str"/>
      <x:c r="D440" s="22" t="str">
        <x:f>IF(C440="","",IF(COUNTIFS('VENTAS'!$A$5:$A$254,C440,'VENTAS'!$C$5:$C$254,"&lt;&gt;")=1,INDEX('VENTAS'!$C$5:$C$254,MATCH(C440,'VENTAS'!$A$5:$A$254,0)),"ID no encontrado"))</x:f>
      </x:c>
      <x:c r="E440" s="22" t="str">
        <x:f>IF(C440="","",IF(COUNTIFS('VENTAS'!$A$5:$A$254,C440,'VENTAS'!$C$5:$C$254,"&lt;&gt;")=1,INDEX('VENTAS'!$D$5:$D$254,MATCH(C440,'VENTAS'!$A$5:$A$254,0)),"ID no encontrado"))</x:f>
      </x:c>
      <x:c r="F440" s="26" t="str"/>
      <x:c r="G440" s="27" t="str"/>
      <x:c r="H440" s="27" t="str"/>
      <x:c r="I440" s="26" t="str"/>
      <x:c r="J440" s="30" t="str"/>
      <x:c r="K440" s="28" t="str">
        <x:f>IF(B440="","",IF(ISNUMBER(H440),H440,IF(AND(ISNUMBER(G440),ISNUMBER(J440),J440&gt;0),ROUND(G440/J440,2),"")))</x:f>
      </x:c>
      <x:c r="L440" s="31" t="str"/>
      <x:c r="M440" s="26" t="str"/>
      <x:c r="N440" s="26" t="str">
        <x:v>Incluir</x:v>
      </x:c>
      <x:c r="O440" s="22" t="str"/>
      <x:c r="P440" s="22" t="str"/>
      <x:c r="Q440" s="22" t="str">
        <x:f>IF(B440="","",IF(C440="","Falta ID venta",IF(D440="ID no encontrado","ID venta inválido",IF(COUNTIFS('PAGOS'!$A$5:$A$504,A440,'PAGOS'!$B$5:$B$504,"&gt;0")&gt;1,"ID duplicado",IF(AND(L440&lt;&gt;"",COUNTIFS('PAGOS'!$L$5:$L$504,L440,'PAGOS'!$B$5:$B$504,B440,'PAGOS'!$F$5:$F$504,F440)&gt;1),"Referencia repetida",IF(N440&lt;&gt;"Incluir",N440,IF(NOT(ISNUMBER(K440)),"Falta equivalente","Aplicar")))))))</x:f>
      </x:c>
    </x:row>
    <x:row r="441" ht="25" customHeight="1">
      <x:c r="A441" s="22" t="str">
        <x:v>P-437</x:v>
      </x:c>
      <x:c r="B441" s="25" t="str"/>
      <x:c r="C441" s="26" t="str"/>
      <x:c r="D441" s="22" t="str">
        <x:f>IF(C441="","",IF(COUNTIFS('VENTAS'!$A$5:$A$254,C441,'VENTAS'!$C$5:$C$254,"&lt;&gt;")=1,INDEX('VENTAS'!$C$5:$C$254,MATCH(C441,'VENTAS'!$A$5:$A$254,0)),"ID no encontrado"))</x:f>
      </x:c>
      <x:c r="E441" s="22" t="str">
        <x:f>IF(C441="","",IF(COUNTIFS('VENTAS'!$A$5:$A$254,C441,'VENTAS'!$C$5:$C$254,"&lt;&gt;")=1,INDEX('VENTAS'!$D$5:$D$254,MATCH(C441,'VENTAS'!$A$5:$A$254,0)),"ID no encontrado"))</x:f>
      </x:c>
      <x:c r="F441" s="26" t="str"/>
      <x:c r="G441" s="27" t="str"/>
      <x:c r="H441" s="27" t="str"/>
      <x:c r="I441" s="26" t="str"/>
      <x:c r="J441" s="30" t="str"/>
      <x:c r="K441" s="28" t="str">
        <x:f>IF(B441="","",IF(ISNUMBER(H441),H441,IF(AND(ISNUMBER(G441),ISNUMBER(J441),J441&gt;0),ROUND(G441/J441,2),"")))</x:f>
      </x:c>
      <x:c r="L441" s="31" t="str"/>
      <x:c r="M441" s="26" t="str"/>
      <x:c r="N441" s="26" t="str">
        <x:v>Incluir</x:v>
      </x:c>
      <x:c r="O441" s="22" t="str"/>
      <x:c r="P441" s="22" t="str"/>
      <x:c r="Q441" s="22" t="str">
        <x:f>IF(B441="","",IF(C441="","Falta ID venta",IF(D441="ID no encontrado","ID venta inválido",IF(COUNTIFS('PAGOS'!$A$5:$A$504,A441,'PAGOS'!$B$5:$B$504,"&gt;0")&gt;1,"ID duplicado",IF(AND(L441&lt;&gt;"",COUNTIFS('PAGOS'!$L$5:$L$504,L441,'PAGOS'!$B$5:$B$504,B441,'PAGOS'!$F$5:$F$504,F441)&gt;1),"Referencia repetida",IF(N441&lt;&gt;"Incluir",N441,IF(NOT(ISNUMBER(K441)),"Falta equivalente","Aplicar")))))))</x:f>
      </x:c>
    </x:row>
    <x:row r="442" ht="25" customHeight="1">
      <x:c r="A442" s="22" t="str">
        <x:v>P-438</x:v>
      </x:c>
      <x:c r="B442" s="25" t="str"/>
      <x:c r="C442" s="26" t="str"/>
      <x:c r="D442" s="22" t="str">
        <x:f>IF(C442="","",IF(COUNTIFS('VENTAS'!$A$5:$A$254,C442,'VENTAS'!$C$5:$C$254,"&lt;&gt;")=1,INDEX('VENTAS'!$C$5:$C$254,MATCH(C442,'VENTAS'!$A$5:$A$254,0)),"ID no encontrado"))</x:f>
      </x:c>
      <x:c r="E442" s="22" t="str">
        <x:f>IF(C442="","",IF(COUNTIFS('VENTAS'!$A$5:$A$254,C442,'VENTAS'!$C$5:$C$254,"&lt;&gt;")=1,INDEX('VENTAS'!$D$5:$D$254,MATCH(C442,'VENTAS'!$A$5:$A$254,0)),"ID no encontrado"))</x:f>
      </x:c>
      <x:c r="F442" s="26" t="str"/>
      <x:c r="G442" s="27" t="str"/>
      <x:c r="H442" s="27" t="str"/>
      <x:c r="I442" s="26" t="str"/>
      <x:c r="J442" s="30" t="str"/>
      <x:c r="K442" s="28" t="str">
        <x:f>IF(B442="","",IF(ISNUMBER(H442),H442,IF(AND(ISNUMBER(G442),ISNUMBER(J442),J442&gt;0),ROUND(G442/J442,2),"")))</x:f>
      </x:c>
      <x:c r="L442" s="31" t="str"/>
      <x:c r="M442" s="26" t="str"/>
      <x:c r="N442" s="26" t="str">
        <x:v>Incluir</x:v>
      </x:c>
      <x:c r="O442" s="22" t="str"/>
      <x:c r="P442" s="22" t="str"/>
      <x:c r="Q442" s="22" t="str">
        <x:f>IF(B442="","",IF(C442="","Falta ID venta",IF(D442="ID no encontrado","ID venta inválido",IF(COUNTIFS('PAGOS'!$A$5:$A$504,A442,'PAGOS'!$B$5:$B$504,"&gt;0")&gt;1,"ID duplicado",IF(AND(L442&lt;&gt;"",COUNTIFS('PAGOS'!$L$5:$L$504,L442,'PAGOS'!$B$5:$B$504,B442,'PAGOS'!$F$5:$F$504,F442)&gt;1),"Referencia repetida",IF(N442&lt;&gt;"Incluir",N442,IF(NOT(ISNUMBER(K442)),"Falta equivalente","Aplicar")))))))</x:f>
      </x:c>
    </x:row>
    <x:row r="443" ht="25" customHeight="1">
      <x:c r="A443" s="22" t="str">
        <x:v>P-439</x:v>
      </x:c>
      <x:c r="B443" s="25" t="str"/>
      <x:c r="C443" s="26" t="str"/>
      <x:c r="D443" s="22" t="str">
        <x:f>IF(C443="","",IF(COUNTIFS('VENTAS'!$A$5:$A$254,C443,'VENTAS'!$C$5:$C$254,"&lt;&gt;")=1,INDEX('VENTAS'!$C$5:$C$254,MATCH(C443,'VENTAS'!$A$5:$A$254,0)),"ID no encontrado"))</x:f>
      </x:c>
      <x:c r="E443" s="22" t="str">
        <x:f>IF(C443="","",IF(COUNTIFS('VENTAS'!$A$5:$A$254,C443,'VENTAS'!$C$5:$C$254,"&lt;&gt;")=1,INDEX('VENTAS'!$D$5:$D$254,MATCH(C443,'VENTAS'!$A$5:$A$254,0)),"ID no encontrado"))</x:f>
      </x:c>
      <x:c r="F443" s="26" t="str"/>
      <x:c r="G443" s="27" t="str"/>
      <x:c r="H443" s="27" t="str"/>
      <x:c r="I443" s="26" t="str"/>
      <x:c r="J443" s="30" t="str"/>
      <x:c r="K443" s="28" t="str">
        <x:f>IF(B443="","",IF(ISNUMBER(H443),H443,IF(AND(ISNUMBER(G443),ISNUMBER(J443),J443&gt;0),ROUND(G443/J443,2),"")))</x:f>
      </x:c>
      <x:c r="L443" s="31" t="str"/>
      <x:c r="M443" s="26" t="str"/>
      <x:c r="N443" s="26" t="str">
        <x:v>Incluir</x:v>
      </x:c>
      <x:c r="O443" s="22" t="str"/>
      <x:c r="P443" s="22" t="str"/>
      <x:c r="Q443" s="22" t="str">
        <x:f>IF(B443="","",IF(C443="","Falta ID venta",IF(D443="ID no encontrado","ID venta inválido",IF(COUNTIFS('PAGOS'!$A$5:$A$504,A443,'PAGOS'!$B$5:$B$504,"&gt;0")&gt;1,"ID duplicado",IF(AND(L443&lt;&gt;"",COUNTIFS('PAGOS'!$L$5:$L$504,L443,'PAGOS'!$B$5:$B$504,B443,'PAGOS'!$F$5:$F$504,F443)&gt;1),"Referencia repetida",IF(N443&lt;&gt;"Incluir",N443,IF(NOT(ISNUMBER(K443)),"Falta equivalente","Aplicar")))))))</x:f>
      </x:c>
    </x:row>
    <x:row r="444" ht="25" customHeight="1">
      <x:c r="A444" s="22" t="str">
        <x:v>P-440</x:v>
      </x:c>
      <x:c r="B444" s="25" t="str"/>
      <x:c r="C444" s="26" t="str"/>
      <x:c r="D444" s="22" t="str">
        <x:f>IF(C444="","",IF(COUNTIFS('VENTAS'!$A$5:$A$254,C444,'VENTAS'!$C$5:$C$254,"&lt;&gt;")=1,INDEX('VENTAS'!$C$5:$C$254,MATCH(C444,'VENTAS'!$A$5:$A$254,0)),"ID no encontrado"))</x:f>
      </x:c>
      <x:c r="E444" s="22" t="str">
        <x:f>IF(C444="","",IF(COUNTIFS('VENTAS'!$A$5:$A$254,C444,'VENTAS'!$C$5:$C$254,"&lt;&gt;")=1,INDEX('VENTAS'!$D$5:$D$254,MATCH(C444,'VENTAS'!$A$5:$A$254,0)),"ID no encontrado"))</x:f>
      </x:c>
      <x:c r="F444" s="26" t="str"/>
      <x:c r="G444" s="27" t="str"/>
      <x:c r="H444" s="27" t="str"/>
      <x:c r="I444" s="26" t="str"/>
      <x:c r="J444" s="30" t="str"/>
      <x:c r="K444" s="28" t="str">
        <x:f>IF(B444="","",IF(ISNUMBER(H444),H444,IF(AND(ISNUMBER(G444),ISNUMBER(J444),J444&gt;0),ROUND(G444/J444,2),"")))</x:f>
      </x:c>
      <x:c r="L444" s="31" t="str"/>
      <x:c r="M444" s="26" t="str"/>
      <x:c r="N444" s="26" t="str">
        <x:v>Incluir</x:v>
      </x:c>
      <x:c r="O444" s="22" t="str"/>
      <x:c r="P444" s="22" t="str"/>
      <x:c r="Q444" s="22" t="str">
        <x:f>IF(B444="","",IF(C444="","Falta ID venta",IF(D444="ID no encontrado","ID venta inválido",IF(COUNTIFS('PAGOS'!$A$5:$A$504,A444,'PAGOS'!$B$5:$B$504,"&gt;0")&gt;1,"ID duplicado",IF(AND(L444&lt;&gt;"",COUNTIFS('PAGOS'!$L$5:$L$504,L444,'PAGOS'!$B$5:$B$504,B444,'PAGOS'!$F$5:$F$504,F444)&gt;1),"Referencia repetida",IF(N444&lt;&gt;"Incluir",N444,IF(NOT(ISNUMBER(K444)),"Falta equivalente","Aplicar")))))))</x:f>
      </x:c>
    </x:row>
    <x:row r="445" ht="25" customHeight="1">
      <x:c r="A445" s="22" t="str">
        <x:v>P-441</x:v>
      </x:c>
      <x:c r="B445" s="25" t="str"/>
      <x:c r="C445" s="26" t="str"/>
      <x:c r="D445" s="22" t="str">
        <x:f>IF(C445="","",IF(COUNTIFS('VENTAS'!$A$5:$A$254,C445,'VENTAS'!$C$5:$C$254,"&lt;&gt;")=1,INDEX('VENTAS'!$C$5:$C$254,MATCH(C445,'VENTAS'!$A$5:$A$254,0)),"ID no encontrado"))</x:f>
      </x:c>
      <x:c r="E445" s="22" t="str">
        <x:f>IF(C445="","",IF(COUNTIFS('VENTAS'!$A$5:$A$254,C445,'VENTAS'!$C$5:$C$254,"&lt;&gt;")=1,INDEX('VENTAS'!$D$5:$D$254,MATCH(C445,'VENTAS'!$A$5:$A$254,0)),"ID no encontrado"))</x:f>
      </x:c>
      <x:c r="F445" s="26" t="str"/>
      <x:c r="G445" s="27" t="str"/>
      <x:c r="H445" s="27" t="str"/>
      <x:c r="I445" s="26" t="str"/>
      <x:c r="J445" s="30" t="str"/>
      <x:c r="K445" s="28" t="str">
        <x:f>IF(B445="","",IF(ISNUMBER(H445),H445,IF(AND(ISNUMBER(G445),ISNUMBER(J445),J445&gt;0),ROUND(G445/J445,2),"")))</x:f>
      </x:c>
      <x:c r="L445" s="31" t="str"/>
      <x:c r="M445" s="26" t="str"/>
      <x:c r="N445" s="26" t="str">
        <x:v>Incluir</x:v>
      </x:c>
      <x:c r="O445" s="22" t="str"/>
      <x:c r="P445" s="22" t="str"/>
      <x:c r="Q445" s="22" t="str">
        <x:f>IF(B445="","",IF(C445="","Falta ID venta",IF(D445="ID no encontrado","ID venta inválido",IF(COUNTIFS('PAGOS'!$A$5:$A$504,A445,'PAGOS'!$B$5:$B$504,"&gt;0")&gt;1,"ID duplicado",IF(AND(L445&lt;&gt;"",COUNTIFS('PAGOS'!$L$5:$L$504,L445,'PAGOS'!$B$5:$B$504,B445,'PAGOS'!$F$5:$F$504,F445)&gt;1),"Referencia repetida",IF(N445&lt;&gt;"Incluir",N445,IF(NOT(ISNUMBER(K445)),"Falta equivalente","Aplicar")))))))</x:f>
      </x:c>
    </x:row>
    <x:row r="446" ht="25" customHeight="1">
      <x:c r="A446" s="22" t="str">
        <x:v>P-442</x:v>
      </x:c>
      <x:c r="B446" s="25" t="str"/>
      <x:c r="C446" s="26" t="str"/>
      <x:c r="D446" s="22" t="str">
        <x:f>IF(C446="","",IF(COUNTIFS('VENTAS'!$A$5:$A$254,C446,'VENTAS'!$C$5:$C$254,"&lt;&gt;")=1,INDEX('VENTAS'!$C$5:$C$254,MATCH(C446,'VENTAS'!$A$5:$A$254,0)),"ID no encontrado"))</x:f>
      </x:c>
      <x:c r="E446" s="22" t="str">
        <x:f>IF(C446="","",IF(COUNTIFS('VENTAS'!$A$5:$A$254,C446,'VENTAS'!$C$5:$C$254,"&lt;&gt;")=1,INDEX('VENTAS'!$D$5:$D$254,MATCH(C446,'VENTAS'!$A$5:$A$254,0)),"ID no encontrado"))</x:f>
      </x:c>
      <x:c r="F446" s="26" t="str"/>
      <x:c r="G446" s="27" t="str"/>
      <x:c r="H446" s="27" t="str"/>
      <x:c r="I446" s="26" t="str"/>
      <x:c r="J446" s="30" t="str"/>
      <x:c r="K446" s="28" t="str">
        <x:f>IF(B446="","",IF(ISNUMBER(H446),H446,IF(AND(ISNUMBER(G446),ISNUMBER(J446),J446&gt;0),ROUND(G446/J446,2),"")))</x:f>
      </x:c>
      <x:c r="L446" s="31" t="str"/>
      <x:c r="M446" s="26" t="str"/>
      <x:c r="N446" s="26" t="str">
        <x:v>Incluir</x:v>
      </x:c>
      <x:c r="O446" s="22" t="str"/>
      <x:c r="P446" s="22" t="str"/>
      <x:c r="Q446" s="22" t="str">
        <x:f>IF(B446="","",IF(C446="","Falta ID venta",IF(D446="ID no encontrado","ID venta inválido",IF(COUNTIFS('PAGOS'!$A$5:$A$504,A446,'PAGOS'!$B$5:$B$504,"&gt;0")&gt;1,"ID duplicado",IF(AND(L446&lt;&gt;"",COUNTIFS('PAGOS'!$L$5:$L$504,L446,'PAGOS'!$B$5:$B$504,B446,'PAGOS'!$F$5:$F$504,F446)&gt;1),"Referencia repetida",IF(N446&lt;&gt;"Incluir",N446,IF(NOT(ISNUMBER(K446)),"Falta equivalente","Aplicar")))))))</x:f>
      </x:c>
    </x:row>
    <x:row r="447" ht="25" customHeight="1">
      <x:c r="A447" s="22" t="str">
        <x:v>P-443</x:v>
      </x:c>
      <x:c r="B447" s="25" t="str"/>
      <x:c r="C447" s="26" t="str"/>
      <x:c r="D447" s="22" t="str">
        <x:f>IF(C447="","",IF(COUNTIFS('VENTAS'!$A$5:$A$254,C447,'VENTAS'!$C$5:$C$254,"&lt;&gt;")=1,INDEX('VENTAS'!$C$5:$C$254,MATCH(C447,'VENTAS'!$A$5:$A$254,0)),"ID no encontrado"))</x:f>
      </x:c>
      <x:c r="E447" s="22" t="str">
        <x:f>IF(C447="","",IF(COUNTIFS('VENTAS'!$A$5:$A$254,C447,'VENTAS'!$C$5:$C$254,"&lt;&gt;")=1,INDEX('VENTAS'!$D$5:$D$254,MATCH(C447,'VENTAS'!$A$5:$A$254,0)),"ID no encontrado"))</x:f>
      </x:c>
      <x:c r="F447" s="26" t="str"/>
      <x:c r="G447" s="27" t="str"/>
      <x:c r="H447" s="27" t="str"/>
      <x:c r="I447" s="26" t="str"/>
      <x:c r="J447" s="30" t="str"/>
      <x:c r="K447" s="28" t="str">
        <x:f>IF(B447="","",IF(ISNUMBER(H447),H447,IF(AND(ISNUMBER(G447),ISNUMBER(J447),J447&gt;0),ROUND(G447/J447,2),"")))</x:f>
      </x:c>
      <x:c r="L447" s="31" t="str"/>
      <x:c r="M447" s="26" t="str"/>
      <x:c r="N447" s="26" t="str">
        <x:v>Incluir</x:v>
      </x:c>
      <x:c r="O447" s="22" t="str"/>
      <x:c r="P447" s="22" t="str"/>
      <x:c r="Q447" s="22" t="str">
        <x:f>IF(B447="","",IF(C447="","Falta ID venta",IF(D447="ID no encontrado","ID venta inválido",IF(COUNTIFS('PAGOS'!$A$5:$A$504,A447,'PAGOS'!$B$5:$B$504,"&gt;0")&gt;1,"ID duplicado",IF(AND(L447&lt;&gt;"",COUNTIFS('PAGOS'!$L$5:$L$504,L447,'PAGOS'!$B$5:$B$504,B447,'PAGOS'!$F$5:$F$504,F447)&gt;1),"Referencia repetida",IF(N447&lt;&gt;"Incluir",N447,IF(NOT(ISNUMBER(K447)),"Falta equivalente","Aplicar")))))))</x:f>
      </x:c>
    </x:row>
    <x:row r="448" ht="25" customHeight="1">
      <x:c r="A448" s="22" t="str">
        <x:v>P-444</x:v>
      </x:c>
      <x:c r="B448" s="25" t="str"/>
      <x:c r="C448" s="26" t="str"/>
      <x:c r="D448" s="22" t="str">
        <x:f>IF(C448="","",IF(COUNTIFS('VENTAS'!$A$5:$A$254,C448,'VENTAS'!$C$5:$C$254,"&lt;&gt;")=1,INDEX('VENTAS'!$C$5:$C$254,MATCH(C448,'VENTAS'!$A$5:$A$254,0)),"ID no encontrado"))</x:f>
      </x:c>
      <x:c r="E448" s="22" t="str">
        <x:f>IF(C448="","",IF(COUNTIFS('VENTAS'!$A$5:$A$254,C448,'VENTAS'!$C$5:$C$254,"&lt;&gt;")=1,INDEX('VENTAS'!$D$5:$D$254,MATCH(C448,'VENTAS'!$A$5:$A$254,0)),"ID no encontrado"))</x:f>
      </x:c>
      <x:c r="F448" s="26" t="str"/>
      <x:c r="G448" s="27" t="str"/>
      <x:c r="H448" s="27" t="str"/>
      <x:c r="I448" s="26" t="str"/>
      <x:c r="J448" s="30" t="str"/>
      <x:c r="K448" s="28" t="str">
        <x:f>IF(B448="","",IF(ISNUMBER(H448),H448,IF(AND(ISNUMBER(G448),ISNUMBER(J448),J448&gt;0),ROUND(G448/J448,2),"")))</x:f>
      </x:c>
      <x:c r="L448" s="31" t="str"/>
      <x:c r="M448" s="26" t="str"/>
      <x:c r="N448" s="26" t="str">
        <x:v>Incluir</x:v>
      </x:c>
      <x:c r="O448" s="22" t="str"/>
      <x:c r="P448" s="22" t="str"/>
      <x:c r="Q448" s="22" t="str">
        <x:f>IF(B448="","",IF(C448="","Falta ID venta",IF(D448="ID no encontrado","ID venta inválido",IF(COUNTIFS('PAGOS'!$A$5:$A$504,A448,'PAGOS'!$B$5:$B$504,"&gt;0")&gt;1,"ID duplicado",IF(AND(L448&lt;&gt;"",COUNTIFS('PAGOS'!$L$5:$L$504,L448,'PAGOS'!$B$5:$B$504,B448,'PAGOS'!$F$5:$F$504,F448)&gt;1),"Referencia repetida",IF(N448&lt;&gt;"Incluir",N448,IF(NOT(ISNUMBER(K448)),"Falta equivalente","Aplicar")))))))</x:f>
      </x:c>
    </x:row>
    <x:row r="449" ht="25" customHeight="1">
      <x:c r="A449" s="22" t="str">
        <x:v>P-445</x:v>
      </x:c>
      <x:c r="B449" s="25" t="str"/>
      <x:c r="C449" s="26" t="str"/>
      <x:c r="D449" s="22" t="str">
        <x:f>IF(C449="","",IF(COUNTIFS('VENTAS'!$A$5:$A$254,C449,'VENTAS'!$C$5:$C$254,"&lt;&gt;")=1,INDEX('VENTAS'!$C$5:$C$254,MATCH(C449,'VENTAS'!$A$5:$A$254,0)),"ID no encontrado"))</x:f>
      </x:c>
      <x:c r="E449" s="22" t="str">
        <x:f>IF(C449="","",IF(COUNTIFS('VENTAS'!$A$5:$A$254,C449,'VENTAS'!$C$5:$C$254,"&lt;&gt;")=1,INDEX('VENTAS'!$D$5:$D$254,MATCH(C449,'VENTAS'!$A$5:$A$254,0)),"ID no encontrado"))</x:f>
      </x:c>
      <x:c r="F449" s="26" t="str"/>
      <x:c r="G449" s="27" t="str"/>
      <x:c r="H449" s="27" t="str"/>
      <x:c r="I449" s="26" t="str"/>
      <x:c r="J449" s="30" t="str"/>
      <x:c r="K449" s="28" t="str">
        <x:f>IF(B449="","",IF(ISNUMBER(H449),H449,IF(AND(ISNUMBER(G449),ISNUMBER(J449),J449&gt;0),ROUND(G449/J449,2),"")))</x:f>
      </x:c>
      <x:c r="L449" s="31" t="str"/>
      <x:c r="M449" s="26" t="str"/>
      <x:c r="N449" s="26" t="str">
        <x:v>Incluir</x:v>
      </x:c>
      <x:c r="O449" s="22" t="str"/>
      <x:c r="P449" s="22" t="str"/>
      <x:c r="Q449" s="22" t="str">
        <x:f>IF(B449="","",IF(C449="","Falta ID venta",IF(D449="ID no encontrado","ID venta inválido",IF(COUNTIFS('PAGOS'!$A$5:$A$504,A449,'PAGOS'!$B$5:$B$504,"&gt;0")&gt;1,"ID duplicado",IF(AND(L449&lt;&gt;"",COUNTIFS('PAGOS'!$L$5:$L$504,L449,'PAGOS'!$B$5:$B$504,B449,'PAGOS'!$F$5:$F$504,F449)&gt;1),"Referencia repetida",IF(N449&lt;&gt;"Incluir",N449,IF(NOT(ISNUMBER(K449)),"Falta equivalente","Aplicar")))))))</x:f>
      </x:c>
    </x:row>
    <x:row r="450" ht="25" customHeight="1">
      <x:c r="A450" s="22" t="str">
        <x:v>P-446</x:v>
      </x:c>
      <x:c r="B450" s="25" t="str"/>
      <x:c r="C450" s="26" t="str"/>
      <x:c r="D450" s="22" t="str">
        <x:f>IF(C450="","",IF(COUNTIFS('VENTAS'!$A$5:$A$254,C450,'VENTAS'!$C$5:$C$254,"&lt;&gt;")=1,INDEX('VENTAS'!$C$5:$C$254,MATCH(C450,'VENTAS'!$A$5:$A$254,0)),"ID no encontrado"))</x:f>
      </x:c>
      <x:c r="E450" s="22" t="str">
        <x:f>IF(C450="","",IF(COUNTIFS('VENTAS'!$A$5:$A$254,C450,'VENTAS'!$C$5:$C$254,"&lt;&gt;")=1,INDEX('VENTAS'!$D$5:$D$254,MATCH(C450,'VENTAS'!$A$5:$A$254,0)),"ID no encontrado"))</x:f>
      </x:c>
      <x:c r="F450" s="26" t="str"/>
      <x:c r="G450" s="27" t="str"/>
      <x:c r="H450" s="27" t="str"/>
      <x:c r="I450" s="26" t="str"/>
      <x:c r="J450" s="30" t="str"/>
      <x:c r="K450" s="28" t="str">
        <x:f>IF(B450="","",IF(ISNUMBER(H450),H450,IF(AND(ISNUMBER(G450),ISNUMBER(J450),J450&gt;0),ROUND(G450/J450,2),"")))</x:f>
      </x:c>
      <x:c r="L450" s="31" t="str"/>
      <x:c r="M450" s="26" t="str"/>
      <x:c r="N450" s="26" t="str">
        <x:v>Incluir</x:v>
      </x:c>
      <x:c r="O450" s="22" t="str"/>
      <x:c r="P450" s="22" t="str"/>
      <x:c r="Q450" s="22" t="str">
        <x:f>IF(B450="","",IF(C450="","Falta ID venta",IF(D450="ID no encontrado","ID venta inválido",IF(COUNTIFS('PAGOS'!$A$5:$A$504,A450,'PAGOS'!$B$5:$B$504,"&gt;0")&gt;1,"ID duplicado",IF(AND(L450&lt;&gt;"",COUNTIFS('PAGOS'!$L$5:$L$504,L450,'PAGOS'!$B$5:$B$504,B450,'PAGOS'!$F$5:$F$504,F450)&gt;1),"Referencia repetida",IF(N450&lt;&gt;"Incluir",N450,IF(NOT(ISNUMBER(K450)),"Falta equivalente","Aplicar")))))))</x:f>
      </x:c>
    </x:row>
    <x:row r="451" ht="25" customHeight="1">
      <x:c r="A451" s="22" t="str">
        <x:v>P-447</x:v>
      </x:c>
      <x:c r="B451" s="25" t="str"/>
      <x:c r="C451" s="26" t="str"/>
      <x:c r="D451" s="22" t="str">
        <x:f>IF(C451="","",IF(COUNTIFS('VENTAS'!$A$5:$A$254,C451,'VENTAS'!$C$5:$C$254,"&lt;&gt;")=1,INDEX('VENTAS'!$C$5:$C$254,MATCH(C451,'VENTAS'!$A$5:$A$254,0)),"ID no encontrado"))</x:f>
      </x:c>
      <x:c r="E451" s="22" t="str">
        <x:f>IF(C451="","",IF(COUNTIFS('VENTAS'!$A$5:$A$254,C451,'VENTAS'!$C$5:$C$254,"&lt;&gt;")=1,INDEX('VENTAS'!$D$5:$D$254,MATCH(C451,'VENTAS'!$A$5:$A$254,0)),"ID no encontrado"))</x:f>
      </x:c>
      <x:c r="F451" s="26" t="str"/>
      <x:c r="G451" s="27" t="str"/>
      <x:c r="H451" s="27" t="str"/>
      <x:c r="I451" s="26" t="str"/>
      <x:c r="J451" s="30" t="str"/>
      <x:c r="K451" s="28" t="str">
        <x:f>IF(B451="","",IF(ISNUMBER(H451),H451,IF(AND(ISNUMBER(G451),ISNUMBER(J451),J451&gt;0),ROUND(G451/J451,2),"")))</x:f>
      </x:c>
      <x:c r="L451" s="31" t="str"/>
      <x:c r="M451" s="26" t="str"/>
      <x:c r="N451" s="26" t="str">
        <x:v>Incluir</x:v>
      </x:c>
      <x:c r="O451" s="22" t="str"/>
      <x:c r="P451" s="22" t="str"/>
      <x:c r="Q451" s="22" t="str">
        <x:f>IF(B451="","",IF(C451="","Falta ID venta",IF(D451="ID no encontrado","ID venta inválido",IF(COUNTIFS('PAGOS'!$A$5:$A$504,A451,'PAGOS'!$B$5:$B$504,"&gt;0")&gt;1,"ID duplicado",IF(AND(L451&lt;&gt;"",COUNTIFS('PAGOS'!$L$5:$L$504,L451,'PAGOS'!$B$5:$B$504,B451,'PAGOS'!$F$5:$F$504,F451)&gt;1),"Referencia repetida",IF(N451&lt;&gt;"Incluir",N451,IF(NOT(ISNUMBER(K451)),"Falta equivalente","Aplicar")))))))</x:f>
      </x:c>
    </x:row>
    <x:row r="452" ht="25" customHeight="1">
      <x:c r="A452" s="22" t="str">
        <x:v>P-448</x:v>
      </x:c>
      <x:c r="B452" s="25" t="str"/>
      <x:c r="C452" s="26" t="str"/>
      <x:c r="D452" s="22" t="str">
        <x:f>IF(C452="","",IF(COUNTIFS('VENTAS'!$A$5:$A$254,C452,'VENTAS'!$C$5:$C$254,"&lt;&gt;")=1,INDEX('VENTAS'!$C$5:$C$254,MATCH(C452,'VENTAS'!$A$5:$A$254,0)),"ID no encontrado"))</x:f>
      </x:c>
      <x:c r="E452" s="22" t="str">
        <x:f>IF(C452="","",IF(COUNTIFS('VENTAS'!$A$5:$A$254,C452,'VENTAS'!$C$5:$C$254,"&lt;&gt;")=1,INDEX('VENTAS'!$D$5:$D$254,MATCH(C452,'VENTAS'!$A$5:$A$254,0)),"ID no encontrado"))</x:f>
      </x:c>
      <x:c r="F452" s="26" t="str"/>
      <x:c r="G452" s="27" t="str"/>
      <x:c r="H452" s="27" t="str"/>
      <x:c r="I452" s="26" t="str"/>
      <x:c r="J452" s="30" t="str"/>
      <x:c r="K452" s="28" t="str">
        <x:f>IF(B452="","",IF(ISNUMBER(H452),H452,IF(AND(ISNUMBER(G452),ISNUMBER(J452),J452&gt;0),ROUND(G452/J452,2),"")))</x:f>
      </x:c>
      <x:c r="L452" s="31" t="str"/>
      <x:c r="M452" s="26" t="str"/>
      <x:c r="N452" s="26" t="str">
        <x:v>Incluir</x:v>
      </x:c>
      <x:c r="O452" s="22" t="str"/>
      <x:c r="P452" s="22" t="str"/>
      <x:c r="Q452" s="22" t="str">
        <x:f>IF(B452="","",IF(C452="","Falta ID venta",IF(D452="ID no encontrado","ID venta inválido",IF(COUNTIFS('PAGOS'!$A$5:$A$504,A452,'PAGOS'!$B$5:$B$504,"&gt;0")&gt;1,"ID duplicado",IF(AND(L452&lt;&gt;"",COUNTIFS('PAGOS'!$L$5:$L$504,L452,'PAGOS'!$B$5:$B$504,B452,'PAGOS'!$F$5:$F$504,F452)&gt;1),"Referencia repetida",IF(N452&lt;&gt;"Incluir",N452,IF(NOT(ISNUMBER(K452)),"Falta equivalente","Aplicar")))))))</x:f>
      </x:c>
    </x:row>
    <x:row r="453" ht="25" customHeight="1">
      <x:c r="A453" s="22" t="str">
        <x:v>P-449</x:v>
      </x:c>
      <x:c r="B453" s="25" t="str"/>
      <x:c r="C453" s="26" t="str"/>
      <x:c r="D453" s="22" t="str">
        <x:f>IF(C453="","",IF(COUNTIFS('VENTAS'!$A$5:$A$254,C453,'VENTAS'!$C$5:$C$254,"&lt;&gt;")=1,INDEX('VENTAS'!$C$5:$C$254,MATCH(C453,'VENTAS'!$A$5:$A$254,0)),"ID no encontrado"))</x:f>
      </x:c>
      <x:c r="E453" s="22" t="str">
        <x:f>IF(C453="","",IF(COUNTIFS('VENTAS'!$A$5:$A$254,C453,'VENTAS'!$C$5:$C$254,"&lt;&gt;")=1,INDEX('VENTAS'!$D$5:$D$254,MATCH(C453,'VENTAS'!$A$5:$A$254,0)),"ID no encontrado"))</x:f>
      </x:c>
      <x:c r="F453" s="26" t="str"/>
      <x:c r="G453" s="27" t="str"/>
      <x:c r="H453" s="27" t="str"/>
      <x:c r="I453" s="26" t="str"/>
      <x:c r="J453" s="30" t="str"/>
      <x:c r="K453" s="28" t="str">
        <x:f>IF(B453="","",IF(ISNUMBER(H453),H453,IF(AND(ISNUMBER(G453),ISNUMBER(J453),J453&gt;0),ROUND(G453/J453,2),"")))</x:f>
      </x:c>
      <x:c r="L453" s="31" t="str"/>
      <x:c r="M453" s="26" t="str"/>
      <x:c r="N453" s="26" t="str">
        <x:v>Incluir</x:v>
      </x:c>
      <x:c r="O453" s="22" t="str"/>
      <x:c r="P453" s="22" t="str"/>
      <x:c r="Q453" s="22" t="str">
        <x:f>IF(B453="","",IF(C453="","Falta ID venta",IF(D453="ID no encontrado","ID venta inválido",IF(COUNTIFS('PAGOS'!$A$5:$A$504,A453,'PAGOS'!$B$5:$B$504,"&gt;0")&gt;1,"ID duplicado",IF(AND(L453&lt;&gt;"",COUNTIFS('PAGOS'!$L$5:$L$504,L453,'PAGOS'!$B$5:$B$504,B453,'PAGOS'!$F$5:$F$504,F453)&gt;1),"Referencia repetida",IF(N453&lt;&gt;"Incluir",N453,IF(NOT(ISNUMBER(K453)),"Falta equivalente","Aplicar")))))))</x:f>
      </x:c>
    </x:row>
    <x:row r="454" ht="25" customHeight="1">
      <x:c r="A454" s="22" t="str">
        <x:v>P-450</x:v>
      </x:c>
      <x:c r="B454" s="25" t="str"/>
      <x:c r="C454" s="26" t="str"/>
      <x:c r="D454" s="22" t="str">
        <x:f>IF(C454="","",IF(COUNTIFS('VENTAS'!$A$5:$A$254,C454,'VENTAS'!$C$5:$C$254,"&lt;&gt;")=1,INDEX('VENTAS'!$C$5:$C$254,MATCH(C454,'VENTAS'!$A$5:$A$254,0)),"ID no encontrado"))</x:f>
      </x:c>
      <x:c r="E454" s="22" t="str">
        <x:f>IF(C454="","",IF(COUNTIFS('VENTAS'!$A$5:$A$254,C454,'VENTAS'!$C$5:$C$254,"&lt;&gt;")=1,INDEX('VENTAS'!$D$5:$D$254,MATCH(C454,'VENTAS'!$A$5:$A$254,0)),"ID no encontrado"))</x:f>
      </x:c>
      <x:c r="F454" s="26" t="str"/>
      <x:c r="G454" s="27" t="str"/>
      <x:c r="H454" s="27" t="str"/>
      <x:c r="I454" s="26" t="str"/>
      <x:c r="J454" s="30" t="str"/>
      <x:c r="K454" s="28" t="str">
        <x:f>IF(B454="","",IF(ISNUMBER(H454),H454,IF(AND(ISNUMBER(G454),ISNUMBER(J454),J454&gt;0),ROUND(G454/J454,2),"")))</x:f>
      </x:c>
      <x:c r="L454" s="31" t="str"/>
      <x:c r="M454" s="26" t="str"/>
      <x:c r="N454" s="26" t="str">
        <x:v>Incluir</x:v>
      </x:c>
      <x:c r="O454" s="22" t="str"/>
      <x:c r="P454" s="22" t="str"/>
      <x:c r="Q454" s="22" t="str">
        <x:f>IF(B454="","",IF(C454="","Falta ID venta",IF(D454="ID no encontrado","ID venta inválido",IF(COUNTIFS('PAGOS'!$A$5:$A$504,A454,'PAGOS'!$B$5:$B$504,"&gt;0")&gt;1,"ID duplicado",IF(AND(L454&lt;&gt;"",COUNTIFS('PAGOS'!$L$5:$L$504,L454,'PAGOS'!$B$5:$B$504,B454,'PAGOS'!$F$5:$F$504,F454)&gt;1),"Referencia repetida",IF(N454&lt;&gt;"Incluir",N454,IF(NOT(ISNUMBER(K454)),"Falta equivalente","Aplicar")))))))</x:f>
      </x:c>
    </x:row>
    <x:row r="455" ht="25" customHeight="1">
      <x:c r="A455" s="22" t="str">
        <x:v>P-451</x:v>
      </x:c>
      <x:c r="B455" s="25" t="str"/>
      <x:c r="C455" s="26" t="str"/>
      <x:c r="D455" s="22" t="str">
        <x:f>IF(C455="","",IF(COUNTIFS('VENTAS'!$A$5:$A$254,C455,'VENTAS'!$C$5:$C$254,"&lt;&gt;")=1,INDEX('VENTAS'!$C$5:$C$254,MATCH(C455,'VENTAS'!$A$5:$A$254,0)),"ID no encontrado"))</x:f>
      </x:c>
      <x:c r="E455" s="22" t="str">
        <x:f>IF(C455="","",IF(COUNTIFS('VENTAS'!$A$5:$A$254,C455,'VENTAS'!$C$5:$C$254,"&lt;&gt;")=1,INDEX('VENTAS'!$D$5:$D$254,MATCH(C455,'VENTAS'!$A$5:$A$254,0)),"ID no encontrado"))</x:f>
      </x:c>
      <x:c r="F455" s="26" t="str"/>
      <x:c r="G455" s="27" t="str"/>
      <x:c r="H455" s="27" t="str"/>
      <x:c r="I455" s="26" t="str"/>
      <x:c r="J455" s="30" t="str"/>
      <x:c r="K455" s="28" t="str">
        <x:f>IF(B455="","",IF(ISNUMBER(H455),H455,IF(AND(ISNUMBER(G455),ISNUMBER(J455),J455&gt;0),ROUND(G455/J455,2),"")))</x:f>
      </x:c>
      <x:c r="L455" s="31" t="str"/>
      <x:c r="M455" s="26" t="str"/>
      <x:c r="N455" s="26" t="str">
        <x:v>Incluir</x:v>
      </x:c>
      <x:c r="O455" s="22" t="str"/>
      <x:c r="P455" s="22" t="str"/>
      <x:c r="Q455" s="22" t="str">
        <x:f>IF(B455="","",IF(C455="","Falta ID venta",IF(D455="ID no encontrado","ID venta inválido",IF(COUNTIFS('PAGOS'!$A$5:$A$504,A455,'PAGOS'!$B$5:$B$504,"&gt;0")&gt;1,"ID duplicado",IF(AND(L455&lt;&gt;"",COUNTIFS('PAGOS'!$L$5:$L$504,L455,'PAGOS'!$B$5:$B$504,B455,'PAGOS'!$F$5:$F$504,F455)&gt;1),"Referencia repetida",IF(N455&lt;&gt;"Incluir",N455,IF(NOT(ISNUMBER(K455)),"Falta equivalente","Aplicar")))))))</x:f>
      </x:c>
    </x:row>
    <x:row r="456" ht="25" customHeight="1">
      <x:c r="A456" s="22" t="str">
        <x:v>P-452</x:v>
      </x:c>
      <x:c r="B456" s="25" t="str"/>
      <x:c r="C456" s="26" t="str"/>
      <x:c r="D456" s="22" t="str">
        <x:f>IF(C456="","",IF(COUNTIFS('VENTAS'!$A$5:$A$254,C456,'VENTAS'!$C$5:$C$254,"&lt;&gt;")=1,INDEX('VENTAS'!$C$5:$C$254,MATCH(C456,'VENTAS'!$A$5:$A$254,0)),"ID no encontrado"))</x:f>
      </x:c>
      <x:c r="E456" s="22" t="str">
        <x:f>IF(C456="","",IF(COUNTIFS('VENTAS'!$A$5:$A$254,C456,'VENTAS'!$C$5:$C$254,"&lt;&gt;")=1,INDEX('VENTAS'!$D$5:$D$254,MATCH(C456,'VENTAS'!$A$5:$A$254,0)),"ID no encontrado"))</x:f>
      </x:c>
      <x:c r="F456" s="26" t="str"/>
      <x:c r="G456" s="27" t="str"/>
      <x:c r="H456" s="27" t="str"/>
      <x:c r="I456" s="26" t="str"/>
      <x:c r="J456" s="30" t="str"/>
      <x:c r="K456" s="28" t="str">
        <x:f>IF(B456="","",IF(ISNUMBER(H456),H456,IF(AND(ISNUMBER(G456),ISNUMBER(J456),J456&gt;0),ROUND(G456/J456,2),"")))</x:f>
      </x:c>
      <x:c r="L456" s="31" t="str"/>
      <x:c r="M456" s="26" t="str"/>
      <x:c r="N456" s="26" t="str">
        <x:v>Incluir</x:v>
      </x:c>
      <x:c r="O456" s="22" t="str"/>
      <x:c r="P456" s="22" t="str"/>
      <x:c r="Q456" s="22" t="str">
        <x:f>IF(B456="","",IF(C456="","Falta ID venta",IF(D456="ID no encontrado","ID venta inválido",IF(COUNTIFS('PAGOS'!$A$5:$A$504,A456,'PAGOS'!$B$5:$B$504,"&gt;0")&gt;1,"ID duplicado",IF(AND(L456&lt;&gt;"",COUNTIFS('PAGOS'!$L$5:$L$504,L456,'PAGOS'!$B$5:$B$504,B456,'PAGOS'!$F$5:$F$504,F456)&gt;1),"Referencia repetida",IF(N456&lt;&gt;"Incluir",N456,IF(NOT(ISNUMBER(K456)),"Falta equivalente","Aplicar")))))))</x:f>
      </x:c>
    </x:row>
    <x:row r="457" ht="25" customHeight="1">
      <x:c r="A457" s="22" t="str">
        <x:v>P-453</x:v>
      </x:c>
      <x:c r="B457" s="25" t="str"/>
      <x:c r="C457" s="26" t="str"/>
      <x:c r="D457" s="22" t="str">
        <x:f>IF(C457="","",IF(COUNTIFS('VENTAS'!$A$5:$A$254,C457,'VENTAS'!$C$5:$C$254,"&lt;&gt;")=1,INDEX('VENTAS'!$C$5:$C$254,MATCH(C457,'VENTAS'!$A$5:$A$254,0)),"ID no encontrado"))</x:f>
      </x:c>
      <x:c r="E457" s="22" t="str">
        <x:f>IF(C457="","",IF(COUNTIFS('VENTAS'!$A$5:$A$254,C457,'VENTAS'!$C$5:$C$254,"&lt;&gt;")=1,INDEX('VENTAS'!$D$5:$D$254,MATCH(C457,'VENTAS'!$A$5:$A$254,0)),"ID no encontrado"))</x:f>
      </x:c>
      <x:c r="F457" s="26" t="str"/>
      <x:c r="G457" s="27" t="str"/>
      <x:c r="H457" s="27" t="str"/>
      <x:c r="I457" s="26" t="str"/>
      <x:c r="J457" s="30" t="str"/>
      <x:c r="K457" s="28" t="str">
        <x:f>IF(B457="","",IF(ISNUMBER(H457),H457,IF(AND(ISNUMBER(G457),ISNUMBER(J457),J457&gt;0),ROUND(G457/J457,2),"")))</x:f>
      </x:c>
      <x:c r="L457" s="31" t="str"/>
      <x:c r="M457" s="26" t="str"/>
      <x:c r="N457" s="26" t="str">
        <x:v>Incluir</x:v>
      </x:c>
      <x:c r="O457" s="22" t="str"/>
      <x:c r="P457" s="22" t="str"/>
      <x:c r="Q457" s="22" t="str">
        <x:f>IF(B457="","",IF(C457="","Falta ID venta",IF(D457="ID no encontrado","ID venta inválido",IF(COUNTIFS('PAGOS'!$A$5:$A$504,A457,'PAGOS'!$B$5:$B$504,"&gt;0")&gt;1,"ID duplicado",IF(AND(L457&lt;&gt;"",COUNTIFS('PAGOS'!$L$5:$L$504,L457,'PAGOS'!$B$5:$B$504,B457,'PAGOS'!$F$5:$F$504,F457)&gt;1),"Referencia repetida",IF(N457&lt;&gt;"Incluir",N457,IF(NOT(ISNUMBER(K457)),"Falta equivalente","Aplicar")))))))</x:f>
      </x:c>
    </x:row>
    <x:row r="458" ht="25" customHeight="1">
      <x:c r="A458" s="22" t="str">
        <x:v>P-454</x:v>
      </x:c>
      <x:c r="B458" s="25" t="str"/>
      <x:c r="C458" s="26" t="str"/>
      <x:c r="D458" s="22" t="str">
        <x:f>IF(C458="","",IF(COUNTIFS('VENTAS'!$A$5:$A$254,C458,'VENTAS'!$C$5:$C$254,"&lt;&gt;")=1,INDEX('VENTAS'!$C$5:$C$254,MATCH(C458,'VENTAS'!$A$5:$A$254,0)),"ID no encontrado"))</x:f>
      </x:c>
      <x:c r="E458" s="22" t="str">
        <x:f>IF(C458="","",IF(COUNTIFS('VENTAS'!$A$5:$A$254,C458,'VENTAS'!$C$5:$C$254,"&lt;&gt;")=1,INDEX('VENTAS'!$D$5:$D$254,MATCH(C458,'VENTAS'!$A$5:$A$254,0)),"ID no encontrado"))</x:f>
      </x:c>
      <x:c r="F458" s="26" t="str"/>
      <x:c r="G458" s="27" t="str"/>
      <x:c r="H458" s="27" t="str"/>
      <x:c r="I458" s="26" t="str"/>
      <x:c r="J458" s="30" t="str"/>
      <x:c r="K458" s="28" t="str">
        <x:f>IF(B458="","",IF(ISNUMBER(H458),H458,IF(AND(ISNUMBER(G458),ISNUMBER(J458),J458&gt;0),ROUND(G458/J458,2),"")))</x:f>
      </x:c>
      <x:c r="L458" s="31" t="str"/>
      <x:c r="M458" s="26" t="str"/>
      <x:c r="N458" s="26" t="str">
        <x:v>Incluir</x:v>
      </x:c>
      <x:c r="O458" s="22" t="str"/>
      <x:c r="P458" s="22" t="str"/>
      <x:c r="Q458" s="22" t="str">
        <x:f>IF(B458="","",IF(C458="","Falta ID venta",IF(D458="ID no encontrado","ID venta inválido",IF(COUNTIFS('PAGOS'!$A$5:$A$504,A458,'PAGOS'!$B$5:$B$504,"&gt;0")&gt;1,"ID duplicado",IF(AND(L458&lt;&gt;"",COUNTIFS('PAGOS'!$L$5:$L$504,L458,'PAGOS'!$B$5:$B$504,B458,'PAGOS'!$F$5:$F$504,F458)&gt;1),"Referencia repetida",IF(N458&lt;&gt;"Incluir",N458,IF(NOT(ISNUMBER(K458)),"Falta equivalente","Aplicar")))))))</x:f>
      </x:c>
    </x:row>
    <x:row r="459" ht="25" customHeight="1">
      <x:c r="A459" s="22" t="str">
        <x:v>P-455</x:v>
      </x:c>
      <x:c r="B459" s="25" t="str"/>
      <x:c r="C459" s="26" t="str"/>
      <x:c r="D459" s="22" t="str">
        <x:f>IF(C459="","",IF(COUNTIFS('VENTAS'!$A$5:$A$254,C459,'VENTAS'!$C$5:$C$254,"&lt;&gt;")=1,INDEX('VENTAS'!$C$5:$C$254,MATCH(C459,'VENTAS'!$A$5:$A$254,0)),"ID no encontrado"))</x:f>
      </x:c>
      <x:c r="E459" s="22" t="str">
        <x:f>IF(C459="","",IF(COUNTIFS('VENTAS'!$A$5:$A$254,C459,'VENTAS'!$C$5:$C$254,"&lt;&gt;")=1,INDEX('VENTAS'!$D$5:$D$254,MATCH(C459,'VENTAS'!$A$5:$A$254,0)),"ID no encontrado"))</x:f>
      </x:c>
      <x:c r="F459" s="26" t="str"/>
      <x:c r="G459" s="27" t="str"/>
      <x:c r="H459" s="27" t="str"/>
      <x:c r="I459" s="26" t="str"/>
      <x:c r="J459" s="30" t="str"/>
      <x:c r="K459" s="28" t="str">
        <x:f>IF(B459="","",IF(ISNUMBER(H459),H459,IF(AND(ISNUMBER(G459),ISNUMBER(J459),J459&gt;0),ROUND(G459/J459,2),"")))</x:f>
      </x:c>
      <x:c r="L459" s="31" t="str"/>
      <x:c r="M459" s="26" t="str"/>
      <x:c r="N459" s="26" t="str">
        <x:v>Incluir</x:v>
      </x:c>
      <x:c r="O459" s="22" t="str"/>
      <x:c r="P459" s="22" t="str"/>
      <x:c r="Q459" s="22" t="str">
        <x:f>IF(B459="","",IF(C459="","Falta ID venta",IF(D459="ID no encontrado","ID venta inválido",IF(COUNTIFS('PAGOS'!$A$5:$A$504,A459,'PAGOS'!$B$5:$B$504,"&gt;0")&gt;1,"ID duplicado",IF(AND(L459&lt;&gt;"",COUNTIFS('PAGOS'!$L$5:$L$504,L459,'PAGOS'!$B$5:$B$504,B459,'PAGOS'!$F$5:$F$504,F459)&gt;1),"Referencia repetida",IF(N459&lt;&gt;"Incluir",N459,IF(NOT(ISNUMBER(K459)),"Falta equivalente","Aplicar")))))))</x:f>
      </x:c>
    </x:row>
    <x:row r="460" ht="25" customHeight="1">
      <x:c r="A460" s="22" t="str">
        <x:v>P-456</x:v>
      </x:c>
      <x:c r="B460" s="25" t="str"/>
      <x:c r="C460" s="26" t="str"/>
      <x:c r="D460" s="22" t="str">
        <x:f>IF(C460="","",IF(COUNTIFS('VENTAS'!$A$5:$A$254,C460,'VENTAS'!$C$5:$C$254,"&lt;&gt;")=1,INDEX('VENTAS'!$C$5:$C$254,MATCH(C460,'VENTAS'!$A$5:$A$254,0)),"ID no encontrado"))</x:f>
      </x:c>
      <x:c r="E460" s="22" t="str">
        <x:f>IF(C460="","",IF(COUNTIFS('VENTAS'!$A$5:$A$254,C460,'VENTAS'!$C$5:$C$254,"&lt;&gt;")=1,INDEX('VENTAS'!$D$5:$D$254,MATCH(C460,'VENTAS'!$A$5:$A$254,0)),"ID no encontrado"))</x:f>
      </x:c>
      <x:c r="F460" s="26" t="str"/>
      <x:c r="G460" s="27" t="str"/>
      <x:c r="H460" s="27" t="str"/>
      <x:c r="I460" s="26" t="str"/>
      <x:c r="J460" s="30" t="str"/>
      <x:c r="K460" s="28" t="str">
        <x:f>IF(B460="","",IF(ISNUMBER(H460),H460,IF(AND(ISNUMBER(G460),ISNUMBER(J460),J460&gt;0),ROUND(G460/J460,2),"")))</x:f>
      </x:c>
      <x:c r="L460" s="31" t="str"/>
      <x:c r="M460" s="26" t="str"/>
      <x:c r="N460" s="26" t="str">
        <x:v>Incluir</x:v>
      </x:c>
      <x:c r="O460" s="22" t="str"/>
      <x:c r="P460" s="22" t="str"/>
      <x:c r="Q460" s="22" t="str">
        <x:f>IF(B460="","",IF(C460="","Falta ID venta",IF(D460="ID no encontrado","ID venta inválido",IF(COUNTIFS('PAGOS'!$A$5:$A$504,A460,'PAGOS'!$B$5:$B$504,"&gt;0")&gt;1,"ID duplicado",IF(AND(L460&lt;&gt;"",COUNTIFS('PAGOS'!$L$5:$L$504,L460,'PAGOS'!$B$5:$B$504,B460,'PAGOS'!$F$5:$F$504,F460)&gt;1),"Referencia repetida",IF(N460&lt;&gt;"Incluir",N460,IF(NOT(ISNUMBER(K460)),"Falta equivalente","Aplicar")))))))</x:f>
      </x:c>
    </x:row>
    <x:row r="461" ht="25" customHeight="1">
      <x:c r="A461" s="22" t="str">
        <x:v>P-457</x:v>
      </x:c>
      <x:c r="B461" s="25" t="str"/>
      <x:c r="C461" s="26" t="str"/>
      <x:c r="D461" s="22" t="str">
        <x:f>IF(C461="","",IF(COUNTIFS('VENTAS'!$A$5:$A$254,C461,'VENTAS'!$C$5:$C$254,"&lt;&gt;")=1,INDEX('VENTAS'!$C$5:$C$254,MATCH(C461,'VENTAS'!$A$5:$A$254,0)),"ID no encontrado"))</x:f>
      </x:c>
      <x:c r="E461" s="22" t="str">
        <x:f>IF(C461="","",IF(COUNTIFS('VENTAS'!$A$5:$A$254,C461,'VENTAS'!$C$5:$C$254,"&lt;&gt;")=1,INDEX('VENTAS'!$D$5:$D$254,MATCH(C461,'VENTAS'!$A$5:$A$254,0)),"ID no encontrado"))</x:f>
      </x:c>
      <x:c r="F461" s="26" t="str"/>
      <x:c r="G461" s="27" t="str"/>
      <x:c r="H461" s="27" t="str"/>
      <x:c r="I461" s="26" t="str"/>
      <x:c r="J461" s="30" t="str"/>
      <x:c r="K461" s="28" t="str">
        <x:f>IF(B461="","",IF(ISNUMBER(H461),H461,IF(AND(ISNUMBER(G461),ISNUMBER(J461),J461&gt;0),ROUND(G461/J461,2),"")))</x:f>
      </x:c>
      <x:c r="L461" s="31" t="str"/>
      <x:c r="M461" s="26" t="str"/>
      <x:c r="N461" s="26" t="str">
        <x:v>Incluir</x:v>
      </x:c>
      <x:c r="O461" s="22" t="str"/>
      <x:c r="P461" s="22" t="str"/>
      <x:c r="Q461" s="22" t="str">
        <x:f>IF(B461="","",IF(C461="","Falta ID venta",IF(D461="ID no encontrado","ID venta inválido",IF(COUNTIFS('PAGOS'!$A$5:$A$504,A461,'PAGOS'!$B$5:$B$504,"&gt;0")&gt;1,"ID duplicado",IF(AND(L461&lt;&gt;"",COUNTIFS('PAGOS'!$L$5:$L$504,L461,'PAGOS'!$B$5:$B$504,B461,'PAGOS'!$F$5:$F$504,F461)&gt;1),"Referencia repetida",IF(N461&lt;&gt;"Incluir",N461,IF(NOT(ISNUMBER(K461)),"Falta equivalente","Aplicar")))))))</x:f>
      </x:c>
    </x:row>
    <x:row r="462" ht="25" customHeight="1">
      <x:c r="A462" s="22" t="str">
        <x:v>P-458</x:v>
      </x:c>
      <x:c r="B462" s="25" t="str"/>
      <x:c r="C462" s="26" t="str"/>
      <x:c r="D462" s="22" t="str">
        <x:f>IF(C462="","",IF(COUNTIFS('VENTAS'!$A$5:$A$254,C462,'VENTAS'!$C$5:$C$254,"&lt;&gt;")=1,INDEX('VENTAS'!$C$5:$C$254,MATCH(C462,'VENTAS'!$A$5:$A$254,0)),"ID no encontrado"))</x:f>
      </x:c>
      <x:c r="E462" s="22" t="str">
        <x:f>IF(C462="","",IF(COUNTIFS('VENTAS'!$A$5:$A$254,C462,'VENTAS'!$C$5:$C$254,"&lt;&gt;")=1,INDEX('VENTAS'!$D$5:$D$254,MATCH(C462,'VENTAS'!$A$5:$A$254,0)),"ID no encontrado"))</x:f>
      </x:c>
      <x:c r="F462" s="26" t="str"/>
      <x:c r="G462" s="27" t="str"/>
      <x:c r="H462" s="27" t="str"/>
      <x:c r="I462" s="26" t="str"/>
      <x:c r="J462" s="30" t="str"/>
      <x:c r="K462" s="28" t="str">
        <x:f>IF(B462="","",IF(ISNUMBER(H462),H462,IF(AND(ISNUMBER(G462),ISNUMBER(J462),J462&gt;0),ROUND(G462/J462,2),"")))</x:f>
      </x:c>
      <x:c r="L462" s="31" t="str"/>
      <x:c r="M462" s="26" t="str"/>
      <x:c r="N462" s="26" t="str">
        <x:v>Incluir</x:v>
      </x:c>
      <x:c r="O462" s="22" t="str"/>
      <x:c r="P462" s="22" t="str"/>
      <x:c r="Q462" s="22" t="str">
        <x:f>IF(B462="","",IF(C462="","Falta ID venta",IF(D462="ID no encontrado","ID venta inválido",IF(COUNTIFS('PAGOS'!$A$5:$A$504,A462,'PAGOS'!$B$5:$B$504,"&gt;0")&gt;1,"ID duplicado",IF(AND(L462&lt;&gt;"",COUNTIFS('PAGOS'!$L$5:$L$504,L462,'PAGOS'!$B$5:$B$504,B462,'PAGOS'!$F$5:$F$504,F462)&gt;1),"Referencia repetida",IF(N462&lt;&gt;"Incluir",N462,IF(NOT(ISNUMBER(K462)),"Falta equivalente","Aplicar")))))))</x:f>
      </x:c>
    </x:row>
    <x:row r="463" ht="25" customHeight="1">
      <x:c r="A463" s="22" t="str">
        <x:v>P-459</x:v>
      </x:c>
      <x:c r="B463" s="25" t="str"/>
      <x:c r="C463" s="26" t="str"/>
      <x:c r="D463" s="22" t="str">
        <x:f>IF(C463="","",IF(COUNTIFS('VENTAS'!$A$5:$A$254,C463,'VENTAS'!$C$5:$C$254,"&lt;&gt;")=1,INDEX('VENTAS'!$C$5:$C$254,MATCH(C463,'VENTAS'!$A$5:$A$254,0)),"ID no encontrado"))</x:f>
      </x:c>
      <x:c r="E463" s="22" t="str">
        <x:f>IF(C463="","",IF(COUNTIFS('VENTAS'!$A$5:$A$254,C463,'VENTAS'!$C$5:$C$254,"&lt;&gt;")=1,INDEX('VENTAS'!$D$5:$D$254,MATCH(C463,'VENTAS'!$A$5:$A$254,0)),"ID no encontrado"))</x:f>
      </x:c>
      <x:c r="F463" s="26" t="str"/>
      <x:c r="G463" s="27" t="str"/>
      <x:c r="H463" s="27" t="str"/>
      <x:c r="I463" s="26" t="str"/>
      <x:c r="J463" s="30" t="str"/>
      <x:c r="K463" s="28" t="str">
        <x:f>IF(B463="","",IF(ISNUMBER(H463),H463,IF(AND(ISNUMBER(G463),ISNUMBER(J463),J463&gt;0),ROUND(G463/J463,2),"")))</x:f>
      </x:c>
      <x:c r="L463" s="31" t="str"/>
      <x:c r="M463" s="26" t="str"/>
      <x:c r="N463" s="26" t="str">
        <x:v>Incluir</x:v>
      </x:c>
      <x:c r="O463" s="22" t="str"/>
      <x:c r="P463" s="22" t="str"/>
      <x:c r="Q463" s="22" t="str">
        <x:f>IF(B463="","",IF(C463="","Falta ID venta",IF(D463="ID no encontrado","ID venta inválido",IF(COUNTIFS('PAGOS'!$A$5:$A$504,A463,'PAGOS'!$B$5:$B$504,"&gt;0")&gt;1,"ID duplicado",IF(AND(L463&lt;&gt;"",COUNTIFS('PAGOS'!$L$5:$L$504,L463,'PAGOS'!$B$5:$B$504,B463,'PAGOS'!$F$5:$F$504,F463)&gt;1),"Referencia repetida",IF(N463&lt;&gt;"Incluir",N463,IF(NOT(ISNUMBER(K463)),"Falta equivalente","Aplicar")))))))</x:f>
      </x:c>
    </x:row>
    <x:row r="464" ht="25" customHeight="1">
      <x:c r="A464" s="22" t="str">
        <x:v>P-460</x:v>
      </x:c>
      <x:c r="B464" s="25" t="str"/>
      <x:c r="C464" s="26" t="str"/>
      <x:c r="D464" s="22" t="str">
        <x:f>IF(C464="","",IF(COUNTIFS('VENTAS'!$A$5:$A$254,C464,'VENTAS'!$C$5:$C$254,"&lt;&gt;")=1,INDEX('VENTAS'!$C$5:$C$254,MATCH(C464,'VENTAS'!$A$5:$A$254,0)),"ID no encontrado"))</x:f>
      </x:c>
      <x:c r="E464" s="22" t="str">
        <x:f>IF(C464="","",IF(COUNTIFS('VENTAS'!$A$5:$A$254,C464,'VENTAS'!$C$5:$C$254,"&lt;&gt;")=1,INDEX('VENTAS'!$D$5:$D$254,MATCH(C464,'VENTAS'!$A$5:$A$254,0)),"ID no encontrado"))</x:f>
      </x:c>
      <x:c r="F464" s="26" t="str"/>
      <x:c r="G464" s="27" t="str"/>
      <x:c r="H464" s="27" t="str"/>
      <x:c r="I464" s="26" t="str"/>
      <x:c r="J464" s="30" t="str"/>
      <x:c r="K464" s="28" t="str">
        <x:f>IF(B464="","",IF(ISNUMBER(H464),H464,IF(AND(ISNUMBER(G464),ISNUMBER(J464),J464&gt;0),ROUND(G464/J464,2),"")))</x:f>
      </x:c>
      <x:c r="L464" s="31" t="str"/>
      <x:c r="M464" s="26" t="str"/>
      <x:c r="N464" s="26" t="str">
        <x:v>Incluir</x:v>
      </x:c>
      <x:c r="O464" s="22" t="str"/>
      <x:c r="P464" s="22" t="str"/>
      <x:c r="Q464" s="22" t="str">
        <x:f>IF(B464="","",IF(C464="","Falta ID venta",IF(D464="ID no encontrado","ID venta inválido",IF(COUNTIFS('PAGOS'!$A$5:$A$504,A464,'PAGOS'!$B$5:$B$504,"&gt;0")&gt;1,"ID duplicado",IF(AND(L464&lt;&gt;"",COUNTIFS('PAGOS'!$L$5:$L$504,L464,'PAGOS'!$B$5:$B$504,B464,'PAGOS'!$F$5:$F$504,F464)&gt;1),"Referencia repetida",IF(N464&lt;&gt;"Incluir",N464,IF(NOT(ISNUMBER(K464)),"Falta equivalente","Aplicar")))))))</x:f>
      </x:c>
    </x:row>
    <x:row r="465" ht="25" customHeight="1">
      <x:c r="A465" s="22" t="str">
        <x:v>P-461</x:v>
      </x:c>
      <x:c r="B465" s="25" t="str"/>
      <x:c r="C465" s="26" t="str"/>
      <x:c r="D465" s="22" t="str">
        <x:f>IF(C465="","",IF(COUNTIFS('VENTAS'!$A$5:$A$254,C465,'VENTAS'!$C$5:$C$254,"&lt;&gt;")=1,INDEX('VENTAS'!$C$5:$C$254,MATCH(C465,'VENTAS'!$A$5:$A$254,0)),"ID no encontrado"))</x:f>
      </x:c>
      <x:c r="E465" s="22" t="str">
        <x:f>IF(C465="","",IF(COUNTIFS('VENTAS'!$A$5:$A$254,C465,'VENTAS'!$C$5:$C$254,"&lt;&gt;")=1,INDEX('VENTAS'!$D$5:$D$254,MATCH(C465,'VENTAS'!$A$5:$A$254,0)),"ID no encontrado"))</x:f>
      </x:c>
      <x:c r="F465" s="26" t="str"/>
      <x:c r="G465" s="27" t="str"/>
      <x:c r="H465" s="27" t="str"/>
      <x:c r="I465" s="26" t="str"/>
      <x:c r="J465" s="30" t="str"/>
      <x:c r="K465" s="28" t="str">
        <x:f>IF(B465="","",IF(ISNUMBER(H465),H465,IF(AND(ISNUMBER(G465),ISNUMBER(J465),J465&gt;0),ROUND(G465/J465,2),"")))</x:f>
      </x:c>
      <x:c r="L465" s="31" t="str"/>
      <x:c r="M465" s="26" t="str"/>
      <x:c r="N465" s="26" t="str">
        <x:v>Incluir</x:v>
      </x:c>
      <x:c r="O465" s="22" t="str"/>
      <x:c r="P465" s="22" t="str"/>
      <x:c r="Q465" s="22" t="str">
        <x:f>IF(B465="","",IF(C465="","Falta ID venta",IF(D465="ID no encontrado","ID venta inválido",IF(COUNTIFS('PAGOS'!$A$5:$A$504,A465,'PAGOS'!$B$5:$B$504,"&gt;0")&gt;1,"ID duplicado",IF(AND(L465&lt;&gt;"",COUNTIFS('PAGOS'!$L$5:$L$504,L465,'PAGOS'!$B$5:$B$504,B465,'PAGOS'!$F$5:$F$504,F465)&gt;1),"Referencia repetida",IF(N465&lt;&gt;"Incluir",N465,IF(NOT(ISNUMBER(K465)),"Falta equivalente","Aplicar")))))))</x:f>
      </x:c>
    </x:row>
    <x:row r="466" ht="25" customHeight="1">
      <x:c r="A466" s="22" t="str">
        <x:v>P-462</x:v>
      </x:c>
      <x:c r="B466" s="25" t="str"/>
      <x:c r="C466" s="26" t="str"/>
      <x:c r="D466" s="22" t="str">
        <x:f>IF(C466="","",IF(COUNTIFS('VENTAS'!$A$5:$A$254,C466,'VENTAS'!$C$5:$C$254,"&lt;&gt;")=1,INDEX('VENTAS'!$C$5:$C$254,MATCH(C466,'VENTAS'!$A$5:$A$254,0)),"ID no encontrado"))</x:f>
      </x:c>
      <x:c r="E466" s="22" t="str">
        <x:f>IF(C466="","",IF(COUNTIFS('VENTAS'!$A$5:$A$254,C466,'VENTAS'!$C$5:$C$254,"&lt;&gt;")=1,INDEX('VENTAS'!$D$5:$D$254,MATCH(C466,'VENTAS'!$A$5:$A$254,0)),"ID no encontrado"))</x:f>
      </x:c>
      <x:c r="F466" s="26" t="str"/>
      <x:c r="G466" s="27" t="str"/>
      <x:c r="H466" s="27" t="str"/>
      <x:c r="I466" s="26" t="str"/>
      <x:c r="J466" s="30" t="str"/>
      <x:c r="K466" s="28" t="str">
        <x:f>IF(B466="","",IF(ISNUMBER(H466),H466,IF(AND(ISNUMBER(G466),ISNUMBER(J466),J466&gt;0),ROUND(G466/J466,2),"")))</x:f>
      </x:c>
      <x:c r="L466" s="31" t="str"/>
      <x:c r="M466" s="26" t="str"/>
      <x:c r="N466" s="26" t="str">
        <x:v>Incluir</x:v>
      </x:c>
      <x:c r="O466" s="22" t="str"/>
      <x:c r="P466" s="22" t="str"/>
      <x:c r="Q466" s="22" t="str">
        <x:f>IF(B466="","",IF(C466="","Falta ID venta",IF(D466="ID no encontrado","ID venta inválido",IF(COUNTIFS('PAGOS'!$A$5:$A$504,A466,'PAGOS'!$B$5:$B$504,"&gt;0")&gt;1,"ID duplicado",IF(AND(L466&lt;&gt;"",COUNTIFS('PAGOS'!$L$5:$L$504,L466,'PAGOS'!$B$5:$B$504,B466,'PAGOS'!$F$5:$F$504,F466)&gt;1),"Referencia repetida",IF(N466&lt;&gt;"Incluir",N466,IF(NOT(ISNUMBER(K466)),"Falta equivalente","Aplicar")))))))</x:f>
      </x:c>
    </x:row>
    <x:row r="467" ht="25" customHeight="1">
      <x:c r="A467" s="22" t="str">
        <x:v>P-463</x:v>
      </x:c>
      <x:c r="B467" s="25" t="str"/>
      <x:c r="C467" s="26" t="str"/>
      <x:c r="D467" s="22" t="str">
        <x:f>IF(C467="","",IF(COUNTIFS('VENTAS'!$A$5:$A$254,C467,'VENTAS'!$C$5:$C$254,"&lt;&gt;")=1,INDEX('VENTAS'!$C$5:$C$254,MATCH(C467,'VENTAS'!$A$5:$A$254,0)),"ID no encontrado"))</x:f>
      </x:c>
      <x:c r="E467" s="22" t="str">
        <x:f>IF(C467="","",IF(COUNTIFS('VENTAS'!$A$5:$A$254,C467,'VENTAS'!$C$5:$C$254,"&lt;&gt;")=1,INDEX('VENTAS'!$D$5:$D$254,MATCH(C467,'VENTAS'!$A$5:$A$254,0)),"ID no encontrado"))</x:f>
      </x:c>
      <x:c r="F467" s="26" t="str"/>
      <x:c r="G467" s="27" t="str"/>
      <x:c r="H467" s="27" t="str"/>
      <x:c r="I467" s="26" t="str"/>
      <x:c r="J467" s="30" t="str"/>
      <x:c r="K467" s="28" t="str">
        <x:f>IF(B467="","",IF(ISNUMBER(H467),H467,IF(AND(ISNUMBER(G467),ISNUMBER(J467),J467&gt;0),ROUND(G467/J467,2),"")))</x:f>
      </x:c>
      <x:c r="L467" s="31" t="str"/>
      <x:c r="M467" s="26" t="str"/>
      <x:c r="N467" s="26" t="str">
        <x:v>Incluir</x:v>
      </x:c>
      <x:c r="O467" s="22" t="str"/>
      <x:c r="P467" s="22" t="str"/>
      <x:c r="Q467" s="22" t="str">
        <x:f>IF(B467="","",IF(C467="","Falta ID venta",IF(D467="ID no encontrado","ID venta inválido",IF(COUNTIFS('PAGOS'!$A$5:$A$504,A467,'PAGOS'!$B$5:$B$504,"&gt;0")&gt;1,"ID duplicado",IF(AND(L467&lt;&gt;"",COUNTIFS('PAGOS'!$L$5:$L$504,L467,'PAGOS'!$B$5:$B$504,B467,'PAGOS'!$F$5:$F$504,F467)&gt;1),"Referencia repetida",IF(N467&lt;&gt;"Incluir",N467,IF(NOT(ISNUMBER(K467)),"Falta equivalente","Aplicar")))))))</x:f>
      </x:c>
    </x:row>
    <x:row r="468" ht="25" customHeight="1">
      <x:c r="A468" s="22" t="str">
        <x:v>P-464</x:v>
      </x:c>
      <x:c r="B468" s="25" t="str"/>
      <x:c r="C468" s="26" t="str"/>
      <x:c r="D468" s="22" t="str">
        <x:f>IF(C468="","",IF(COUNTIFS('VENTAS'!$A$5:$A$254,C468,'VENTAS'!$C$5:$C$254,"&lt;&gt;")=1,INDEX('VENTAS'!$C$5:$C$254,MATCH(C468,'VENTAS'!$A$5:$A$254,0)),"ID no encontrado"))</x:f>
      </x:c>
      <x:c r="E468" s="22" t="str">
        <x:f>IF(C468="","",IF(COUNTIFS('VENTAS'!$A$5:$A$254,C468,'VENTAS'!$C$5:$C$254,"&lt;&gt;")=1,INDEX('VENTAS'!$D$5:$D$254,MATCH(C468,'VENTAS'!$A$5:$A$254,0)),"ID no encontrado"))</x:f>
      </x:c>
      <x:c r="F468" s="26" t="str"/>
      <x:c r="G468" s="27" t="str"/>
      <x:c r="H468" s="27" t="str"/>
      <x:c r="I468" s="26" t="str"/>
      <x:c r="J468" s="30" t="str"/>
      <x:c r="K468" s="28" t="str">
        <x:f>IF(B468="","",IF(ISNUMBER(H468),H468,IF(AND(ISNUMBER(G468),ISNUMBER(J468),J468&gt;0),ROUND(G468/J468,2),"")))</x:f>
      </x:c>
      <x:c r="L468" s="31" t="str"/>
      <x:c r="M468" s="26" t="str"/>
      <x:c r="N468" s="26" t="str">
        <x:v>Incluir</x:v>
      </x:c>
      <x:c r="O468" s="22" t="str"/>
      <x:c r="P468" s="22" t="str"/>
      <x:c r="Q468" s="22" t="str">
        <x:f>IF(B468="","",IF(C468="","Falta ID venta",IF(D468="ID no encontrado","ID venta inválido",IF(COUNTIFS('PAGOS'!$A$5:$A$504,A468,'PAGOS'!$B$5:$B$504,"&gt;0")&gt;1,"ID duplicado",IF(AND(L468&lt;&gt;"",COUNTIFS('PAGOS'!$L$5:$L$504,L468,'PAGOS'!$B$5:$B$504,B468,'PAGOS'!$F$5:$F$504,F468)&gt;1),"Referencia repetida",IF(N468&lt;&gt;"Incluir",N468,IF(NOT(ISNUMBER(K468)),"Falta equivalente","Aplicar")))))))</x:f>
      </x:c>
    </x:row>
    <x:row r="469" ht="25" customHeight="1">
      <x:c r="A469" s="22" t="str">
        <x:v>P-465</x:v>
      </x:c>
      <x:c r="B469" s="25" t="str"/>
      <x:c r="C469" s="26" t="str"/>
      <x:c r="D469" s="22" t="str">
        <x:f>IF(C469="","",IF(COUNTIFS('VENTAS'!$A$5:$A$254,C469,'VENTAS'!$C$5:$C$254,"&lt;&gt;")=1,INDEX('VENTAS'!$C$5:$C$254,MATCH(C469,'VENTAS'!$A$5:$A$254,0)),"ID no encontrado"))</x:f>
      </x:c>
      <x:c r="E469" s="22" t="str">
        <x:f>IF(C469="","",IF(COUNTIFS('VENTAS'!$A$5:$A$254,C469,'VENTAS'!$C$5:$C$254,"&lt;&gt;")=1,INDEX('VENTAS'!$D$5:$D$254,MATCH(C469,'VENTAS'!$A$5:$A$254,0)),"ID no encontrado"))</x:f>
      </x:c>
      <x:c r="F469" s="26" t="str"/>
      <x:c r="G469" s="27" t="str"/>
      <x:c r="H469" s="27" t="str"/>
      <x:c r="I469" s="26" t="str"/>
      <x:c r="J469" s="30" t="str"/>
      <x:c r="K469" s="28" t="str">
        <x:f>IF(B469="","",IF(ISNUMBER(H469),H469,IF(AND(ISNUMBER(G469),ISNUMBER(J469),J469&gt;0),ROUND(G469/J469,2),"")))</x:f>
      </x:c>
      <x:c r="L469" s="31" t="str"/>
      <x:c r="M469" s="26" t="str"/>
      <x:c r="N469" s="26" t="str">
        <x:v>Incluir</x:v>
      </x:c>
      <x:c r="O469" s="22" t="str"/>
      <x:c r="P469" s="22" t="str"/>
      <x:c r="Q469" s="22" t="str">
        <x:f>IF(B469="","",IF(C469="","Falta ID venta",IF(D469="ID no encontrado","ID venta inválido",IF(COUNTIFS('PAGOS'!$A$5:$A$504,A469,'PAGOS'!$B$5:$B$504,"&gt;0")&gt;1,"ID duplicado",IF(AND(L469&lt;&gt;"",COUNTIFS('PAGOS'!$L$5:$L$504,L469,'PAGOS'!$B$5:$B$504,B469,'PAGOS'!$F$5:$F$504,F469)&gt;1),"Referencia repetida",IF(N469&lt;&gt;"Incluir",N469,IF(NOT(ISNUMBER(K469)),"Falta equivalente","Aplicar")))))))</x:f>
      </x:c>
    </x:row>
    <x:row r="470" ht="25" customHeight="1">
      <x:c r="A470" s="22" t="str">
        <x:v>P-466</x:v>
      </x:c>
      <x:c r="B470" s="25" t="str"/>
      <x:c r="C470" s="26" t="str"/>
      <x:c r="D470" s="22" t="str">
        <x:f>IF(C470="","",IF(COUNTIFS('VENTAS'!$A$5:$A$254,C470,'VENTAS'!$C$5:$C$254,"&lt;&gt;")=1,INDEX('VENTAS'!$C$5:$C$254,MATCH(C470,'VENTAS'!$A$5:$A$254,0)),"ID no encontrado"))</x:f>
      </x:c>
      <x:c r="E470" s="22" t="str">
        <x:f>IF(C470="","",IF(COUNTIFS('VENTAS'!$A$5:$A$254,C470,'VENTAS'!$C$5:$C$254,"&lt;&gt;")=1,INDEX('VENTAS'!$D$5:$D$254,MATCH(C470,'VENTAS'!$A$5:$A$254,0)),"ID no encontrado"))</x:f>
      </x:c>
      <x:c r="F470" s="26" t="str"/>
      <x:c r="G470" s="27" t="str"/>
      <x:c r="H470" s="27" t="str"/>
      <x:c r="I470" s="26" t="str"/>
      <x:c r="J470" s="30" t="str"/>
      <x:c r="K470" s="28" t="str">
        <x:f>IF(B470="","",IF(ISNUMBER(H470),H470,IF(AND(ISNUMBER(G470),ISNUMBER(J470),J470&gt;0),ROUND(G470/J470,2),"")))</x:f>
      </x:c>
      <x:c r="L470" s="31" t="str"/>
      <x:c r="M470" s="26" t="str"/>
      <x:c r="N470" s="26" t="str">
        <x:v>Incluir</x:v>
      </x:c>
      <x:c r="O470" s="22" t="str"/>
      <x:c r="P470" s="22" t="str"/>
      <x:c r="Q470" s="22" t="str">
        <x:f>IF(B470="","",IF(C470="","Falta ID venta",IF(D470="ID no encontrado","ID venta inválido",IF(COUNTIFS('PAGOS'!$A$5:$A$504,A470,'PAGOS'!$B$5:$B$504,"&gt;0")&gt;1,"ID duplicado",IF(AND(L470&lt;&gt;"",COUNTIFS('PAGOS'!$L$5:$L$504,L470,'PAGOS'!$B$5:$B$504,B470,'PAGOS'!$F$5:$F$504,F470)&gt;1),"Referencia repetida",IF(N470&lt;&gt;"Incluir",N470,IF(NOT(ISNUMBER(K470)),"Falta equivalente","Aplicar")))))))</x:f>
      </x:c>
    </x:row>
    <x:row r="471" ht="25" customHeight="1">
      <x:c r="A471" s="22" t="str">
        <x:v>P-467</x:v>
      </x:c>
      <x:c r="B471" s="25" t="str"/>
      <x:c r="C471" s="26" t="str"/>
      <x:c r="D471" s="22" t="str">
        <x:f>IF(C471="","",IF(COUNTIFS('VENTAS'!$A$5:$A$254,C471,'VENTAS'!$C$5:$C$254,"&lt;&gt;")=1,INDEX('VENTAS'!$C$5:$C$254,MATCH(C471,'VENTAS'!$A$5:$A$254,0)),"ID no encontrado"))</x:f>
      </x:c>
      <x:c r="E471" s="22" t="str">
        <x:f>IF(C471="","",IF(COUNTIFS('VENTAS'!$A$5:$A$254,C471,'VENTAS'!$C$5:$C$254,"&lt;&gt;")=1,INDEX('VENTAS'!$D$5:$D$254,MATCH(C471,'VENTAS'!$A$5:$A$254,0)),"ID no encontrado"))</x:f>
      </x:c>
      <x:c r="F471" s="26" t="str"/>
      <x:c r="G471" s="27" t="str"/>
      <x:c r="H471" s="27" t="str"/>
      <x:c r="I471" s="26" t="str"/>
      <x:c r="J471" s="30" t="str"/>
      <x:c r="K471" s="28" t="str">
        <x:f>IF(B471="","",IF(ISNUMBER(H471),H471,IF(AND(ISNUMBER(G471),ISNUMBER(J471),J471&gt;0),ROUND(G471/J471,2),"")))</x:f>
      </x:c>
      <x:c r="L471" s="31" t="str"/>
      <x:c r="M471" s="26" t="str"/>
      <x:c r="N471" s="26" t="str">
        <x:v>Incluir</x:v>
      </x:c>
      <x:c r="O471" s="22" t="str"/>
      <x:c r="P471" s="22" t="str"/>
      <x:c r="Q471" s="22" t="str">
        <x:f>IF(B471="","",IF(C471="","Falta ID venta",IF(D471="ID no encontrado","ID venta inválido",IF(COUNTIFS('PAGOS'!$A$5:$A$504,A471,'PAGOS'!$B$5:$B$504,"&gt;0")&gt;1,"ID duplicado",IF(AND(L471&lt;&gt;"",COUNTIFS('PAGOS'!$L$5:$L$504,L471,'PAGOS'!$B$5:$B$504,B471,'PAGOS'!$F$5:$F$504,F471)&gt;1),"Referencia repetida",IF(N471&lt;&gt;"Incluir",N471,IF(NOT(ISNUMBER(K471)),"Falta equivalente","Aplicar")))))))</x:f>
      </x:c>
    </x:row>
    <x:row r="472" ht="25" customHeight="1">
      <x:c r="A472" s="22" t="str">
        <x:v>P-468</x:v>
      </x:c>
      <x:c r="B472" s="25" t="str"/>
      <x:c r="C472" s="26" t="str"/>
      <x:c r="D472" s="22" t="str">
        <x:f>IF(C472="","",IF(COUNTIFS('VENTAS'!$A$5:$A$254,C472,'VENTAS'!$C$5:$C$254,"&lt;&gt;")=1,INDEX('VENTAS'!$C$5:$C$254,MATCH(C472,'VENTAS'!$A$5:$A$254,0)),"ID no encontrado"))</x:f>
      </x:c>
      <x:c r="E472" s="22" t="str">
        <x:f>IF(C472="","",IF(COUNTIFS('VENTAS'!$A$5:$A$254,C472,'VENTAS'!$C$5:$C$254,"&lt;&gt;")=1,INDEX('VENTAS'!$D$5:$D$254,MATCH(C472,'VENTAS'!$A$5:$A$254,0)),"ID no encontrado"))</x:f>
      </x:c>
      <x:c r="F472" s="26" t="str"/>
      <x:c r="G472" s="27" t="str"/>
      <x:c r="H472" s="27" t="str"/>
      <x:c r="I472" s="26" t="str"/>
      <x:c r="J472" s="30" t="str"/>
      <x:c r="K472" s="28" t="str">
        <x:f>IF(B472="","",IF(ISNUMBER(H472),H472,IF(AND(ISNUMBER(G472),ISNUMBER(J472),J472&gt;0),ROUND(G472/J472,2),"")))</x:f>
      </x:c>
      <x:c r="L472" s="31" t="str"/>
      <x:c r="M472" s="26" t="str"/>
      <x:c r="N472" s="26" t="str">
        <x:v>Incluir</x:v>
      </x:c>
      <x:c r="O472" s="22" t="str"/>
      <x:c r="P472" s="22" t="str"/>
      <x:c r="Q472" s="22" t="str">
        <x:f>IF(B472="","",IF(C472="","Falta ID venta",IF(D472="ID no encontrado","ID venta inválido",IF(COUNTIFS('PAGOS'!$A$5:$A$504,A472,'PAGOS'!$B$5:$B$504,"&gt;0")&gt;1,"ID duplicado",IF(AND(L472&lt;&gt;"",COUNTIFS('PAGOS'!$L$5:$L$504,L472,'PAGOS'!$B$5:$B$504,B472,'PAGOS'!$F$5:$F$504,F472)&gt;1),"Referencia repetida",IF(N472&lt;&gt;"Incluir",N472,IF(NOT(ISNUMBER(K472)),"Falta equivalente","Aplicar")))))))</x:f>
      </x:c>
    </x:row>
    <x:row r="473" ht="25" customHeight="1">
      <x:c r="A473" s="22" t="str">
        <x:v>P-469</x:v>
      </x:c>
      <x:c r="B473" s="25" t="str"/>
      <x:c r="C473" s="26" t="str"/>
      <x:c r="D473" s="22" t="str">
        <x:f>IF(C473="","",IF(COUNTIFS('VENTAS'!$A$5:$A$254,C473,'VENTAS'!$C$5:$C$254,"&lt;&gt;")=1,INDEX('VENTAS'!$C$5:$C$254,MATCH(C473,'VENTAS'!$A$5:$A$254,0)),"ID no encontrado"))</x:f>
      </x:c>
      <x:c r="E473" s="22" t="str">
        <x:f>IF(C473="","",IF(COUNTIFS('VENTAS'!$A$5:$A$254,C473,'VENTAS'!$C$5:$C$254,"&lt;&gt;")=1,INDEX('VENTAS'!$D$5:$D$254,MATCH(C473,'VENTAS'!$A$5:$A$254,0)),"ID no encontrado"))</x:f>
      </x:c>
      <x:c r="F473" s="26" t="str"/>
      <x:c r="G473" s="27" t="str"/>
      <x:c r="H473" s="27" t="str"/>
      <x:c r="I473" s="26" t="str"/>
      <x:c r="J473" s="30" t="str"/>
      <x:c r="K473" s="28" t="str">
        <x:f>IF(B473="","",IF(ISNUMBER(H473),H473,IF(AND(ISNUMBER(G473),ISNUMBER(J473),J473&gt;0),ROUND(G473/J473,2),"")))</x:f>
      </x:c>
      <x:c r="L473" s="31" t="str"/>
      <x:c r="M473" s="26" t="str"/>
      <x:c r="N473" s="26" t="str">
        <x:v>Incluir</x:v>
      </x:c>
      <x:c r="O473" s="22" t="str"/>
      <x:c r="P473" s="22" t="str"/>
      <x:c r="Q473" s="22" t="str">
        <x:f>IF(B473="","",IF(C473="","Falta ID venta",IF(D473="ID no encontrado","ID venta inválido",IF(COUNTIFS('PAGOS'!$A$5:$A$504,A473,'PAGOS'!$B$5:$B$504,"&gt;0")&gt;1,"ID duplicado",IF(AND(L473&lt;&gt;"",COUNTIFS('PAGOS'!$L$5:$L$504,L473,'PAGOS'!$B$5:$B$504,B473,'PAGOS'!$F$5:$F$504,F473)&gt;1),"Referencia repetida",IF(N473&lt;&gt;"Incluir",N473,IF(NOT(ISNUMBER(K473)),"Falta equivalente","Aplicar")))))))</x:f>
      </x:c>
    </x:row>
    <x:row r="474" ht="25" customHeight="1">
      <x:c r="A474" s="22" t="str">
        <x:v>P-470</x:v>
      </x:c>
      <x:c r="B474" s="25" t="str"/>
      <x:c r="C474" s="26" t="str"/>
      <x:c r="D474" s="22" t="str">
        <x:f>IF(C474="","",IF(COUNTIFS('VENTAS'!$A$5:$A$254,C474,'VENTAS'!$C$5:$C$254,"&lt;&gt;")=1,INDEX('VENTAS'!$C$5:$C$254,MATCH(C474,'VENTAS'!$A$5:$A$254,0)),"ID no encontrado"))</x:f>
      </x:c>
      <x:c r="E474" s="22" t="str">
        <x:f>IF(C474="","",IF(COUNTIFS('VENTAS'!$A$5:$A$254,C474,'VENTAS'!$C$5:$C$254,"&lt;&gt;")=1,INDEX('VENTAS'!$D$5:$D$254,MATCH(C474,'VENTAS'!$A$5:$A$254,0)),"ID no encontrado"))</x:f>
      </x:c>
      <x:c r="F474" s="26" t="str"/>
      <x:c r="G474" s="27" t="str"/>
      <x:c r="H474" s="27" t="str"/>
      <x:c r="I474" s="26" t="str"/>
      <x:c r="J474" s="30" t="str"/>
      <x:c r="K474" s="28" t="str">
        <x:f>IF(B474="","",IF(ISNUMBER(H474),H474,IF(AND(ISNUMBER(G474),ISNUMBER(J474),J474&gt;0),ROUND(G474/J474,2),"")))</x:f>
      </x:c>
      <x:c r="L474" s="31" t="str"/>
      <x:c r="M474" s="26" t="str"/>
      <x:c r="N474" s="26" t="str">
        <x:v>Incluir</x:v>
      </x:c>
      <x:c r="O474" s="22" t="str"/>
      <x:c r="P474" s="22" t="str"/>
      <x:c r="Q474" s="22" t="str">
        <x:f>IF(B474="","",IF(C474="","Falta ID venta",IF(D474="ID no encontrado","ID venta inválido",IF(COUNTIFS('PAGOS'!$A$5:$A$504,A474,'PAGOS'!$B$5:$B$504,"&gt;0")&gt;1,"ID duplicado",IF(AND(L474&lt;&gt;"",COUNTIFS('PAGOS'!$L$5:$L$504,L474,'PAGOS'!$B$5:$B$504,B474,'PAGOS'!$F$5:$F$504,F474)&gt;1),"Referencia repetida",IF(N474&lt;&gt;"Incluir",N474,IF(NOT(ISNUMBER(K474)),"Falta equivalente","Aplicar")))))))</x:f>
      </x:c>
    </x:row>
    <x:row r="475" ht="25" customHeight="1">
      <x:c r="A475" s="22" t="str">
        <x:v>P-471</x:v>
      </x:c>
      <x:c r="B475" s="25" t="str"/>
      <x:c r="C475" s="26" t="str"/>
      <x:c r="D475" s="22" t="str">
        <x:f>IF(C475="","",IF(COUNTIFS('VENTAS'!$A$5:$A$254,C475,'VENTAS'!$C$5:$C$254,"&lt;&gt;")=1,INDEX('VENTAS'!$C$5:$C$254,MATCH(C475,'VENTAS'!$A$5:$A$254,0)),"ID no encontrado"))</x:f>
      </x:c>
      <x:c r="E475" s="22" t="str">
        <x:f>IF(C475="","",IF(COUNTIFS('VENTAS'!$A$5:$A$254,C475,'VENTAS'!$C$5:$C$254,"&lt;&gt;")=1,INDEX('VENTAS'!$D$5:$D$254,MATCH(C475,'VENTAS'!$A$5:$A$254,0)),"ID no encontrado"))</x:f>
      </x:c>
      <x:c r="F475" s="26" t="str"/>
      <x:c r="G475" s="27" t="str"/>
      <x:c r="H475" s="27" t="str"/>
      <x:c r="I475" s="26" t="str"/>
      <x:c r="J475" s="30" t="str"/>
      <x:c r="K475" s="28" t="str">
        <x:f>IF(B475="","",IF(ISNUMBER(H475),H475,IF(AND(ISNUMBER(G475),ISNUMBER(J475),J475&gt;0),ROUND(G475/J475,2),"")))</x:f>
      </x:c>
      <x:c r="L475" s="31" t="str"/>
      <x:c r="M475" s="26" t="str"/>
      <x:c r="N475" s="26" t="str">
        <x:v>Incluir</x:v>
      </x:c>
      <x:c r="O475" s="22" t="str"/>
      <x:c r="P475" s="22" t="str"/>
      <x:c r="Q475" s="22" t="str">
        <x:f>IF(B475="","",IF(C475="","Falta ID venta",IF(D475="ID no encontrado","ID venta inválido",IF(COUNTIFS('PAGOS'!$A$5:$A$504,A475,'PAGOS'!$B$5:$B$504,"&gt;0")&gt;1,"ID duplicado",IF(AND(L475&lt;&gt;"",COUNTIFS('PAGOS'!$L$5:$L$504,L475,'PAGOS'!$B$5:$B$504,B475,'PAGOS'!$F$5:$F$504,F475)&gt;1),"Referencia repetida",IF(N475&lt;&gt;"Incluir",N475,IF(NOT(ISNUMBER(K475)),"Falta equivalente","Aplicar")))))))</x:f>
      </x:c>
    </x:row>
    <x:row r="476" ht="25" customHeight="1">
      <x:c r="A476" s="22" t="str">
        <x:v>P-472</x:v>
      </x:c>
      <x:c r="B476" s="25" t="str"/>
      <x:c r="C476" s="26" t="str"/>
      <x:c r="D476" s="22" t="str">
        <x:f>IF(C476="","",IF(COUNTIFS('VENTAS'!$A$5:$A$254,C476,'VENTAS'!$C$5:$C$254,"&lt;&gt;")=1,INDEX('VENTAS'!$C$5:$C$254,MATCH(C476,'VENTAS'!$A$5:$A$254,0)),"ID no encontrado"))</x:f>
      </x:c>
      <x:c r="E476" s="22" t="str">
        <x:f>IF(C476="","",IF(COUNTIFS('VENTAS'!$A$5:$A$254,C476,'VENTAS'!$C$5:$C$254,"&lt;&gt;")=1,INDEX('VENTAS'!$D$5:$D$254,MATCH(C476,'VENTAS'!$A$5:$A$254,0)),"ID no encontrado"))</x:f>
      </x:c>
      <x:c r="F476" s="26" t="str"/>
      <x:c r="G476" s="27" t="str"/>
      <x:c r="H476" s="27" t="str"/>
      <x:c r="I476" s="26" t="str"/>
      <x:c r="J476" s="30" t="str"/>
      <x:c r="K476" s="28" t="str">
        <x:f>IF(B476="","",IF(ISNUMBER(H476),H476,IF(AND(ISNUMBER(G476),ISNUMBER(J476),J476&gt;0),ROUND(G476/J476,2),"")))</x:f>
      </x:c>
      <x:c r="L476" s="31" t="str"/>
      <x:c r="M476" s="26" t="str"/>
      <x:c r="N476" s="26" t="str">
        <x:v>Incluir</x:v>
      </x:c>
      <x:c r="O476" s="22" t="str"/>
      <x:c r="P476" s="22" t="str"/>
      <x:c r="Q476" s="22" t="str">
        <x:f>IF(B476="","",IF(C476="","Falta ID venta",IF(D476="ID no encontrado","ID venta inválido",IF(COUNTIFS('PAGOS'!$A$5:$A$504,A476,'PAGOS'!$B$5:$B$504,"&gt;0")&gt;1,"ID duplicado",IF(AND(L476&lt;&gt;"",COUNTIFS('PAGOS'!$L$5:$L$504,L476,'PAGOS'!$B$5:$B$504,B476,'PAGOS'!$F$5:$F$504,F476)&gt;1),"Referencia repetida",IF(N476&lt;&gt;"Incluir",N476,IF(NOT(ISNUMBER(K476)),"Falta equivalente","Aplicar")))))))</x:f>
      </x:c>
    </x:row>
    <x:row r="477" ht="25" customHeight="1">
      <x:c r="A477" s="22" t="str">
        <x:v>P-473</x:v>
      </x:c>
      <x:c r="B477" s="25" t="str"/>
      <x:c r="C477" s="26" t="str"/>
      <x:c r="D477" s="22" t="str">
        <x:f>IF(C477="","",IF(COUNTIFS('VENTAS'!$A$5:$A$254,C477,'VENTAS'!$C$5:$C$254,"&lt;&gt;")=1,INDEX('VENTAS'!$C$5:$C$254,MATCH(C477,'VENTAS'!$A$5:$A$254,0)),"ID no encontrado"))</x:f>
      </x:c>
      <x:c r="E477" s="22" t="str">
        <x:f>IF(C477="","",IF(COUNTIFS('VENTAS'!$A$5:$A$254,C477,'VENTAS'!$C$5:$C$254,"&lt;&gt;")=1,INDEX('VENTAS'!$D$5:$D$254,MATCH(C477,'VENTAS'!$A$5:$A$254,0)),"ID no encontrado"))</x:f>
      </x:c>
      <x:c r="F477" s="26" t="str"/>
      <x:c r="G477" s="27" t="str"/>
      <x:c r="H477" s="27" t="str"/>
      <x:c r="I477" s="26" t="str"/>
      <x:c r="J477" s="30" t="str"/>
      <x:c r="K477" s="28" t="str">
        <x:f>IF(B477="","",IF(ISNUMBER(H477),H477,IF(AND(ISNUMBER(G477),ISNUMBER(J477),J477&gt;0),ROUND(G477/J477,2),"")))</x:f>
      </x:c>
      <x:c r="L477" s="31" t="str"/>
      <x:c r="M477" s="26" t="str"/>
      <x:c r="N477" s="26" t="str">
        <x:v>Incluir</x:v>
      </x:c>
      <x:c r="O477" s="22" t="str"/>
      <x:c r="P477" s="22" t="str"/>
      <x:c r="Q477" s="22" t="str">
        <x:f>IF(B477="","",IF(C477="","Falta ID venta",IF(D477="ID no encontrado","ID venta inválido",IF(COUNTIFS('PAGOS'!$A$5:$A$504,A477,'PAGOS'!$B$5:$B$504,"&gt;0")&gt;1,"ID duplicado",IF(AND(L477&lt;&gt;"",COUNTIFS('PAGOS'!$L$5:$L$504,L477,'PAGOS'!$B$5:$B$504,B477,'PAGOS'!$F$5:$F$504,F477)&gt;1),"Referencia repetida",IF(N477&lt;&gt;"Incluir",N477,IF(NOT(ISNUMBER(K477)),"Falta equivalente","Aplicar")))))))</x:f>
      </x:c>
    </x:row>
    <x:row r="478" ht="25" customHeight="1">
      <x:c r="A478" s="22" t="str">
        <x:v>P-474</x:v>
      </x:c>
      <x:c r="B478" s="25" t="str"/>
      <x:c r="C478" s="26" t="str"/>
      <x:c r="D478" s="22" t="str">
        <x:f>IF(C478="","",IF(COUNTIFS('VENTAS'!$A$5:$A$254,C478,'VENTAS'!$C$5:$C$254,"&lt;&gt;")=1,INDEX('VENTAS'!$C$5:$C$254,MATCH(C478,'VENTAS'!$A$5:$A$254,0)),"ID no encontrado"))</x:f>
      </x:c>
      <x:c r="E478" s="22" t="str">
        <x:f>IF(C478="","",IF(COUNTIFS('VENTAS'!$A$5:$A$254,C478,'VENTAS'!$C$5:$C$254,"&lt;&gt;")=1,INDEX('VENTAS'!$D$5:$D$254,MATCH(C478,'VENTAS'!$A$5:$A$254,0)),"ID no encontrado"))</x:f>
      </x:c>
      <x:c r="F478" s="26" t="str"/>
      <x:c r="G478" s="27" t="str"/>
      <x:c r="H478" s="27" t="str"/>
      <x:c r="I478" s="26" t="str"/>
      <x:c r="J478" s="30" t="str"/>
      <x:c r="K478" s="28" t="str">
        <x:f>IF(B478="","",IF(ISNUMBER(H478),H478,IF(AND(ISNUMBER(G478),ISNUMBER(J478),J478&gt;0),ROUND(G478/J478,2),"")))</x:f>
      </x:c>
      <x:c r="L478" s="31" t="str"/>
      <x:c r="M478" s="26" t="str"/>
      <x:c r="N478" s="26" t="str">
        <x:v>Incluir</x:v>
      </x:c>
      <x:c r="O478" s="22" t="str"/>
      <x:c r="P478" s="22" t="str"/>
      <x:c r="Q478" s="22" t="str">
        <x:f>IF(B478="","",IF(C478="","Falta ID venta",IF(D478="ID no encontrado","ID venta inválido",IF(COUNTIFS('PAGOS'!$A$5:$A$504,A478,'PAGOS'!$B$5:$B$504,"&gt;0")&gt;1,"ID duplicado",IF(AND(L478&lt;&gt;"",COUNTIFS('PAGOS'!$L$5:$L$504,L478,'PAGOS'!$B$5:$B$504,B478,'PAGOS'!$F$5:$F$504,F478)&gt;1),"Referencia repetida",IF(N478&lt;&gt;"Incluir",N478,IF(NOT(ISNUMBER(K478)),"Falta equivalente","Aplicar")))))))</x:f>
      </x:c>
    </x:row>
    <x:row r="479" ht="25" customHeight="1">
      <x:c r="A479" s="22" t="str">
        <x:v>P-475</x:v>
      </x:c>
      <x:c r="B479" s="25" t="str"/>
      <x:c r="C479" s="26" t="str"/>
      <x:c r="D479" s="22" t="str">
        <x:f>IF(C479="","",IF(COUNTIFS('VENTAS'!$A$5:$A$254,C479,'VENTAS'!$C$5:$C$254,"&lt;&gt;")=1,INDEX('VENTAS'!$C$5:$C$254,MATCH(C479,'VENTAS'!$A$5:$A$254,0)),"ID no encontrado"))</x:f>
      </x:c>
      <x:c r="E479" s="22" t="str">
        <x:f>IF(C479="","",IF(COUNTIFS('VENTAS'!$A$5:$A$254,C479,'VENTAS'!$C$5:$C$254,"&lt;&gt;")=1,INDEX('VENTAS'!$D$5:$D$254,MATCH(C479,'VENTAS'!$A$5:$A$254,0)),"ID no encontrado"))</x:f>
      </x:c>
      <x:c r="F479" s="26" t="str"/>
      <x:c r="G479" s="27" t="str"/>
      <x:c r="H479" s="27" t="str"/>
      <x:c r="I479" s="26" t="str"/>
      <x:c r="J479" s="30" t="str"/>
      <x:c r="K479" s="28" t="str">
        <x:f>IF(B479="","",IF(ISNUMBER(H479),H479,IF(AND(ISNUMBER(G479),ISNUMBER(J479),J479&gt;0),ROUND(G479/J479,2),"")))</x:f>
      </x:c>
      <x:c r="L479" s="31" t="str"/>
      <x:c r="M479" s="26" t="str"/>
      <x:c r="N479" s="26" t="str">
        <x:v>Incluir</x:v>
      </x:c>
      <x:c r="O479" s="22" t="str"/>
      <x:c r="P479" s="22" t="str"/>
      <x:c r="Q479" s="22" t="str">
        <x:f>IF(B479="","",IF(C479="","Falta ID venta",IF(D479="ID no encontrado","ID venta inválido",IF(COUNTIFS('PAGOS'!$A$5:$A$504,A479,'PAGOS'!$B$5:$B$504,"&gt;0")&gt;1,"ID duplicado",IF(AND(L479&lt;&gt;"",COUNTIFS('PAGOS'!$L$5:$L$504,L479,'PAGOS'!$B$5:$B$504,B479,'PAGOS'!$F$5:$F$504,F479)&gt;1),"Referencia repetida",IF(N479&lt;&gt;"Incluir",N479,IF(NOT(ISNUMBER(K479)),"Falta equivalente","Aplicar")))))))</x:f>
      </x:c>
    </x:row>
    <x:row r="480" ht="25" customHeight="1">
      <x:c r="A480" s="22" t="str">
        <x:v>P-476</x:v>
      </x:c>
      <x:c r="B480" s="25" t="str"/>
      <x:c r="C480" s="26" t="str"/>
      <x:c r="D480" s="22" t="str">
        <x:f>IF(C480="","",IF(COUNTIFS('VENTAS'!$A$5:$A$254,C480,'VENTAS'!$C$5:$C$254,"&lt;&gt;")=1,INDEX('VENTAS'!$C$5:$C$254,MATCH(C480,'VENTAS'!$A$5:$A$254,0)),"ID no encontrado"))</x:f>
      </x:c>
      <x:c r="E480" s="22" t="str">
        <x:f>IF(C480="","",IF(COUNTIFS('VENTAS'!$A$5:$A$254,C480,'VENTAS'!$C$5:$C$254,"&lt;&gt;")=1,INDEX('VENTAS'!$D$5:$D$254,MATCH(C480,'VENTAS'!$A$5:$A$254,0)),"ID no encontrado"))</x:f>
      </x:c>
      <x:c r="F480" s="26" t="str"/>
      <x:c r="G480" s="27" t="str"/>
      <x:c r="H480" s="27" t="str"/>
      <x:c r="I480" s="26" t="str"/>
      <x:c r="J480" s="30" t="str"/>
      <x:c r="K480" s="28" t="str">
        <x:f>IF(B480="","",IF(ISNUMBER(H480),H480,IF(AND(ISNUMBER(G480),ISNUMBER(J480),J480&gt;0),ROUND(G480/J480,2),"")))</x:f>
      </x:c>
      <x:c r="L480" s="31" t="str"/>
      <x:c r="M480" s="26" t="str"/>
      <x:c r="N480" s="26" t="str">
        <x:v>Incluir</x:v>
      </x:c>
      <x:c r="O480" s="22" t="str"/>
      <x:c r="P480" s="22" t="str"/>
      <x:c r="Q480" s="22" t="str">
        <x:f>IF(B480="","",IF(C480="","Falta ID venta",IF(D480="ID no encontrado","ID venta inválido",IF(COUNTIFS('PAGOS'!$A$5:$A$504,A480,'PAGOS'!$B$5:$B$504,"&gt;0")&gt;1,"ID duplicado",IF(AND(L480&lt;&gt;"",COUNTIFS('PAGOS'!$L$5:$L$504,L480,'PAGOS'!$B$5:$B$504,B480,'PAGOS'!$F$5:$F$504,F480)&gt;1),"Referencia repetida",IF(N480&lt;&gt;"Incluir",N480,IF(NOT(ISNUMBER(K480)),"Falta equivalente","Aplicar")))))))</x:f>
      </x:c>
    </x:row>
    <x:row r="481" ht="25" customHeight="1">
      <x:c r="A481" s="22" t="str">
        <x:v>P-477</x:v>
      </x:c>
      <x:c r="B481" s="25" t="str"/>
      <x:c r="C481" s="26" t="str"/>
      <x:c r="D481" s="22" t="str">
        <x:f>IF(C481="","",IF(COUNTIFS('VENTAS'!$A$5:$A$254,C481,'VENTAS'!$C$5:$C$254,"&lt;&gt;")=1,INDEX('VENTAS'!$C$5:$C$254,MATCH(C481,'VENTAS'!$A$5:$A$254,0)),"ID no encontrado"))</x:f>
      </x:c>
      <x:c r="E481" s="22" t="str">
        <x:f>IF(C481="","",IF(COUNTIFS('VENTAS'!$A$5:$A$254,C481,'VENTAS'!$C$5:$C$254,"&lt;&gt;")=1,INDEX('VENTAS'!$D$5:$D$254,MATCH(C481,'VENTAS'!$A$5:$A$254,0)),"ID no encontrado"))</x:f>
      </x:c>
      <x:c r="F481" s="26" t="str"/>
      <x:c r="G481" s="27" t="str"/>
      <x:c r="H481" s="27" t="str"/>
      <x:c r="I481" s="26" t="str"/>
      <x:c r="J481" s="30" t="str"/>
      <x:c r="K481" s="28" t="str">
        <x:f>IF(B481="","",IF(ISNUMBER(H481),H481,IF(AND(ISNUMBER(G481),ISNUMBER(J481),J481&gt;0),ROUND(G481/J481,2),"")))</x:f>
      </x:c>
      <x:c r="L481" s="31" t="str"/>
      <x:c r="M481" s="26" t="str"/>
      <x:c r="N481" s="26" t="str">
        <x:v>Incluir</x:v>
      </x:c>
      <x:c r="O481" s="22" t="str"/>
      <x:c r="P481" s="22" t="str"/>
      <x:c r="Q481" s="22" t="str">
        <x:f>IF(B481="","",IF(C481="","Falta ID venta",IF(D481="ID no encontrado","ID venta inválido",IF(COUNTIFS('PAGOS'!$A$5:$A$504,A481,'PAGOS'!$B$5:$B$504,"&gt;0")&gt;1,"ID duplicado",IF(AND(L481&lt;&gt;"",COUNTIFS('PAGOS'!$L$5:$L$504,L481,'PAGOS'!$B$5:$B$504,B481,'PAGOS'!$F$5:$F$504,F481)&gt;1),"Referencia repetida",IF(N481&lt;&gt;"Incluir",N481,IF(NOT(ISNUMBER(K481)),"Falta equivalente","Aplicar")))))))</x:f>
      </x:c>
    </x:row>
    <x:row r="482" ht="25" customHeight="1">
      <x:c r="A482" s="22" t="str">
        <x:v>P-478</x:v>
      </x:c>
      <x:c r="B482" s="25" t="str"/>
      <x:c r="C482" s="26" t="str"/>
      <x:c r="D482" s="22" t="str">
        <x:f>IF(C482="","",IF(COUNTIFS('VENTAS'!$A$5:$A$254,C482,'VENTAS'!$C$5:$C$254,"&lt;&gt;")=1,INDEX('VENTAS'!$C$5:$C$254,MATCH(C482,'VENTAS'!$A$5:$A$254,0)),"ID no encontrado"))</x:f>
      </x:c>
      <x:c r="E482" s="22" t="str">
        <x:f>IF(C482="","",IF(COUNTIFS('VENTAS'!$A$5:$A$254,C482,'VENTAS'!$C$5:$C$254,"&lt;&gt;")=1,INDEX('VENTAS'!$D$5:$D$254,MATCH(C482,'VENTAS'!$A$5:$A$254,0)),"ID no encontrado"))</x:f>
      </x:c>
      <x:c r="F482" s="26" t="str"/>
      <x:c r="G482" s="27" t="str"/>
      <x:c r="H482" s="27" t="str"/>
      <x:c r="I482" s="26" t="str"/>
      <x:c r="J482" s="30" t="str"/>
      <x:c r="K482" s="28" t="str">
        <x:f>IF(B482="","",IF(ISNUMBER(H482),H482,IF(AND(ISNUMBER(G482),ISNUMBER(J482),J482&gt;0),ROUND(G482/J482,2),"")))</x:f>
      </x:c>
      <x:c r="L482" s="31" t="str"/>
      <x:c r="M482" s="26" t="str"/>
      <x:c r="N482" s="26" t="str">
        <x:v>Incluir</x:v>
      </x:c>
      <x:c r="O482" s="22" t="str"/>
      <x:c r="P482" s="22" t="str"/>
      <x:c r="Q482" s="22" t="str">
        <x:f>IF(B482="","",IF(C482="","Falta ID venta",IF(D482="ID no encontrado","ID venta inválido",IF(COUNTIFS('PAGOS'!$A$5:$A$504,A482,'PAGOS'!$B$5:$B$504,"&gt;0")&gt;1,"ID duplicado",IF(AND(L482&lt;&gt;"",COUNTIFS('PAGOS'!$L$5:$L$504,L482,'PAGOS'!$B$5:$B$504,B482,'PAGOS'!$F$5:$F$504,F482)&gt;1),"Referencia repetida",IF(N482&lt;&gt;"Incluir",N482,IF(NOT(ISNUMBER(K482)),"Falta equivalente","Aplicar")))))))</x:f>
      </x:c>
    </x:row>
    <x:row r="483" ht="25" customHeight="1">
      <x:c r="A483" s="22" t="str">
        <x:v>P-479</x:v>
      </x:c>
      <x:c r="B483" s="25" t="str"/>
      <x:c r="C483" s="26" t="str"/>
      <x:c r="D483" s="22" t="str">
        <x:f>IF(C483="","",IF(COUNTIFS('VENTAS'!$A$5:$A$254,C483,'VENTAS'!$C$5:$C$254,"&lt;&gt;")=1,INDEX('VENTAS'!$C$5:$C$254,MATCH(C483,'VENTAS'!$A$5:$A$254,0)),"ID no encontrado"))</x:f>
      </x:c>
      <x:c r="E483" s="22" t="str">
        <x:f>IF(C483="","",IF(COUNTIFS('VENTAS'!$A$5:$A$254,C483,'VENTAS'!$C$5:$C$254,"&lt;&gt;")=1,INDEX('VENTAS'!$D$5:$D$254,MATCH(C483,'VENTAS'!$A$5:$A$254,0)),"ID no encontrado"))</x:f>
      </x:c>
      <x:c r="F483" s="26" t="str"/>
      <x:c r="G483" s="27" t="str"/>
      <x:c r="H483" s="27" t="str"/>
      <x:c r="I483" s="26" t="str"/>
      <x:c r="J483" s="30" t="str"/>
      <x:c r="K483" s="28" t="str">
        <x:f>IF(B483="","",IF(ISNUMBER(H483),H483,IF(AND(ISNUMBER(G483),ISNUMBER(J483),J483&gt;0),ROUND(G483/J483,2),"")))</x:f>
      </x:c>
      <x:c r="L483" s="31" t="str"/>
      <x:c r="M483" s="26" t="str"/>
      <x:c r="N483" s="26" t="str">
        <x:v>Incluir</x:v>
      </x:c>
      <x:c r="O483" s="22" t="str"/>
      <x:c r="P483" s="22" t="str"/>
      <x:c r="Q483" s="22" t="str">
        <x:f>IF(B483="","",IF(C483="","Falta ID venta",IF(D483="ID no encontrado","ID venta inválido",IF(COUNTIFS('PAGOS'!$A$5:$A$504,A483,'PAGOS'!$B$5:$B$504,"&gt;0")&gt;1,"ID duplicado",IF(AND(L483&lt;&gt;"",COUNTIFS('PAGOS'!$L$5:$L$504,L483,'PAGOS'!$B$5:$B$504,B483,'PAGOS'!$F$5:$F$504,F483)&gt;1),"Referencia repetida",IF(N483&lt;&gt;"Incluir",N483,IF(NOT(ISNUMBER(K483)),"Falta equivalente","Aplicar")))))))</x:f>
      </x:c>
    </x:row>
    <x:row r="484" ht="25" customHeight="1">
      <x:c r="A484" s="22" t="str">
        <x:v>P-480</x:v>
      </x:c>
      <x:c r="B484" s="25" t="str"/>
      <x:c r="C484" s="26" t="str"/>
      <x:c r="D484" s="22" t="str">
        <x:f>IF(C484="","",IF(COUNTIFS('VENTAS'!$A$5:$A$254,C484,'VENTAS'!$C$5:$C$254,"&lt;&gt;")=1,INDEX('VENTAS'!$C$5:$C$254,MATCH(C484,'VENTAS'!$A$5:$A$254,0)),"ID no encontrado"))</x:f>
      </x:c>
      <x:c r="E484" s="22" t="str">
        <x:f>IF(C484="","",IF(COUNTIFS('VENTAS'!$A$5:$A$254,C484,'VENTAS'!$C$5:$C$254,"&lt;&gt;")=1,INDEX('VENTAS'!$D$5:$D$254,MATCH(C484,'VENTAS'!$A$5:$A$254,0)),"ID no encontrado"))</x:f>
      </x:c>
      <x:c r="F484" s="26" t="str"/>
      <x:c r="G484" s="27" t="str"/>
      <x:c r="H484" s="27" t="str"/>
      <x:c r="I484" s="26" t="str"/>
      <x:c r="J484" s="30" t="str"/>
      <x:c r="K484" s="28" t="str">
        <x:f>IF(B484="","",IF(ISNUMBER(H484),H484,IF(AND(ISNUMBER(G484),ISNUMBER(J484),J484&gt;0),ROUND(G484/J484,2),"")))</x:f>
      </x:c>
      <x:c r="L484" s="31" t="str"/>
      <x:c r="M484" s="26" t="str"/>
      <x:c r="N484" s="26" t="str">
        <x:v>Incluir</x:v>
      </x:c>
      <x:c r="O484" s="22" t="str"/>
      <x:c r="P484" s="22" t="str"/>
      <x:c r="Q484" s="22" t="str">
        <x:f>IF(B484="","",IF(C484="","Falta ID venta",IF(D484="ID no encontrado","ID venta inválido",IF(COUNTIFS('PAGOS'!$A$5:$A$504,A484,'PAGOS'!$B$5:$B$504,"&gt;0")&gt;1,"ID duplicado",IF(AND(L484&lt;&gt;"",COUNTIFS('PAGOS'!$L$5:$L$504,L484,'PAGOS'!$B$5:$B$504,B484,'PAGOS'!$F$5:$F$504,F484)&gt;1),"Referencia repetida",IF(N484&lt;&gt;"Incluir",N484,IF(NOT(ISNUMBER(K484)),"Falta equivalente","Aplicar")))))))</x:f>
      </x:c>
    </x:row>
    <x:row r="485" ht="25" customHeight="1">
      <x:c r="A485" s="22" t="str">
        <x:v>P-481</x:v>
      </x:c>
      <x:c r="B485" s="25" t="str"/>
      <x:c r="C485" s="26" t="str"/>
      <x:c r="D485" s="22" t="str">
        <x:f>IF(C485="","",IF(COUNTIFS('VENTAS'!$A$5:$A$254,C485,'VENTAS'!$C$5:$C$254,"&lt;&gt;")=1,INDEX('VENTAS'!$C$5:$C$254,MATCH(C485,'VENTAS'!$A$5:$A$254,0)),"ID no encontrado"))</x:f>
      </x:c>
      <x:c r="E485" s="22" t="str">
        <x:f>IF(C485="","",IF(COUNTIFS('VENTAS'!$A$5:$A$254,C485,'VENTAS'!$C$5:$C$254,"&lt;&gt;")=1,INDEX('VENTAS'!$D$5:$D$254,MATCH(C485,'VENTAS'!$A$5:$A$254,0)),"ID no encontrado"))</x:f>
      </x:c>
      <x:c r="F485" s="26" t="str"/>
      <x:c r="G485" s="27" t="str"/>
      <x:c r="H485" s="27" t="str"/>
      <x:c r="I485" s="26" t="str"/>
      <x:c r="J485" s="30" t="str"/>
      <x:c r="K485" s="28" t="str">
        <x:f>IF(B485="","",IF(ISNUMBER(H485),H485,IF(AND(ISNUMBER(G485),ISNUMBER(J485),J485&gt;0),ROUND(G485/J485,2),"")))</x:f>
      </x:c>
      <x:c r="L485" s="31" t="str"/>
      <x:c r="M485" s="26" t="str"/>
      <x:c r="N485" s="26" t="str">
        <x:v>Incluir</x:v>
      </x:c>
      <x:c r="O485" s="22" t="str"/>
      <x:c r="P485" s="22" t="str"/>
      <x:c r="Q485" s="22" t="str">
        <x:f>IF(B485="","",IF(C485="","Falta ID venta",IF(D485="ID no encontrado","ID venta inválido",IF(COUNTIFS('PAGOS'!$A$5:$A$504,A485,'PAGOS'!$B$5:$B$504,"&gt;0")&gt;1,"ID duplicado",IF(AND(L485&lt;&gt;"",COUNTIFS('PAGOS'!$L$5:$L$504,L485,'PAGOS'!$B$5:$B$504,B485,'PAGOS'!$F$5:$F$504,F485)&gt;1),"Referencia repetida",IF(N485&lt;&gt;"Incluir",N485,IF(NOT(ISNUMBER(K485)),"Falta equivalente","Aplicar")))))))</x:f>
      </x:c>
    </x:row>
    <x:row r="486" ht="25" customHeight="1">
      <x:c r="A486" s="22" t="str">
        <x:v>P-482</x:v>
      </x:c>
      <x:c r="B486" s="25" t="str"/>
      <x:c r="C486" s="26" t="str"/>
      <x:c r="D486" s="22" t="str">
        <x:f>IF(C486="","",IF(COUNTIFS('VENTAS'!$A$5:$A$254,C486,'VENTAS'!$C$5:$C$254,"&lt;&gt;")=1,INDEX('VENTAS'!$C$5:$C$254,MATCH(C486,'VENTAS'!$A$5:$A$254,0)),"ID no encontrado"))</x:f>
      </x:c>
      <x:c r="E486" s="22" t="str">
        <x:f>IF(C486="","",IF(COUNTIFS('VENTAS'!$A$5:$A$254,C486,'VENTAS'!$C$5:$C$254,"&lt;&gt;")=1,INDEX('VENTAS'!$D$5:$D$254,MATCH(C486,'VENTAS'!$A$5:$A$254,0)),"ID no encontrado"))</x:f>
      </x:c>
      <x:c r="F486" s="26" t="str"/>
      <x:c r="G486" s="27" t="str"/>
      <x:c r="H486" s="27" t="str"/>
      <x:c r="I486" s="26" t="str"/>
      <x:c r="J486" s="30" t="str"/>
      <x:c r="K486" s="28" t="str">
        <x:f>IF(B486="","",IF(ISNUMBER(H486),H486,IF(AND(ISNUMBER(G486),ISNUMBER(J486),J486&gt;0),ROUND(G486/J486,2),"")))</x:f>
      </x:c>
      <x:c r="L486" s="31" t="str"/>
      <x:c r="M486" s="26" t="str"/>
      <x:c r="N486" s="26" t="str">
        <x:v>Incluir</x:v>
      </x:c>
      <x:c r="O486" s="22" t="str"/>
      <x:c r="P486" s="22" t="str"/>
      <x:c r="Q486" s="22" t="str">
        <x:f>IF(B486="","",IF(C486="","Falta ID venta",IF(D486="ID no encontrado","ID venta inválido",IF(COUNTIFS('PAGOS'!$A$5:$A$504,A486,'PAGOS'!$B$5:$B$504,"&gt;0")&gt;1,"ID duplicado",IF(AND(L486&lt;&gt;"",COUNTIFS('PAGOS'!$L$5:$L$504,L486,'PAGOS'!$B$5:$B$504,B486,'PAGOS'!$F$5:$F$504,F486)&gt;1),"Referencia repetida",IF(N486&lt;&gt;"Incluir",N486,IF(NOT(ISNUMBER(K486)),"Falta equivalente","Aplicar")))))))</x:f>
      </x:c>
    </x:row>
    <x:row r="487" ht="25" customHeight="1">
      <x:c r="A487" s="22" t="str">
        <x:v>P-483</x:v>
      </x:c>
      <x:c r="B487" s="25" t="str"/>
      <x:c r="C487" s="26" t="str"/>
      <x:c r="D487" s="22" t="str">
        <x:f>IF(C487="","",IF(COUNTIFS('VENTAS'!$A$5:$A$254,C487,'VENTAS'!$C$5:$C$254,"&lt;&gt;")=1,INDEX('VENTAS'!$C$5:$C$254,MATCH(C487,'VENTAS'!$A$5:$A$254,0)),"ID no encontrado"))</x:f>
      </x:c>
      <x:c r="E487" s="22" t="str">
        <x:f>IF(C487="","",IF(COUNTIFS('VENTAS'!$A$5:$A$254,C487,'VENTAS'!$C$5:$C$254,"&lt;&gt;")=1,INDEX('VENTAS'!$D$5:$D$254,MATCH(C487,'VENTAS'!$A$5:$A$254,0)),"ID no encontrado"))</x:f>
      </x:c>
      <x:c r="F487" s="26" t="str"/>
      <x:c r="G487" s="27" t="str"/>
      <x:c r="H487" s="27" t="str"/>
      <x:c r="I487" s="26" t="str"/>
      <x:c r="J487" s="30" t="str"/>
      <x:c r="K487" s="28" t="str">
        <x:f>IF(B487="","",IF(ISNUMBER(H487),H487,IF(AND(ISNUMBER(G487),ISNUMBER(J487),J487&gt;0),ROUND(G487/J487,2),"")))</x:f>
      </x:c>
      <x:c r="L487" s="31" t="str"/>
      <x:c r="M487" s="26" t="str"/>
      <x:c r="N487" s="26" t="str">
        <x:v>Incluir</x:v>
      </x:c>
      <x:c r="O487" s="22" t="str"/>
      <x:c r="P487" s="22" t="str"/>
      <x:c r="Q487" s="22" t="str">
        <x:f>IF(B487="","",IF(C487="","Falta ID venta",IF(D487="ID no encontrado","ID venta inválido",IF(COUNTIFS('PAGOS'!$A$5:$A$504,A487,'PAGOS'!$B$5:$B$504,"&gt;0")&gt;1,"ID duplicado",IF(AND(L487&lt;&gt;"",COUNTIFS('PAGOS'!$L$5:$L$504,L487,'PAGOS'!$B$5:$B$504,B487,'PAGOS'!$F$5:$F$504,F487)&gt;1),"Referencia repetida",IF(N487&lt;&gt;"Incluir",N487,IF(NOT(ISNUMBER(K487)),"Falta equivalente","Aplicar")))))))</x:f>
      </x:c>
    </x:row>
    <x:row r="488" ht="25" customHeight="1">
      <x:c r="A488" s="22" t="str">
        <x:v>P-484</x:v>
      </x:c>
      <x:c r="B488" s="25" t="str"/>
      <x:c r="C488" s="26" t="str"/>
      <x:c r="D488" s="22" t="str">
        <x:f>IF(C488="","",IF(COUNTIFS('VENTAS'!$A$5:$A$254,C488,'VENTAS'!$C$5:$C$254,"&lt;&gt;")=1,INDEX('VENTAS'!$C$5:$C$254,MATCH(C488,'VENTAS'!$A$5:$A$254,0)),"ID no encontrado"))</x:f>
      </x:c>
      <x:c r="E488" s="22" t="str">
        <x:f>IF(C488="","",IF(COUNTIFS('VENTAS'!$A$5:$A$254,C488,'VENTAS'!$C$5:$C$254,"&lt;&gt;")=1,INDEX('VENTAS'!$D$5:$D$254,MATCH(C488,'VENTAS'!$A$5:$A$254,0)),"ID no encontrado"))</x:f>
      </x:c>
      <x:c r="F488" s="26" t="str"/>
      <x:c r="G488" s="27" t="str"/>
      <x:c r="H488" s="27" t="str"/>
      <x:c r="I488" s="26" t="str"/>
      <x:c r="J488" s="30" t="str"/>
      <x:c r="K488" s="28" t="str">
        <x:f>IF(B488="","",IF(ISNUMBER(H488),H488,IF(AND(ISNUMBER(G488),ISNUMBER(J488),J488&gt;0),ROUND(G488/J488,2),"")))</x:f>
      </x:c>
      <x:c r="L488" s="31" t="str"/>
      <x:c r="M488" s="26" t="str"/>
      <x:c r="N488" s="26" t="str">
        <x:v>Incluir</x:v>
      </x:c>
      <x:c r="O488" s="22" t="str"/>
      <x:c r="P488" s="22" t="str"/>
      <x:c r="Q488" s="22" t="str">
        <x:f>IF(B488="","",IF(C488="","Falta ID venta",IF(D488="ID no encontrado","ID venta inválido",IF(COUNTIFS('PAGOS'!$A$5:$A$504,A488,'PAGOS'!$B$5:$B$504,"&gt;0")&gt;1,"ID duplicado",IF(AND(L488&lt;&gt;"",COUNTIFS('PAGOS'!$L$5:$L$504,L488,'PAGOS'!$B$5:$B$504,B488,'PAGOS'!$F$5:$F$504,F488)&gt;1),"Referencia repetida",IF(N488&lt;&gt;"Incluir",N488,IF(NOT(ISNUMBER(K488)),"Falta equivalente","Aplicar")))))))</x:f>
      </x:c>
    </x:row>
    <x:row r="489" ht="25" customHeight="1">
      <x:c r="A489" s="22" t="str">
        <x:v>P-485</x:v>
      </x:c>
      <x:c r="B489" s="25" t="str"/>
      <x:c r="C489" s="26" t="str"/>
      <x:c r="D489" s="22" t="str">
        <x:f>IF(C489="","",IF(COUNTIFS('VENTAS'!$A$5:$A$254,C489,'VENTAS'!$C$5:$C$254,"&lt;&gt;")=1,INDEX('VENTAS'!$C$5:$C$254,MATCH(C489,'VENTAS'!$A$5:$A$254,0)),"ID no encontrado"))</x:f>
      </x:c>
      <x:c r="E489" s="22" t="str">
        <x:f>IF(C489="","",IF(COUNTIFS('VENTAS'!$A$5:$A$254,C489,'VENTAS'!$C$5:$C$254,"&lt;&gt;")=1,INDEX('VENTAS'!$D$5:$D$254,MATCH(C489,'VENTAS'!$A$5:$A$254,0)),"ID no encontrado"))</x:f>
      </x:c>
      <x:c r="F489" s="26" t="str"/>
      <x:c r="G489" s="27" t="str"/>
      <x:c r="H489" s="27" t="str"/>
      <x:c r="I489" s="26" t="str"/>
      <x:c r="J489" s="30" t="str"/>
      <x:c r="K489" s="28" t="str">
        <x:f>IF(B489="","",IF(ISNUMBER(H489),H489,IF(AND(ISNUMBER(G489),ISNUMBER(J489),J489&gt;0),ROUND(G489/J489,2),"")))</x:f>
      </x:c>
      <x:c r="L489" s="31" t="str"/>
      <x:c r="M489" s="26" t="str"/>
      <x:c r="N489" s="26" t="str">
        <x:v>Incluir</x:v>
      </x:c>
      <x:c r="O489" s="22" t="str"/>
      <x:c r="P489" s="22" t="str"/>
      <x:c r="Q489" s="22" t="str">
        <x:f>IF(B489="","",IF(C489="","Falta ID venta",IF(D489="ID no encontrado","ID venta inválido",IF(COUNTIFS('PAGOS'!$A$5:$A$504,A489,'PAGOS'!$B$5:$B$504,"&gt;0")&gt;1,"ID duplicado",IF(AND(L489&lt;&gt;"",COUNTIFS('PAGOS'!$L$5:$L$504,L489,'PAGOS'!$B$5:$B$504,B489,'PAGOS'!$F$5:$F$504,F489)&gt;1),"Referencia repetida",IF(N489&lt;&gt;"Incluir",N489,IF(NOT(ISNUMBER(K489)),"Falta equivalente","Aplicar")))))))</x:f>
      </x:c>
    </x:row>
    <x:row r="490" ht="25" customHeight="1">
      <x:c r="A490" s="22" t="str">
        <x:v>P-486</x:v>
      </x:c>
      <x:c r="B490" s="25" t="str"/>
      <x:c r="C490" s="26" t="str"/>
      <x:c r="D490" s="22" t="str">
        <x:f>IF(C490="","",IF(COUNTIFS('VENTAS'!$A$5:$A$254,C490,'VENTAS'!$C$5:$C$254,"&lt;&gt;")=1,INDEX('VENTAS'!$C$5:$C$254,MATCH(C490,'VENTAS'!$A$5:$A$254,0)),"ID no encontrado"))</x:f>
      </x:c>
      <x:c r="E490" s="22" t="str">
        <x:f>IF(C490="","",IF(COUNTIFS('VENTAS'!$A$5:$A$254,C490,'VENTAS'!$C$5:$C$254,"&lt;&gt;")=1,INDEX('VENTAS'!$D$5:$D$254,MATCH(C490,'VENTAS'!$A$5:$A$254,0)),"ID no encontrado"))</x:f>
      </x:c>
      <x:c r="F490" s="26" t="str"/>
      <x:c r="G490" s="27" t="str"/>
      <x:c r="H490" s="27" t="str"/>
      <x:c r="I490" s="26" t="str"/>
      <x:c r="J490" s="30" t="str"/>
      <x:c r="K490" s="28" t="str">
        <x:f>IF(B490="","",IF(ISNUMBER(H490),H490,IF(AND(ISNUMBER(G490),ISNUMBER(J490),J490&gt;0),ROUND(G490/J490,2),"")))</x:f>
      </x:c>
      <x:c r="L490" s="31" t="str"/>
      <x:c r="M490" s="26" t="str"/>
      <x:c r="N490" s="26" t="str">
        <x:v>Incluir</x:v>
      </x:c>
      <x:c r="O490" s="22" t="str"/>
      <x:c r="P490" s="22" t="str"/>
      <x:c r="Q490" s="22" t="str">
        <x:f>IF(B490="","",IF(C490="","Falta ID venta",IF(D490="ID no encontrado","ID venta inválido",IF(COUNTIFS('PAGOS'!$A$5:$A$504,A490,'PAGOS'!$B$5:$B$504,"&gt;0")&gt;1,"ID duplicado",IF(AND(L490&lt;&gt;"",COUNTIFS('PAGOS'!$L$5:$L$504,L490,'PAGOS'!$B$5:$B$504,B490,'PAGOS'!$F$5:$F$504,F490)&gt;1),"Referencia repetida",IF(N490&lt;&gt;"Incluir",N490,IF(NOT(ISNUMBER(K490)),"Falta equivalente","Aplicar")))))))</x:f>
      </x:c>
    </x:row>
    <x:row r="491" ht="25" customHeight="1">
      <x:c r="A491" s="22" t="str">
        <x:v>P-487</x:v>
      </x:c>
      <x:c r="B491" s="25" t="str"/>
      <x:c r="C491" s="26" t="str"/>
      <x:c r="D491" s="22" t="str">
        <x:f>IF(C491="","",IF(COUNTIFS('VENTAS'!$A$5:$A$254,C491,'VENTAS'!$C$5:$C$254,"&lt;&gt;")=1,INDEX('VENTAS'!$C$5:$C$254,MATCH(C491,'VENTAS'!$A$5:$A$254,0)),"ID no encontrado"))</x:f>
      </x:c>
      <x:c r="E491" s="22" t="str">
        <x:f>IF(C491="","",IF(COUNTIFS('VENTAS'!$A$5:$A$254,C491,'VENTAS'!$C$5:$C$254,"&lt;&gt;")=1,INDEX('VENTAS'!$D$5:$D$254,MATCH(C491,'VENTAS'!$A$5:$A$254,0)),"ID no encontrado"))</x:f>
      </x:c>
      <x:c r="F491" s="26" t="str"/>
      <x:c r="G491" s="27" t="str"/>
      <x:c r="H491" s="27" t="str"/>
      <x:c r="I491" s="26" t="str"/>
      <x:c r="J491" s="30" t="str"/>
      <x:c r="K491" s="28" t="str">
        <x:f>IF(B491="","",IF(ISNUMBER(H491),H491,IF(AND(ISNUMBER(G491),ISNUMBER(J491),J491&gt;0),ROUND(G491/J491,2),"")))</x:f>
      </x:c>
      <x:c r="L491" s="31" t="str"/>
      <x:c r="M491" s="26" t="str"/>
      <x:c r="N491" s="26" t="str">
        <x:v>Incluir</x:v>
      </x:c>
      <x:c r="O491" s="22" t="str"/>
      <x:c r="P491" s="22" t="str"/>
      <x:c r="Q491" s="22" t="str">
        <x:f>IF(B491="","",IF(C491="","Falta ID venta",IF(D491="ID no encontrado","ID venta inválido",IF(COUNTIFS('PAGOS'!$A$5:$A$504,A491,'PAGOS'!$B$5:$B$504,"&gt;0")&gt;1,"ID duplicado",IF(AND(L491&lt;&gt;"",COUNTIFS('PAGOS'!$L$5:$L$504,L491,'PAGOS'!$B$5:$B$504,B491,'PAGOS'!$F$5:$F$504,F491)&gt;1),"Referencia repetida",IF(N491&lt;&gt;"Incluir",N491,IF(NOT(ISNUMBER(K491)),"Falta equivalente","Aplicar")))))))</x:f>
      </x:c>
    </x:row>
    <x:row r="492" ht="25" customHeight="1">
      <x:c r="A492" s="22" t="str">
        <x:v>P-488</x:v>
      </x:c>
      <x:c r="B492" s="25" t="str"/>
      <x:c r="C492" s="26" t="str"/>
      <x:c r="D492" s="22" t="str">
        <x:f>IF(C492="","",IF(COUNTIFS('VENTAS'!$A$5:$A$254,C492,'VENTAS'!$C$5:$C$254,"&lt;&gt;")=1,INDEX('VENTAS'!$C$5:$C$254,MATCH(C492,'VENTAS'!$A$5:$A$254,0)),"ID no encontrado"))</x:f>
      </x:c>
      <x:c r="E492" s="22" t="str">
        <x:f>IF(C492="","",IF(COUNTIFS('VENTAS'!$A$5:$A$254,C492,'VENTAS'!$C$5:$C$254,"&lt;&gt;")=1,INDEX('VENTAS'!$D$5:$D$254,MATCH(C492,'VENTAS'!$A$5:$A$254,0)),"ID no encontrado"))</x:f>
      </x:c>
      <x:c r="F492" s="26" t="str"/>
      <x:c r="G492" s="27" t="str"/>
      <x:c r="H492" s="27" t="str"/>
      <x:c r="I492" s="26" t="str"/>
      <x:c r="J492" s="30" t="str"/>
      <x:c r="K492" s="28" t="str">
        <x:f>IF(B492="","",IF(ISNUMBER(H492),H492,IF(AND(ISNUMBER(G492),ISNUMBER(J492),J492&gt;0),ROUND(G492/J492,2),"")))</x:f>
      </x:c>
      <x:c r="L492" s="31" t="str"/>
      <x:c r="M492" s="26" t="str"/>
      <x:c r="N492" s="26" t="str">
        <x:v>Incluir</x:v>
      </x:c>
      <x:c r="O492" s="22" t="str"/>
      <x:c r="P492" s="22" t="str"/>
      <x:c r="Q492" s="22" t="str">
        <x:f>IF(B492="","",IF(C492="","Falta ID venta",IF(D492="ID no encontrado","ID venta inválido",IF(COUNTIFS('PAGOS'!$A$5:$A$504,A492,'PAGOS'!$B$5:$B$504,"&gt;0")&gt;1,"ID duplicado",IF(AND(L492&lt;&gt;"",COUNTIFS('PAGOS'!$L$5:$L$504,L492,'PAGOS'!$B$5:$B$504,B492,'PAGOS'!$F$5:$F$504,F492)&gt;1),"Referencia repetida",IF(N492&lt;&gt;"Incluir",N492,IF(NOT(ISNUMBER(K492)),"Falta equivalente","Aplicar")))))))</x:f>
      </x:c>
    </x:row>
    <x:row r="493" ht="25" customHeight="1">
      <x:c r="A493" s="22" t="str">
        <x:v>P-489</x:v>
      </x:c>
      <x:c r="B493" s="25" t="str"/>
      <x:c r="C493" s="26" t="str"/>
      <x:c r="D493" s="22" t="str">
        <x:f>IF(C493="","",IF(COUNTIFS('VENTAS'!$A$5:$A$254,C493,'VENTAS'!$C$5:$C$254,"&lt;&gt;")=1,INDEX('VENTAS'!$C$5:$C$254,MATCH(C493,'VENTAS'!$A$5:$A$254,0)),"ID no encontrado"))</x:f>
      </x:c>
      <x:c r="E493" s="22" t="str">
        <x:f>IF(C493="","",IF(COUNTIFS('VENTAS'!$A$5:$A$254,C493,'VENTAS'!$C$5:$C$254,"&lt;&gt;")=1,INDEX('VENTAS'!$D$5:$D$254,MATCH(C493,'VENTAS'!$A$5:$A$254,0)),"ID no encontrado"))</x:f>
      </x:c>
      <x:c r="F493" s="26" t="str"/>
      <x:c r="G493" s="27" t="str"/>
      <x:c r="H493" s="27" t="str"/>
      <x:c r="I493" s="26" t="str"/>
      <x:c r="J493" s="30" t="str"/>
      <x:c r="K493" s="28" t="str">
        <x:f>IF(B493="","",IF(ISNUMBER(H493),H493,IF(AND(ISNUMBER(G493),ISNUMBER(J493),J493&gt;0),ROUND(G493/J493,2),"")))</x:f>
      </x:c>
      <x:c r="L493" s="31" t="str"/>
      <x:c r="M493" s="26" t="str"/>
      <x:c r="N493" s="26" t="str">
        <x:v>Incluir</x:v>
      </x:c>
      <x:c r="O493" s="22" t="str"/>
      <x:c r="P493" s="22" t="str"/>
      <x:c r="Q493" s="22" t="str">
        <x:f>IF(B493="","",IF(C493="","Falta ID venta",IF(D493="ID no encontrado","ID venta inválido",IF(COUNTIFS('PAGOS'!$A$5:$A$504,A493,'PAGOS'!$B$5:$B$504,"&gt;0")&gt;1,"ID duplicado",IF(AND(L493&lt;&gt;"",COUNTIFS('PAGOS'!$L$5:$L$504,L493,'PAGOS'!$B$5:$B$504,B493,'PAGOS'!$F$5:$F$504,F493)&gt;1),"Referencia repetida",IF(N493&lt;&gt;"Incluir",N493,IF(NOT(ISNUMBER(K493)),"Falta equivalente","Aplicar")))))))</x:f>
      </x:c>
    </x:row>
    <x:row r="494" ht="25" customHeight="1">
      <x:c r="A494" s="22" t="str">
        <x:v>P-490</x:v>
      </x:c>
      <x:c r="B494" s="25" t="str"/>
      <x:c r="C494" s="26" t="str"/>
      <x:c r="D494" s="22" t="str">
        <x:f>IF(C494="","",IF(COUNTIFS('VENTAS'!$A$5:$A$254,C494,'VENTAS'!$C$5:$C$254,"&lt;&gt;")=1,INDEX('VENTAS'!$C$5:$C$254,MATCH(C494,'VENTAS'!$A$5:$A$254,0)),"ID no encontrado"))</x:f>
      </x:c>
      <x:c r="E494" s="22" t="str">
        <x:f>IF(C494="","",IF(COUNTIFS('VENTAS'!$A$5:$A$254,C494,'VENTAS'!$C$5:$C$254,"&lt;&gt;")=1,INDEX('VENTAS'!$D$5:$D$254,MATCH(C494,'VENTAS'!$A$5:$A$254,0)),"ID no encontrado"))</x:f>
      </x:c>
      <x:c r="F494" s="26" t="str"/>
      <x:c r="G494" s="27" t="str"/>
      <x:c r="H494" s="27" t="str"/>
      <x:c r="I494" s="26" t="str"/>
      <x:c r="J494" s="30" t="str"/>
      <x:c r="K494" s="28" t="str">
        <x:f>IF(B494="","",IF(ISNUMBER(H494),H494,IF(AND(ISNUMBER(G494),ISNUMBER(J494),J494&gt;0),ROUND(G494/J494,2),"")))</x:f>
      </x:c>
      <x:c r="L494" s="31" t="str"/>
      <x:c r="M494" s="26" t="str"/>
      <x:c r="N494" s="26" t="str">
        <x:v>Incluir</x:v>
      </x:c>
      <x:c r="O494" s="22" t="str"/>
      <x:c r="P494" s="22" t="str"/>
      <x:c r="Q494" s="22" t="str">
        <x:f>IF(B494="","",IF(C494="","Falta ID venta",IF(D494="ID no encontrado","ID venta inválido",IF(COUNTIFS('PAGOS'!$A$5:$A$504,A494,'PAGOS'!$B$5:$B$504,"&gt;0")&gt;1,"ID duplicado",IF(AND(L494&lt;&gt;"",COUNTIFS('PAGOS'!$L$5:$L$504,L494,'PAGOS'!$B$5:$B$504,B494,'PAGOS'!$F$5:$F$504,F494)&gt;1),"Referencia repetida",IF(N494&lt;&gt;"Incluir",N494,IF(NOT(ISNUMBER(K494)),"Falta equivalente","Aplicar")))))))</x:f>
      </x:c>
    </x:row>
    <x:row r="495" ht="25" customHeight="1">
      <x:c r="A495" s="22" t="str">
        <x:v>P-491</x:v>
      </x:c>
      <x:c r="B495" s="25" t="str"/>
      <x:c r="C495" s="26" t="str"/>
      <x:c r="D495" s="22" t="str">
        <x:f>IF(C495="","",IF(COUNTIFS('VENTAS'!$A$5:$A$254,C495,'VENTAS'!$C$5:$C$254,"&lt;&gt;")=1,INDEX('VENTAS'!$C$5:$C$254,MATCH(C495,'VENTAS'!$A$5:$A$254,0)),"ID no encontrado"))</x:f>
      </x:c>
      <x:c r="E495" s="22" t="str">
        <x:f>IF(C495="","",IF(COUNTIFS('VENTAS'!$A$5:$A$254,C495,'VENTAS'!$C$5:$C$254,"&lt;&gt;")=1,INDEX('VENTAS'!$D$5:$D$254,MATCH(C495,'VENTAS'!$A$5:$A$254,0)),"ID no encontrado"))</x:f>
      </x:c>
      <x:c r="F495" s="26" t="str"/>
      <x:c r="G495" s="27" t="str"/>
      <x:c r="H495" s="27" t="str"/>
      <x:c r="I495" s="26" t="str"/>
      <x:c r="J495" s="30" t="str"/>
      <x:c r="K495" s="28" t="str">
        <x:f>IF(B495="","",IF(ISNUMBER(H495),H495,IF(AND(ISNUMBER(G495),ISNUMBER(J495),J495&gt;0),ROUND(G495/J495,2),"")))</x:f>
      </x:c>
      <x:c r="L495" s="31" t="str"/>
      <x:c r="M495" s="26" t="str"/>
      <x:c r="N495" s="26" t="str">
        <x:v>Incluir</x:v>
      </x:c>
      <x:c r="O495" s="22" t="str"/>
      <x:c r="P495" s="22" t="str"/>
      <x:c r="Q495" s="22" t="str">
        <x:f>IF(B495="","",IF(C495="","Falta ID venta",IF(D495="ID no encontrado","ID venta inválido",IF(COUNTIFS('PAGOS'!$A$5:$A$504,A495,'PAGOS'!$B$5:$B$504,"&gt;0")&gt;1,"ID duplicado",IF(AND(L495&lt;&gt;"",COUNTIFS('PAGOS'!$L$5:$L$504,L495,'PAGOS'!$B$5:$B$504,B495,'PAGOS'!$F$5:$F$504,F495)&gt;1),"Referencia repetida",IF(N495&lt;&gt;"Incluir",N495,IF(NOT(ISNUMBER(K495)),"Falta equivalente","Aplicar")))))))</x:f>
      </x:c>
    </x:row>
    <x:row r="496" ht="25" customHeight="1">
      <x:c r="A496" s="22" t="str">
        <x:v>P-492</x:v>
      </x:c>
      <x:c r="B496" s="25" t="str"/>
      <x:c r="C496" s="26" t="str"/>
      <x:c r="D496" s="22" t="str">
        <x:f>IF(C496="","",IF(COUNTIFS('VENTAS'!$A$5:$A$254,C496,'VENTAS'!$C$5:$C$254,"&lt;&gt;")=1,INDEX('VENTAS'!$C$5:$C$254,MATCH(C496,'VENTAS'!$A$5:$A$254,0)),"ID no encontrado"))</x:f>
      </x:c>
      <x:c r="E496" s="22" t="str">
        <x:f>IF(C496="","",IF(COUNTIFS('VENTAS'!$A$5:$A$254,C496,'VENTAS'!$C$5:$C$254,"&lt;&gt;")=1,INDEX('VENTAS'!$D$5:$D$254,MATCH(C496,'VENTAS'!$A$5:$A$254,0)),"ID no encontrado"))</x:f>
      </x:c>
      <x:c r="F496" s="26" t="str"/>
      <x:c r="G496" s="27" t="str"/>
      <x:c r="H496" s="27" t="str"/>
      <x:c r="I496" s="26" t="str"/>
      <x:c r="J496" s="30" t="str"/>
      <x:c r="K496" s="28" t="str">
        <x:f>IF(B496="","",IF(ISNUMBER(H496),H496,IF(AND(ISNUMBER(G496),ISNUMBER(J496),J496&gt;0),ROUND(G496/J496,2),"")))</x:f>
      </x:c>
      <x:c r="L496" s="31" t="str"/>
      <x:c r="M496" s="26" t="str"/>
      <x:c r="N496" s="26" t="str">
        <x:v>Incluir</x:v>
      </x:c>
      <x:c r="O496" s="22" t="str"/>
      <x:c r="P496" s="22" t="str"/>
      <x:c r="Q496" s="22" t="str">
        <x:f>IF(B496="","",IF(C496="","Falta ID venta",IF(D496="ID no encontrado","ID venta inválido",IF(COUNTIFS('PAGOS'!$A$5:$A$504,A496,'PAGOS'!$B$5:$B$504,"&gt;0")&gt;1,"ID duplicado",IF(AND(L496&lt;&gt;"",COUNTIFS('PAGOS'!$L$5:$L$504,L496,'PAGOS'!$B$5:$B$504,B496,'PAGOS'!$F$5:$F$504,F496)&gt;1),"Referencia repetida",IF(N496&lt;&gt;"Incluir",N496,IF(NOT(ISNUMBER(K496)),"Falta equivalente","Aplicar")))))))</x:f>
      </x:c>
    </x:row>
    <x:row r="497" ht="25" customHeight="1">
      <x:c r="A497" s="22" t="str">
        <x:v>P-493</x:v>
      </x:c>
      <x:c r="B497" s="25" t="str"/>
      <x:c r="C497" s="26" t="str"/>
      <x:c r="D497" s="22" t="str">
        <x:f>IF(C497="","",IF(COUNTIFS('VENTAS'!$A$5:$A$254,C497,'VENTAS'!$C$5:$C$254,"&lt;&gt;")=1,INDEX('VENTAS'!$C$5:$C$254,MATCH(C497,'VENTAS'!$A$5:$A$254,0)),"ID no encontrado"))</x:f>
      </x:c>
      <x:c r="E497" s="22" t="str">
        <x:f>IF(C497="","",IF(COUNTIFS('VENTAS'!$A$5:$A$254,C497,'VENTAS'!$C$5:$C$254,"&lt;&gt;")=1,INDEX('VENTAS'!$D$5:$D$254,MATCH(C497,'VENTAS'!$A$5:$A$254,0)),"ID no encontrado"))</x:f>
      </x:c>
      <x:c r="F497" s="26" t="str"/>
      <x:c r="G497" s="27" t="str"/>
      <x:c r="H497" s="27" t="str"/>
      <x:c r="I497" s="26" t="str"/>
      <x:c r="J497" s="30" t="str"/>
      <x:c r="K497" s="28" t="str">
        <x:f>IF(B497="","",IF(ISNUMBER(H497),H497,IF(AND(ISNUMBER(G497),ISNUMBER(J497),J497&gt;0),ROUND(G497/J497,2),"")))</x:f>
      </x:c>
      <x:c r="L497" s="31" t="str"/>
      <x:c r="M497" s="26" t="str"/>
      <x:c r="N497" s="26" t="str">
        <x:v>Incluir</x:v>
      </x:c>
      <x:c r="O497" s="22" t="str"/>
      <x:c r="P497" s="22" t="str"/>
      <x:c r="Q497" s="22" t="str">
        <x:f>IF(B497="","",IF(C497="","Falta ID venta",IF(D497="ID no encontrado","ID venta inválido",IF(COUNTIFS('PAGOS'!$A$5:$A$504,A497,'PAGOS'!$B$5:$B$504,"&gt;0")&gt;1,"ID duplicado",IF(AND(L497&lt;&gt;"",COUNTIFS('PAGOS'!$L$5:$L$504,L497,'PAGOS'!$B$5:$B$504,B497,'PAGOS'!$F$5:$F$504,F497)&gt;1),"Referencia repetida",IF(N497&lt;&gt;"Incluir",N497,IF(NOT(ISNUMBER(K497)),"Falta equivalente","Aplicar")))))))</x:f>
      </x:c>
    </x:row>
    <x:row r="498" ht="25" customHeight="1">
      <x:c r="A498" s="22" t="str">
        <x:v>P-494</x:v>
      </x:c>
      <x:c r="B498" s="25" t="str"/>
      <x:c r="C498" s="26" t="str"/>
      <x:c r="D498" s="22" t="str">
        <x:f>IF(C498="","",IF(COUNTIFS('VENTAS'!$A$5:$A$254,C498,'VENTAS'!$C$5:$C$254,"&lt;&gt;")=1,INDEX('VENTAS'!$C$5:$C$254,MATCH(C498,'VENTAS'!$A$5:$A$254,0)),"ID no encontrado"))</x:f>
      </x:c>
      <x:c r="E498" s="22" t="str">
        <x:f>IF(C498="","",IF(COUNTIFS('VENTAS'!$A$5:$A$254,C498,'VENTAS'!$C$5:$C$254,"&lt;&gt;")=1,INDEX('VENTAS'!$D$5:$D$254,MATCH(C498,'VENTAS'!$A$5:$A$254,0)),"ID no encontrado"))</x:f>
      </x:c>
      <x:c r="F498" s="26" t="str"/>
      <x:c r="G498" s="27" t="str"/>
      <x:c r="H498" s="27" t="str"/>
      <x:c r="I498" s="26" t="str"/>
      <x:c r="J498" s="30" t="str"/>
      <x:c r="K498" s="28" t="str">
        <x:f>IF(B498="","",IF(ISNUMBER(H498),H498,IF(AND(ISNUMBER(G498),ISNUMBER(J498),J498&gt;0),ROUND(G498/J498,2),"")))</x:f>
      </x:c>
      <x:c r="L498" s="31" t="str"/>
      <x:c r="M498" s="26" t="str"/>
      <x:c r="N498" s="26" t="str">
        <x:v>Incluir</x:v>
      </x:c>
      <x:c r="O498" s="22" t="str"/>
      <x:c r="P498" s="22" t="str"/>
      <x:c r="Q498" s="22" t="str">
        <x:f>IF(B498="","",IF(C498="","Falta ID venta",IF(D498="ID no encontrado","ID venta inválido",IF(COUNTIFS('PAGOS'!$A$5:$A$504,A498,'PAGOS'!$B$5:$B$504,"&gt;0")&gt;1,"ID duplicado",IF(AND(L498&lt;&gt;"",COUNTIFS('PAGOS'!$L$5:$L$504,L498,'PAGOS'!$B$5:$B$504,B498,'PAGOS'!$F$5:$F$504,F498)&gt;1),"Referencia repetida",IF(N498&lt;&gt;"Incluir",N498,IF(NOT(ISNUMBER(K498)),"Falta equivalente","Aplicar")))))))</x:f>
      </x:c>
    </x:row>
    <x:row r="499" ht="25" customHeight="1">
      <x:c r="A499" s="22" t="str">
        <x:v>P-495</x:v>
      </x:c>
      <x:c r="B499" s="25" t="str"/>
      <x:c r="C499" s="26" t="str"/>
      <x:c r="D499" s="22" t="str">
        <x:f>IF(C499="","",IF(COUNTIFS('VENTAS'!$A$5:$A$254,C499,'VENTAS'!$C$5:$C$254,"&lt;&gt;")=1,INDEX('VENTAS'!$C$5:$C$254,MATCH(C499,'VENTAS'!$A$5:$A$254,0)),"ID no encontrado"))</x:f>
      </x:c>
      <x:c r="E499" s="22" t="str">
        <x:f>IF(C499="","",IF(COUNTIFS('VENTAS'!$A$5:$A$254,C499,'VENTAS'!$C$5:$C$254,"&lt;&gt;")=1,INDEX('VENTAS'!$D$5:$D$254,MATCH(C499,'VENTAS'!$A$5:$A$254,0)),"ID no encontrado"))</x:f>
      </x:c>
      <x:c r="F499" s="26" t="str"/>
      <x:c r="G499" s="27" t="str"/>
      <x:c r="H499" s="27" t="str"/>
      <x:c r="I499" s="26" t="str"/>
      <x:c r="J499" s="30" t="str"/>
      <x:c r="K499" s="28" t="str">
        <x:f>IF(B499="","",IF(ISNUMBER(H499),H499,IF(AND(ISNUMBER(G499),ISNUMBER(J499),J499&gt;0),ROUND(G499/J499,2),"")))</x:f>
      </x:c>
      <x:c r="L499" s="31" t="str"/>
      <x:c r="M499" s="26" t="str"/>
      <x:c r="N499" s="26" t="str">
        <x:v>Incluir</x:v>
      </x:c>
      <x:c r="O499" s="22" t="str"/>
      <x:c r="P499" s="22" t="str"/>
      <x:c r="Q499" s="22" t="str">
        <x:f>IF(B499="","",IF(C499="","Falta ID venta",IF(D499="ID no encontrado","ID venta inválido",IF(COUNTIFS('PAGOS'!$A$5:$A$504,A499,'PAGOS'!$B$5:$B$504,"&gt;0")&gt;1,"ID duplicado",IF(AND(L499&lt;&gt;"",COUNTIFS('PAGOS'!$L$5:$L$504,L499,'PAGOS'!$B$5:$B$504,B499,'PAGOS'!$F$5:$F$504,F499)&gt;1),"Referencia repetida",IF(N499&lt;&gt;"Incluir",N499,IF(NOT(ISNUMBER(K499)),"Falta equivalente","Aplicar")))))))</x:f>
      </x:c>
    </x:row>
    <x:row r="500" ht="25" customHeight="1">
      <x:c r="A500" s="22" t="str">
        <x:v>P-496</x:v>
      </x:c>
      <x:c r="B500" s="25" t="str"/>
      <x:c r="C500" s="26" t="str"/>
      <x:c r="D500" s="22" t="str">
        <x:f>IF(C500="","",IF(COUNTIFS('VENTAS'!$A$5:$A$254,C500,'VENTAS'!$C$5:$C$254,"&lt;&gt;")=1,INDEX('VENTAS'!$C$5:$C$254,MATCH(C500,'VENTAS'!$A$5:$A$254,0)),"ID no encontrado"))</x:f>
      </x:c>
      <x:c r="E500" s="22" t="str">
        <x:f>IF(C500="","",IF(COUNTIFS('VENTAS'!$A$5:$A$254,C500,'VENTAS'!$C$5:$C$254,"&lt;&gt;")=1,INDEX('VENTAS'!$D$5:$D$254,MATCH(C500,'VENTAS'!$A$5:$A$254,0)),"ID no encontrado"))</x:f>
      </x:c>
      <x:c r="F500" s="26" t="str"/>
      <x:c r="G500" s="27" t="str"/>
      <x:c r="H500" s="27" t="str"/>
      <x:c r="I500" s="26" t="str"/>
      <x:c r="J500" s="30" t="str"/>
      <x:c r="K500" s="28" t="str">
        <x:f>IF(B500="","",IF(ISNUMBER(H500),H500,IF(AND(ISNUMBER(G500),ISNUMBER(J500),J500&gt;0),ROUND(G500/J500,2),"")))</x:f>
      </x:c>
      <x:c r="L500" s="31" t="str"/>
      <x:c r="M500" s="26" t="str"/>
      <x:c r="N500" s="26" t="str">
        <x:v>Incluir</x:v>
      </x:c>
      <x:c r="O500" s="22" t="str"/>
      <x:c r="P500" s="22" t="str"/>
      <x:c r="Q500" s="22" t="str">
        <x:f>IF(B500="","",IF(C500="","Falta ID venta",IF(D500="ID no encontrado","ID venta inválido",IF(COUNTIFS('PAGOS'!$A$5:$A$504,A500,'PAGOS'!$B$5:$B$504,"&gt;0")&gt;1,"ID duplicado",IF(AND(L500&lt;&gt;"",COUNTIFS('PAGOS'!$L$5:$L$504,L500,'PAGOS'!$B$5:$B$504,B500,'PAGOS'!$F$5:$F$504,F500)&gt;1),"Referencia repetida",IF(N500&lt;&gt;"Incluir",N500,IF(NOT(ISNUMBER(K500)),"Falta equivalente","Aplicar")))))))</x:f>
      </x:c>
    </x:row>
    <x:row r="501" ht="25" customHeight="1">
      <x:c r="A501" s="22" t="str">
        <x:v>P-497</x:v>
      </x:c>
      <x:c r="B501" s="25" t="str"/>
      <x:c r="C501" s="26" t="str"/>
      <x:c r="D501" s="22" t="str">
        <x:f>IF(C501="","",IF(COUNTIFS('VENTAS'!$A$5:$A$254,C501,'VENTAS'!$C$5:$C$254,"&lt;&gt;")=1,INDEX('VENTAS'!$C$5:$C$254,MATCH(C501,'VENTAS'!$A$5:$A$254,0)),"ID no encontrado"))</x:f>
      </x:c>
      <x:c r="E501" s="22" t="str">
        <x:f>IF(C501="","",IF(COUNTIFS('VENTAS'!$A$5:$A$254,C501,'VENTAS'!$C$5:$C$254,"&lt;&gt;")=1,INDEX('VENTAS'!$D$5:$D$254,MATCH(C501,'VENTAS'!$A$5:$A$254,0)),"ID no encontrado"))</x:f>
      </x:c>
      <x:c r="F501" s="26" t="str"/>
      <x:c r="G501" s="27" t="str"/>
      <x:c r="H501" s="27" t="str"/>
      <x:c r="I501" s="26" t="str"/>
      <x:c r="J501" s="30" t="str"/>
      <x:c r="K501" s="28" t="str">
        <x:f>IF(B501="","",IF(ISNUMBER(H501),H501,IF(AND(ISNUMBER(G501),ISNUMBER(J501),J501&gt;0),ROUND(G501/J501,2),"")))</x:f>
      </x:c>
      <x:c r="L501" s="31" t="str"/>
      <x:c r="M501" s="26" t="str"/>
      <x:c r="N501" s="26" t="str">
        <x:v>Incluir</x:v>
      </x:c>
      <x:c r="O501" s="22" t="str"/>
      <x:c r="P501" s="22" t="str"/>
      <x:c r="Q501" s="22" t="str">
        <x:f>IF(B501="","",IF(C501="","Falta ID venta",IF(D501="ID no encontrado","ID venta inválido",IF(COUNTIFS('PAGOS'!$A$5:$A$504,A501,'PAGOS'!$B$5:$B$504,"&gt;0")&gt;1,"ID duplicado",IF(AND(L501&lt;&gt;"",COUNTIFS('PAGOS'!$L$5:$L$504,L501,'PAGOS'!$B$5:$B$504,B501,'PAGOS'!$F$5:$F$504,F501)&gt;1),"Referencia repetida",IF(N501&lt;&gt;"Incluir",N501,IF(NOT(ISNUMBER(K501)),"Falta equivalente","Aplicar")))))))</x:f>
      </x:c>
    </x:row>
    <x:row r="502" ht="25" customHeight="1">
      <x:c r="A502" s="22" t="str">
        <x:v>P-498</x:v>
      </x:c>
      <x:c r="B502" s="25" t="str"/>
      <x:c r="C502" s="26" t="str"/>
      <x:c r="D502" s="22" t="str">
        <x:f>IF(C502="","",IF(COUNTIFS('VENTAS'!$A$5:$A$254,C502,'VENTAS'!$C$5:$C$254,"&lt;&gt;")=1,INDEX('VENTAS'!$C$5:$C$254,MATCH(C502,'VENTAS'!$A$5:$A$254,0)),"ID no encontrado"))</x:f>
      </x:c>
      <x:c r="E502" s="22" t="str">
        <x:f>IF(C502="","",IF(COUNTIFS('VENTAS'!$A$5:$A$254,C502,'VENTAS'!$C$5:$C$254,"&lt;&gt;")=1,INDEX('VENTAS'!$D$5:$D$254,MATCH(C502,'VENTAS'!$A$5:$A$254,0)),"ID no encontrado"))</x:f>
      </x:c>
      <x:c r="F502" s="26" t="str"/>
      <x:c r="G502" s="27" t="str"/>
      <x:c r="H502" s="27" t="str"/>
      <x:c r="I502" s="26" t="str"/>
      <x:c r="J502" s="30" t="str"/>
      <x:c r="K502" s="28" t="str">
        <x:f>IF(B502="","",IF(ISNUMBER(H502),H502,IF(AND(ISNUMBER(G502),ISNUMBER(J502),J502&gt;0),ROUND(G502/J502,2),"")))</x:f>
      </x:c>
      <x:c r="L502" s="31" t="str"/>
      <x:c r="M502" s="26" t="str"/>
      <x:c r="N502" s="26" t="str">
        <x:v>Incluir</x:v>
      </x:c>
      <x:c r="O502" s="22" t="str"/>
      <x:c r="P502" s="22" t="str"/>
      <x:c r="Q502" s="22" t="str">
        <x:f>IF(B502="","",IF(C502="","Falta ID venta",IF(D502="ID no encontrado","ID venta inválido",IF(COUNTIFS('PAGOS'!$A$5:$A$504,A502,'PAGOS'!$B$5:$B$504,"&gt;0")&gt;1,"ID duplicado",IF(AND(L502&lt;&gt;"",COUNTIFS('PAGOS'!$L$5:$L$504,L502,'PAGOS'!$B$5:$B$504,B502,'PAGOS'!$F$5:$F$504,F502)&gt;1),"Referencia repetida",IF(N502&lt;&gt;"Incluir",N502,IF(NOT(ISNUMBER(K502)),"Falta equivalente","Aplicar")))))))</x:f>
      </x:c>
    </x:row>
    <x:row r="503" ht="25" customHeight="1">
      <x:c r="A503" s="22" t="str">
        <x:v>P-499</x:v>
      </x:c>
      <x:c r="B503" s="25" t="str"/>
      <x:c r="C503" s="26" t="str"/>
      <x:c r="D503" s="22" t="str">
        <x:f>IF(C503="","",IF(COUNTIFS('VENTAS'!$A$5:$A$254,C503,'VENTAS'!$C$5:$C$254,"&lt;&gt;")=1,INDEX('VENTAS'!$C$5:$C$254,MATCH(C503,'VENTAS'!$A$5:$A$254,0)),"ID no encontrado"))</x:f>
      </x:c>
      <x:c r="E503" s="22" t="str">
        <x:f>IF(C503="","",IF(COUNTIFS('VENTAS'!$A$5:$A$254,C503,'VENTAS'!$C$5:$C$254,"&lt;&gt;")=1,INDEX('VENTAS'!$D$5:$D$254,MATCH(C503,'VENTAS'!$A$5:$A$254,0)),"ID no encontrado"))</x:f>
      </x:c>
      <x:c r="F503" s="26" t="str"/>
      <x:c r="G503" s="27" t="str"/>
      <x:c r="H503" s="27" t="str"/>
      <x:c r="I503" s="26" t="str"/>
      <x:c r="J503" s="30" t="str"/>
      <x:c r="K503" s="28" t="str">
        <x:f>IF(B503="","",IF(ISNUMBER(H503),H503,IF(AND(ISNUMBER(G503),ISNUMBER(J503),J503&gt;0),ROUND(G503/J503,2),"")))</x:f>
      </x:c>
      <x:c r="L503" s="31" t="str"/>
      <x:c r="M503" s="26" t="str"/>
      <x:c r="N503" s="26" t="str">
        <x:v>Incluir</x:v>
      </x:c>
      <x:c r="O503" s="22" t="str"/>
      <x:c r="P503" s="22" t="str"/>
      <x:c r="Q503" s="22" t="str">
        <x:f>IF(B503="","",IF(C503="","Falta ID venta",IF(D503="ID no encontrado","ID venta inválido",IF(COUNTIFS('PAGOS'!$A$5:$A$504,A503,'PAGOS'!$B$5:$B$504,"&gt;0")&gt;1,"ID duplicado",IF(AND(L503&lt;&gt;"",COUNTIFS('PAGOS'!$L$5:$L$504,L503,'PAGOS'!$B$5:$B$504,B503,'PAGOS'!$F$5:$F$504,F503)&gt;1),"Referencia repetida",IF(N503&lt;&gt;"Incluir",N503,IF(NOT(ISNUMBER(K503)),"Falta equivalente","Aplicar")))))))</x:f>
      </x:c>
    </x:row>
    <x:row r="504" ht="25" customHeight="1">
      <x:c r="A504" s="22" t="str">
        <x:v>P-500</x:v>
      </x:c>
      <x:c r="B504" s="25" t="str"/>
      <x:c r="C504" s="26" t="str"/>
      <x:c r="D504" s="22" t="str">
        <x:f>IF(C504="","",IF(COUNTIFS('VENTAS'!$A$5:$A$254,C504,'VENTAS'!$C$5:$C$254,"&lt;&gt;")=1,INDEX('VENTAS'!$C$5:$C$254,MATCH(C504,'VENTAS'!$A$5:$A$254,0)),"ID no encontrado"))</x:f>
      </x:c>
      <x:c r="E504" s="22" t="str">
        <x:f>IF(C504="","",IF(COUNTIFS('VENTAS'!$A$5:$A$254,C504,'VENTAS'!$C$5:$C$254,"&lt;&gt;")=1,INDEX('VENTAS'!$D$5:$D$254,MATCH(C504,'VENTAS'!$A$5:$A$254,0)),"ID no encontrado"))</x:f>
      </x:c>
      <x:c r="F504" s="26" t="str"/>
      <x:c r="G504" s="27" t="str"/>
      <x:c r="H504" s="27" t="str"/>
      <x:c r="I504" s="26" t="str"/>
      <x:c r="J504" s="30" t="str"/>
      <x:c r="K504" s="28" t="str">
        <x:f>IF(B504="","",IF(ISNUMBER(H504),H504,IF(AND(ISNUMBER(G504),ISNUMBER(J504),J504&gt;0),ROUND(G504/J504,2),"")))</x:f>
      </x:c>
      <x:c r="L504" s="31" t="str"/>
      <x:c r="M504" s="26" t="str"/>
      <x:c r="N504" s="26" t="str">
        <x:v>Incluir</x:v>
      </x:c>
      <x:c r="O504" s="22" t="str"/>
      <x:c r="P504" s="22" t="str"/>
      <x:c r="Q504" s="22" t="str">
        <x:f>IF(B504="","",IF(C504="","Falta ID venta",IF(D504="ID no encontrado","ID venta inválido",IF(COUNTIFS('PAGOS'!$A$5:$A$504,A504,'PAGOS'!$B$5:$B$504,"&gt;0")&gt;1,"ID duplicado",IF(AND(L504&lt;&gt;"",COUNTIFS('PAGOS'!$L$5:$L$504,L504,'PAGOS'!$B$5:$B$504,B504,'PAGOS'!$F$5:$F$504,F504)&gt;1),"Referencia repetida",IF(N504&lt;&gt;"Incluir",N504,IF(NOT(ISNUMBER(K504)),"Falta equivalente","Aplicar")))))))</x:f>
      </x:c>
    </x:row>
  </x:sheetData>
  <x:conditionalFormatting sqref="Q5:Q504">
    <x:cfRule type="containsText" dxfId="7" priority="1" operator="containsText" text="Moroso"/>
    <x:cfRule type="containsText" dxfId="8" priority="2" operator="containsText" text="Por conciliar"/>
    <x:cfRule type="containsText" dxfId="9" priority="3" operator="containsText" text="Pagado"/>
    <x:cfRule type="containsText" dxfId="10" priority="4" operator="containsText" text="Revisar"/>
    <x:cfRule type="containsText" dxfId="11" priority="5" operator="containsText" text="Falta"/>
    <x:cfRule type="containsText" dxfId="12" priority="6" operator="containsText" text="duplicad"/>
  </x:conditionalFormatting>
  <x:dataValidations count="5">
    <x:dataValidation type="list" sqref="N5:N504">
      <x:formula1>"Incluir,Revisar,Anulado"</x:formula1>
    </x:dataValidation>
    <x:dataValidation type="list" sqref="F5:F504">
      <x:formula1>"Pago móvil,Efectivo,Binance,Transferencia,Sin confirmar"</x:formula1>
    </x:dataValidation>
    <x:dataValidation type="list" sqref="I5:I504">
      <x:formula1>"BCV,USDT,Divisa,Sin confirmar"</x:formula1>
    </x:dataValidation>
    <x:dataValidation type="list" sqref="M5:M504">
      <x:formula1>"Inicial,Cuota,Abono,Cancelación"</x:formula1>
    </x:dataValidation>
    <x:dataValidation type="list" sqref="C5:C504">
      <x:formula1>INDIRECT("'VENTAS'!$A$5:$A$254")</x:formula1>
    </x:dataValidation>
  </x:dataValidations>
  <x:pageMargins left="0.7" right="0.7" top="0.75" bottom="0.75" header="0.3" footer="0.3"/>
  <x:tableParts count="1">
    <x:tablePart xmlns:r="http://schemas.openxmlformats.org/officeDocument/2006/relationships" r:id="Ra7964adfaebc47df"/>
  </x:tableParts>
</x:worksheet>
</file>

<file path=xl/worksheets/sheet4.xml><?xml version="1.0" encoding="utf-8"?>
<x:worksheet xmlns:x="http://schemas.openxmlformats.org/spreadsheetml/2006/main">
  <x:sheetPr>
    <x:tabColor rgb="FF527F96"/>
  </x:sheetPr>
  <x:sheetViews>
    <x:sheetView showGridLines="0" workbookViewId="0">
      <x:pane xSplit="1" ySplit="4" topLeftCell="B5" activePane="bottomRight" state="frozen"/>
    </x:sheetView>
  </x:sheetViews>
  <x:sheetFormatPr defaultRowHeight="15"/>
  <x:cols>
    <x:col min="1" max="1" width="14" hidden="0" customWidth="1"/>
    <x:col min="2" max="2" width="15" hidden="0" customWidth="1"/>
    <x:col min="3" max="3" width="15" hidden="0" customWidth="1"/>
    <x:col min="4" max="4" width="43" hidden="0" customWidth="1"/>
    <x:col min="5" max="5" width="20" hidden="0" customWidth="1"/>
    <x:col min="6" max="6" width="20" hidden="0" customWidth="1"/>
    <x:col min="7" max="7" width="18" hidden="0" customWidth="1"/>
    <x:col min="8" max="8" width="20" hidden="0" customWidth="1"/>
    <x:col min="9" max="9" width="20" hidden="0" customWidth="1"/>
    <x:col min="10" max="10" width="26" hidden="0" customWidth="1"/>
    <x:col min="11" max="11" width="75" hidden="0" customWidth="1"/>
    <x:col min="12" max="12" width="61" hidden="0" customWidth="1"/>
  </x:cols>
  <x:sheetData>
    <x:row r="1">
      <x:c r="A1" s="22"/>
      <x:c r="B1" s="22"/>
      <x:c r="C1" s="22"/>
      <x:c r="D1" s="22"/>
      <x:c r="E1" s="22"/>
      <x:c r="F1" s="22"/>
      <x:c r="G1" s="22"/>
      <x:c r="H1" s="22"/>
      <x:c r="I1" s="22"/>
      <x:c r="J1" s="22"/>
      <x:c r="K1" s="22"/>
      <x:c r="L1" s="22"/>
    </x:row>
    <x:row r="2">
      <x:c r="A2" s="23" t="str">
        <x:v>Gastos y compras</x:v>
      </x:c>
      <x:c r="B2" s="22"/>
      <x:c r="C2" s="22"/>
      <x:c r="D2" s="22"/>
      <x:c r="E2" s="22"/>
      <x:c r="F2" s="22"/>
      <x:c r="G2" s="22"/>
      <x:c r="H2" s="22"/>
      <x:c r="I2" s="22"/>
      <x:c r="J2" s="22"/>
      <x:c r="K2" s="22"/>
      <x:c r="L2" s="22"/>
    </x:row>
    <x:row r="3">
      <x:c r="A3" s="24" t="str">
        <x:v>Una compra por lote. El detalle original está en FUENTES. Los movimientos “Sin caja” son consumo o publicidad en especie.</x:v>
      </x:c>
      <x:c r="B3" s="22"/>
      <x:c r="C3" s="22"/>
      <x:c r="D3" s="22"/>
      <x:c r="E3" s="22"/>
      <x:c r="F3" s="22"/>
      <x:c r="G3" s="22"/>
      <x:c r="H3" s="22"/>
      <x:c r="I3" s="22"/>
      <x:c r="J3" s="22"/>
      <x:c r="K3" s="22"/>
      <x:c r="L3" s="22"/>
    </x:row>
    <x:row r="4" ht="34" customHeight="1">
      <x:c r="A4" s="11" t="str">
        <x:v>ID egreso</x:v>
      </x:c>
      <x:c r="B4" s="11" t="str">
        <x:v>Fecha</x:v>
      </x:c>
      <x:c r="C4" s="11" t="str">
        <x:v>Tipo</x:v>
      </x:c>
      <x:c r="D4" s="11" t="str">
        <x:v>Concepto / lote</x:v>
      </x:c>
      <x:c r="E4" s="11" t="str">
        <x:v>Importe $ ref.</x:v>
      </x:c>
      <x:c r="F4" s="11" t="str">
        <x:v>Importe Bs</x:v>
      </x:c>
      <x:c r="G4" s="11" t="str">
        <x:v>Base</x:v>
      </x:c>
      <x:c r="H4" s="11" t="str">
        <x:v>Método</x:v>
      </x:c>
      <x:c r="I4" s="11" t="str">
        <x:v>Tratamiento</x:v>
      </x:c>
      <x:c r="J4" s="11" t="str">
        <x:v>Control</x:v>
      </x:c>
      <x:c r="K4" s="11" t="str">
        <x:v>Observaciones</x:v>
      </x:c>
      <x:c r="L4" s="11" t="str">
        <x:v>Origen</x:v>
      </x:c>
    </x:row>
    <x:row r="5" ht="36" customHeight="1">
      <x:c r="A5" s="22" t="str">
        <x:v>E-001</x:v>
      </x:c>
      <x:c r="B5" s="25" t="n">
        <x:v>46249</x:v>
      </x:c>
      <x:c r="C5" s="26" t="str">
        <x:v>Gasto</x:v>
      </x:c>
      <x:c r="D5" s="35" t="str">
        <x:v>GASTO ENVÍO PEDIDO DE CARACAS</x:v>
      </x:c>
      <x:c r="E5" s="27" t="n">
        <x:v>14.92</x:v>
      </x:c>
      <x:c r="F5" s="27" t="n">
        <x:v>13000</x:v>
      </x:c>
      <x:c r="G5" s="26" t="str">
        <x:v>USDT</x:v>
      </x:c>
      <x:c r="H5" s="26" t="str">
        <x:v>BINANCE</x:v>
      </x:c>
      <x:c r="I5" s="26" t="str">
        <x:v>Incluir</x:v>
      </x:c>
      <x:c r="J5" s="22" t="str">
        <x:f>IF(D5="","",IF(B5="","Falta fecha",IF(AND(E5="",F5=""),"Falta monto",IF(I5&lt;&gt;"Incluir",I5,"Registrado"))))</x:f>
        <x:v>Registrado</x:v>
      </x:c>
      <x:c r="K5" s="22" t="str">
        <x:v>GASTO ENVIO PEDIDO DE CARACAS 13.000 14.92 BINANCE</x:v>
      </x:c>
      <x:c r="L5" s="22" t="str">
        <x:v>Excel GASTOS Y COMPRAS!fila 76; chat Gasto de envío 13.000 bs</x:v>
      </x:c>
    </x:row>
    <x:row r="6" ht="36" customHeight="1">
      <x:c r="A6" s="22" t="str">
        <x:v>E-002</x:v>
      </x:c>
      <x:c r="B6" s="25" t="n">
        <x:v>46246</x:v>
      </x:c>
      <x:c r="C6" s="26" t="str">
        <x:v>Gasto</x:v>
      </x:c>
      <x:c r="D6" s="35" t="str">
        <x:v>Muestra para cliente · decant</x:v>
      </x:c>
      <x:c r="E6" s="27" t="n">
        <x:v>1</x:v>
      </x:c>
      <x:c r="F6" s="27" t="str"/>
      <x:c r="G6" s="26" t="str">
        <x:v>USDT</x:v>
      </x:c>
      <x:c r="H6" s="26" t="str">
        <x:v>Sin confirmar</x:v>
      </x:c>
      <x:c r="I6" s="26" t="str">
        <x:v>Sin caja</x:v>
      </x:c>
      <x:c r="J6" s="22" t="str">
        <x:f>IF(D6="","",IF(B6="","Falta fecha",IF(AND(E6="",F6=""),"Falta monto",IF(I6&lt;&gt;"Incluir",I6,"Registrado"))))</x:f>
        <x:v>Sin caja</x:v>
      </x:c>
      <x:c r="K6" s="22" t="str">
        <x:v>GASTO MUESTRA DE CLIENTE DECANST 1 $ COMPRADO EL 10/08/2026 Consumo de producto ya incluido en lote 10/08; no sumar como nueva salida de dinero.</x:v>
      </x:c>
      <x:c r="L6" s="22" t="str">
        <x:v>Excel GASTOS Y COMPRAS!fila 79</x:v>
      </x:c>
    </x:row>
    <x:row r="7" ht="36" customHeight="1">
      <x:c r="A7" s="22" t="str">
        <x:v>E-003</x:v>
      </x:c>
      <x:c r="B7" s="25" t="n">
        <x:v>46246</x:v>
      </x:c>
      <x:c r="C7" s="26" t="str">
        <x:v>Gasto</x:v>
      </x:c>
      <x:c r="D7" s="35" t="str">
        <x:v>GASTO YUMMY (referencia 0612)</x:v>
      </x:c>
      <x:c r="E7" s="27" t="n">
        <x:v>3.34</x:v>
      </x:c>
      <x:c r="F7" s="27" t="n">
        <x:v>2932</x:v>
      </x:c>
      <x:c r="G7" s="26" t="str">
        <x:v>USDT</x:v>
      </x:c>
      <x:c r="H7" s="26" t="str">
        <x:v>BINANCE</x:v>
      </x:c>
      <x:c r="I7" s="26" t="str">
        <x:v>Incluir</x:v>
      </x:c>
      <x:c r="J7" s="22" t="str">
        <x:f>IF(D7="","",IF(B7="","Falta fecha",IF(AND(E7="",F7=""),"Falta monto",IF(I7&lt;&gt;"Incluir",I7,"Registrado"))))</x:f>
        <x:v>Registrado</x:v>
      </x:c>
      <x:c r="K7" s="22" t="str">
        <x:v>GASTO YUMMY 2.932,00 REFERENCIA 0612  3.34 BINANCE</x:v>
      </x:c>
      <x:c r="L7" s="22" t="str">
        <x:v>Excel GASTOS Y COMPRAS!fila 80; chat Gasto de yummy 12/08</x:v>
      </x:c>
    </x:row>
    <x:row r="8" ht="36" customHeight="1">
      <x:c r="A8" s="22" t="str">
        <x:v>E-004</x:v>
      </x:c>
      <x:c r="B8" s="25" t="n">
        <x:v>46192</x:v>
      </x:c>
      <x:c r="C8" s="26" t="str">
        <x:v>Compra</x:v>
      </x:c>
      <x:c r="D8" s="35" t="str">
        <x:v>Lote 19/06/2026</x:v>
      </x:c>
      <x:c r="E8" s="27" t="n">
        <x:v>99</x:v>
      </x:c>
      <x:c r="F8" s="27" t="str"/>
      <x:c r="G8" s="26" t="str">
        <x:v>USDT</x:v>
      </x:c>
      <x:c r="H8" s="26" t="str">
        <x:v>Binance</x:v>
      </x:c>
      <x:c r="I8" s="26" t="str">
        <x:v>Incluir</x:v>
      </x:c>
      <x:c r="J8" s="22" t="str">
        <x:f>IF(D8="","",IF(B8="","Falta fecha",IF(AND(E8="",F8=""),"Falta monto",IF(I8&lt;&gt;"Incluir",I8,"Registrado"))))</x:f>
        <x:v>Registrado</x:v>
      </x:c>
      <x:c r="K8" s="22" t="str">
        <x:v>Suma de ítems 99.00; total declarado 99. Se registra una sola compra por lote.</x:v>
      </x:c>
      <x:c r="L8" s="22" t="str">
        <x:v>Excel GASTOS Y COMPRAS!filas 5,6,7,8,9,10</x:v>
      </x:c>
    </x:row>
    <x:row r="9" ht="36" customHeight="1">
      <x:c r="A9" s="22" t="str">
        <x:v>E-005</x:v>
      </x:c>
      <x:c r="B9" s="25" t="n">
        <x:v>46199</x:v>
      </x:c>
      <x:c r="C9" s="26" t="str">
        <x:v>Compra</x:v>
      </x:c>
      <x:c r="D9" s="35" t="str">
        <x:v>Lote 26/06/2026</x:v>
      </x:c>
      <x:c r="E9" s="27" t="n">
        <x:v>236</x:v>
      </x:c>
      <x:c r="F9" s="27" t="str"/>
      <x:c r="G9" s="26" t="str">
        <x:v>USDT</x:v>
      </x:c>
      <x:c r="H9" s="26" t="str">
        <x:v>Binance</x:v>
      </x:c>
      <x:c r="I9" s="26" t="str">
        <x:v>Incluir</x:v>
      </x:c>
      <x:c r="J9" s="22" t="str">
        <x:f>IF(D9="","",IF(B9="","Falta fecha",IF(AND(E9="",F9=""),"Falta monto",IF(I9&lt;&gt;"Incluir",I9,"Registrado"))))</x:f>
        <x:v>Registrado</x:v>
      </x:c>
      <x:c r="K9" s="22" t="str">
        <x:v>Suma de ítems 235.50; total declarado 236. Se registra una sola compra por lote.</x:v>
      </x:c>
      <x:c r="L9" s="22" t="str">
        <x:v>Excel GASTOS Y COMPRAS!filas 13,14,15,16,17,18,19,20,21,22,23,24,25,26,27,28,29,30,31</x:v>
      </x:c>
    </x:row>
    <x:row r="10" ht="36" customHeight="1">
      <x:c r="A10" s="22" t="str">
        <x:v>E-006</x:v>
      </x:c>
      <x:c r="B10" s="25" t="n">
        <x:v>46204</x:v>
      </x:c>
      <x:c r="C10" s="26" t="str">
        <x:v>Compra</x:v>
      </x:c>
      <x:c r="D10" s="35" t="str">
        <x:v>Lote 01/07/2026</x:v>
      </x:c>
      <x:c r="E10" s="27" t="n">
        <x:v>30</x:v>
      </x:c>
      <x:c r="F10" s="27" t="str"/>
      <x:c r="G10" s="26" t="str">
        <x:v>USDT</x:v>
      </x:c>
      <x:c r="H10" s="26" t="str">
        <x:v>Binance</x:v>
      </x:c>
      <x:c r="I10" s="26" t="str">
        <x:v>Incluir</x:v>
      </x:c>
      <x:c r="J10" s="22" t="str">
        <x:f>IF(D10="","",IF(B10="","Falta fecha",IF(AND(E10="",F10=""),"Falta monto",IF(I10&lt;&gt;"Incluir",I10,"Registrado"))))</x:f>
        <x:v>Registrado</x:v>
      </x:c>
      <x:c r="K10" s="22" t="str">
        <x:v>Suma de ítems 30.00; total declarado 30. Se registra una sola compra por lote.</x:v>
      </x:c>
      <x:c r="L10" s="22" t="str">
        <x:v>Excel GASTOS Y COMPRAS!filas 34,35</x:v>
      </x:c>
    </x:row>
    <x:row r="11" ht="36" customHeight="1">
      <x:c r="A11" s="22" t="str">
        <x:v>E-007</x:v>
      </x:c>
      <x:c r="B11" s="25" t="n">
        <x:v>46242</x:v>
      </x:c>
      <x:c r="C11" s="26" t="str">
        <x:v>Compra</x:v>
      </x:c>
      <x:c r="D11" s="35" t="str">
        <x:v>Lote 08/08/2026</x:v>
      </x:c>
      <x:c r="E11" s="27" t="n">
        <x:v>176</x:v>
      </x:c>
      <x:c r="F11" s="27" t="str"/>
      <x:c r="G11" s="26" t="str">
        <x:v>USDT</x:v>
      </x:c>
      <x:c r="H11" s="26" t="str">
        <x:v>Binance</x:v>
      </x:c>
      <x:c r="I11" s="26" t="str">
        <x:v>Incluir</x:v>
      </x:c>
      <x:c r="J11" s="22" t="str">
        <x:f>IF(D11="","",IF(B11="","Falta fecha",IF(AND(E11="",F11=""),"Falta monto",IF(I11&lt;&gt;"Incluir",I11,"Registrado"))))</x:f>
        <x:v>Registrado</x:v>
      </x:c>
      <x:c r="K11" s="22" t="str">
        <x:v>Suma de ítems 176.00; total declarado 176. Se registra una sola compra por lote.</x:v>
      </x:c>
      <x:c r="L11" s="22" t="str">
        <x:v>Excel GASTOS Y COMPRAS!filas 38,39,40,41,42,43,44,45,46,47,48,49,50,51</x:v>
      </x:c>
    </x:row>
    <x:row r="12" ht="36" customHeight="1">
      <x:c r="A12" s="22" t="str">
        <x:v>E-008</x:v>
      </x:c>
      <x:c r="B12" s="25" t="n">
        <x:v>46244</x:v>
      </x:c>
      <x:c r="C12" s="26" t="str">
        <x:v>Compra</x:v>
      </x:c>
      <x:c r="D12" s="35" t="str">
        <x:v>Lote 10/08/2026</x:v>
      </x:c>
      <x:c r="E12" s="27" t="n">
        <x:v>109</x:v>
      </x:c>
      <x:c r="F12" s="27" t="str"/>
      <x:c r="G12" s="26" t="str">
        <x:v>USDT</x:v>
      </x:c>
      <x:c r="H12" s="26" t="str">
        <x:v>Binance</x:v>
      </x:c>
      <x:c r="I12" s="26" t="str">
        <x:v>Incluir</x:v>
      </x:c>
      <x:c r="J12" s="22" t="str">
        <x:f>IF(D12="","",IF(B12="","Falta fecha",IF(AND(E12="",F12=""),"Falta monto",IF(I12&lt;&gt;"Incluir",I12,"Registrado"))))</x:f>
        <x:v>Registrado</x:v>
      </x:c>
      <x:c r="K12" s="22" t="str">
        <x:v>Suma de ítems 109.00; total declarado 109. Se registra una sola compra por lote.</x:v>
      </x:c>
      <x:c r="L12" s="22" t="str">
        <x:v>Excel GASTOS Y COMPRAS!filas 54,55,56,57,58,59,60,61,62</x:v>
      </x:c>
    </x:row>
    <x:row r="13" ht="36" customHeight="1">
      <x:c r="A13" s="22" t="str">
        <x:v>E-009</x:v>
      </x:c>
      <x:c r="B13" s="25" t="n">
        <x:v>46185</x:v>
      </x:c>
      <x:c r="C13" s="26" t="str">
        <x:v>Compra</x:v>
      </x:c>
      <x:c r="D13" s="35" t="str">
        <x:v>Lote 12/06/2026</x:v>
      </x:c>
      <x:c r="E13" s="27" t="n">
        <x:v>15</x:v>
      </x:c>
      <x:c r="F13" s="27" t="str"/>
      <x:c r="G13" s="26" t="str">
        <x:v>USDT</x:v>
      </x:c>
      <x:c r="H13" s="26" t="str">
        <x:v>Binance</x:v>
      </x:c>
      <x:c r="I13" s="26" t="str">
        <x:v>Incluir</x:v>
      </x:c>
      <x:c r="J13" s="22" t="str">
        <x:f>IF(D13="","",IF(B13="","Falta fecha",IF(AND(E13="",F13=""),"Falta monto",IF(I13&lt;&gt;"Incluir",I13,"Registrado"))))</x:f>
        <x:v>Registrado</x:v>
      </x:c>
      <x:c r="K13" s="22" t="str">
        <x:v>Suma de ítems 15.00; total declarado 15. Se registra una sola compra por lote.</x:v>
      </x:c>
      <x:c r="L13" s="22" t="str">
        <x:v>Excel GASTOS Y COMPRAS!filas 65</x:v>
      </x:c>
    </x:row>
    <x:row r="14" ht="36" customHeight="1">
      <x:c r="A14" s="22" t="str">
        <x:v>E-010</x:v>
      </x:c>
      <x:c r="B14" s="25" t="n">
        <x:v>46246</x:v>
      </x:c>
      <x:c r="C14" s="26" t="str">
        <x:v>Compra</x:v>
      </x:c>
      <x:c r="D14" s="35" t="str">
        <x:v>PEDIDO CARACAS LUKA STORE</x:v>
      </x:c>
      <x:c r="E14" s="27" t="n">
        <x:v>59</x:v>
      </x:c>
      <x:c r="F14" s="27" t="str"/>
      <x:c r="G14" s="26" t="str">
        <x:v>USDT</x:v>
      </x:c>
      <x:c r="H14" s="26" t="str">
        <x:v>Binance</x:v>
      </x:c>
      <x:c r="I14" s="26" t="str">
        <x:v>Incluir</x:v>
      </x:c>
      <x:c r="J14" s="22" t="str">
        <x:f>IF(D14="","",IF(B14="","Falta fecha",IF(AND(E14="",F14=""),"Falta monto",IF(I14&lt;&gt;"Incluir",I14,"Registrado"))))</x:f>
        <x:v>Registrado</x:v>
      </x:c>
      <x:c r="K14" s="22" t="str">
        <x:v>Suma de ítems 57.15; total declarado 59. Se registra una sola compra por lote. Fecha vinculada al pago proveedor Caracas del chat.</x:v>
      </x:c>
      <x:c r="L14" s="22" t="str">
        <x:v>Excel GASTOS Y COMPRAS!filas 68,69,70,71,72,73,74; chat pago proveedor 12/08</x:v>
      </x:c>
    </x:row>
    <x:row r="15" ht="36" customHeight="1">
      <x:c r="A15" s="22" t="str">
        <x:v>E-011</x:v>
      </x:c>
      <x:c r="B15" s="25" t="n">
        <x:v>46246</x:v>
      </x:c>
      <x:c r="C15" s="26" t="str">
        <x:v>Compra</x:v>
      </x:c>
      <x:c r="D15" s="35" t="str">
        <x:v>Lote 12/08/2026</x:v>
      </x:c>
      <x:c r="E15" s="27" t="n">
        <x:v>50</x:v>
      </x:c>
      <x:c r="F15" s="27" t="str"/>
      <x:c r="G15" s="26" t="str">
        <x:v>USDT</x:v>
      </x:c>
      <x:c r="H15" s="26" t="str">
        <x:v>Binance</x:v>
      </x:c>
      <x:c r="I15" s="26" t="str">
        <x:v>Incluir</x:v>
      </x:c>
      <x:c r="J15" s="22" t="str">
        <x:f>IF(D15="","",IF(B15="","Falta fecha",IF(AND(E15="",F15=""),"Falta monto",IF(I15&lt;&gt;"Incluir",I15,"Registrado"))))</x:f>
        <x:v>Registrado</x:v>
      </x:c>
      <x:c r="K15" s="22" t="str">
        <x:v>Suma de ítems 50.00; total declarado None. Se registra una sola compra por lote.</x:v>
      </x:c>
      <x:c r="L15" s="22" t="str">
        <x:v>Excel GASTOS Y COMPRAS!filas 78</x:v>
      </x:c>
    </x:row>
    <x:row r="16" ht="36" customHeight="1">
      <x:c r="A16" s="22" t="str">
        <x:v>E-012</x:v>
      </x:c>
      <x:c r="B16" s="25" t="n">
        <x:v>46232</x:v>
      </x:c>
      <x:c r="C16" s="26" t="str">
        <x:v>Compra</x:v>
      </x:c>
      <x:c r="D16" s="35" t="str">
        <x:v>Tommy</x:v>
      </x:c>
      <x:c r="E16" s="27" t="n">
        <x:v>11</x:v>
      </x:c>
      <x:c r="F16" s="27" t="str"/>
      <x:c r="G16" s="26" t="str">
        <x:v>USD sin tasa</x:v>
      </x:c>
      <x:c r="H16" s="26" t="str">
        <x:v>Sin confirmar</x:v>
      </x:c>
      <x:c r="I16" s="26" t="str">
        <x:v>Incluir</x:v>
      </x:c>
      <x:c r="J16" s="22" t="str">
        <x:f>IF(D16="","",IF(B16="","Falta fecha",IF(AND(E16="",F16=""),"Falta monto",IF(I16&lt;&gt;"Incluir",I16,"Registrado"))))</x:f>
        <x:v>Registrado</x:v>
      </x:c>
      <x:c r="K16" s="22" t="str">
        <x:v>Monto explícito; divisa de liquidación no indicada.</x:v>
      </x:c>
      <x:c r="L16" s="22" t="str">
        <x:v>Chat Compra tommy 11$</x:v>
      </x:c>
    </x:row>
    <x:row r="17" ht="36" customHeight="1">
      <x:c r="A17" s="22" t="str">
        <x:v>E-013</x:v>
      </x:c>
      <x:c r="B17" s="25" t="n">
        <x:v>46232</x:v>
      </x:c>
      <x:c r="C17" s="26" t="str">
        <x:v>Gasto</x:v>
      </x:c>
      <x:c r="D17" s="35" t="str">
        <x:v>Publicidad pagada con producto Tommy</x:v>
      </x:c>
      <x:c r="E17" s="27" t="n">
        <x:v>9.5</x:v>
      </x:c>
      <x:c r="F17" s="27" t="str"/>
      <x:c r="G17" s="26" t="str">
        <x:v>USD sin tasa</x:v>
      </x:c>
      <x:c r="H17" s="26" t="str">
        <x:v>Sin confirmar</x:v>
      </x:c>
      <x:c r="I17" s="26" t="str">
        <x:v>Sin caja</x:v>
      </x:c>
      <x:c r="J17" s="22" t="str">
        <x:f>IF(D17="","",IF(B17="","Falta fecha",IF(AND(E17="",F17=""),"Falta monto",IF(I17&lt;&gt;"Incluir",I17,"Registrado"))))</x:f>
        <x:v>Sin caja</x:v>
      </x:c>
      <x:c r="K17" s="22" t="str">
        <x:v>Gasto en especie. No se suma a caja como otra transferencia.</x:v>
      </x:c>
      <x:c r="L17" s="22" t="str">
        <x:v>Chat Gasto 9.50$ en producto Tommy</x:v>
      </x:c>
    </x:row>
    <x:row r="18" ht="36" customHeight="1">
      <x:c r="A18" s="22" t="str">
        <x:v>E-014</x:v>
      </x:c>
      <x:c r="B18" s="25" t="n">
        <x:v>46254</x:v>
      </x:c>
      <x:c r="C18" s="26" t="str">
        <x:v>Compra</x:v>
      </x:c>
      <x:c r="D18" s="35" t="str">
        <x:v>Mercancía sin detalle</x:v>
      </x:c>
      <x:c r="E18" s="27" t="str"/>
      <x:c r="F18" s="27" t="str"/>
      <x:c r="G18" s="26" t="str">
        <x:v>USDT</x:v>
      </x:c>
      <x:c r="H18" s="26" t="str">
        <x:v>Sin confirmar</x:v>
      </x:c>
      <x:c r="I18" s="26" t="str">
        <x:v>Revisar</x:v>
      </x:c>
      <x:c r="J18" s="22" t="str">
        <x:f>IF(D18="","",IF(B18="","Falta fecha",IF(AND(E18="",F18=""),"Falta monto",IF(I18&lt;&gt;"Incluir",I18,"Registrado"))))</x:f>
        <x:v>Falta monto</x:v>
      </x:c>
      <x:c r="K18" s="22" t="str">
        <x:v>Comprobante omitido; falta monto.</x:v>
      </x:c>
      <x:c r="L18" s="22" t="str">
        <x:v>Chat Compra mercancía 20/08</x:v>
      </x:c>
    </x:row>
    <x:row r="19" ht="36" customHeight="1">
      <x:c r="A19" s="22" t="str">
        <x:v>E-015</x:v>
      </x:c>
      <x:c r="B19" s="25" t="n">
        <x:v>46254</x:v>
      </x:c>
      <x:c r="C19" s="26" t="str">
        <x:v>Gasto</x:v>
      </x:c>
      <x:c r="D19" s="35" t="str">
        <x:v>Transporte</x:v>
      </x:c>
      <x:c r="E19" s="27" t="str"/>
      <x:c r="F19" s="27" t="str"/>
      <x:c r="G19" s="26" t="str">
        <x:v>USDT</x:v>
      </x:c>
      <x:c r="H19" s="26" t="str">
        <x:v>Sin confirmar</x:v>
      </x:c>
      <x:c r="I19" s="26" t="str">
        <x:v>Revisar</x:v>
      </x:c>
      <x:c r="J19" s="22" t="str">
        <x:f>IF(D19="","",IF(B19="","Falta fecha",IF(AND(E19="",F19=""),"Falta monto",IF(I19&lt;&gt;"Incluir",I19,"Registrado"))))</x:f>
        <x:v>Falta monto</x:v>
      </x:c>
      <x:c r="K19" s="22" t="str">
        <x:v>Comprobante omitido; falta monto.</x:v>
      </x:c>
      <x:c r="L19" s="22" t="str">
        <x:v>Chat Gasto transporte 20/08</x:v>
      </x:c>
    </x:row>
    <x:row r="20" ht="36" customHeight="1">
      <x:c r="A20" s="22" t="str">
        <x:v>E-016</x:v>
      </x:c>
      <x:c r="B20" s="25" t="n">
        <x:v>46260</x:v>
      </x:c>
      <x:c r="C20" s="26" t="str">
        <x:v>Compra</x:v>
      </x:c>
      <x:c r="D20" s="35" t="str">
        <x:v>2 Club de Nuit Intense</x:v>
      </x:c>
      <x:c r="E20" s="27" t="str"/>
      <x:c r="F20" s="27" t="n">
        <x:v>27574</x:v>
      </x:c>
      <x:c r="G20" s="26" t="str">
        <x:v>EUR</x:v>
      </x:c>
      <x:c r="H20" s="26" t="str">
        <x:v>Pago móvil</x:v>
      </x:c>
      <x:c r="I20" s="26" t="str">
        <x:v>Revisar</x:v>
      </x:c>
      <x:c r="J20" s="22" t="str">
        <x:f>IF(D20="","",IF(B20="","Falta fecha",IF(AND(E20="",F20=""),"Falta monto",IF(I20&lt;&gt;"Incluir",I20,"Registrado"))))</x:f>
        <x:v>Revisar</x:v>
      </x:c>
      <x:c r="K20" s="22" t="str">
        <x:v>Valor declarado 30 EUR. No se mezcla con USD/USDT; confirmar tasa y moneda.</x:v>
      </x:c>
      <x:c r="L20" s="22" t="str">
        <x:v>Chat 26/08: 27.574; 2 × 15€</x:v>
      </x:c>
    </x:row>
    <x:row r="21" ht="36" customHeight="1">
      <x:c r="A21" s="22" t="str">
        <x:v>E-017</x:v>
      </x:c>
      <x:c r="B21" s="25" t="n">
        <x:v>46263</x:v>
      </x:c>
      <x:c r="C21" s="26" t="str">
        <x:v>Compra</x:v>
      </x:c>
      <x:c r="D21" s="35" t="str">
        <x:v>Lote 9AM / 9PM</x:v>
      </x:c>
      <x:c r="E21" s="27" t="n">
        <x:v>65</x:v>
      </x:c>
      <x:c r="F21" s="27" t="n">
        <x:v>60000</x:v>
      </x:c>
      <x:c r="G21" s="26" t="str">
        <x:v>USDT</x:v>
      </x:c>
      <x:c r="H21" s="26" t="str">
        <x:v>Pago móvil</x:v>
      </x:c>
      <x:c r="I21" s="26" t="str">
        <x:v>Incluir</x:v>
      </x:c>
      <x:c r="J21" s="22" t="str">
        <x:f>IF(D21="","",IF(B21="","Falta fecha",IF(AND(E21="",F21=""),"Falta monto",IF(I21&lt;&gt;"Incluir",I21,"Registrado"))))</x:f>
        <x:v>Registrado</x:v>
      </x:c>
      <x:c r="K21" s="22" t="str">
        <x:v>Lista contiene 11 unidades y costo 5,42; total 65 sugiere 12. Confirmar cantidad.</x:v>
      </x:c>
      <x:c r="L21" s="22" t="str">
        <x:v>Chat 29/08: 60.000 y total 65 USDT</x:v>
      </x:c>
    </x:row>
    <x:row r="22" ht="36" customHeight="1">
      <x:c r="A22" s="22" t="str">
        <x:v>E-018</x:v>
      </x:c>
      <x:c r="B22" s="25" t="n">
        <x:v>46287</x:v>
      </x:c>
      <x:c r="C22" s="26" t="str">
        <x:v>Compra</x:v>
      </x:c>
      <x:c r="D22" s="35" t="str">
        <x:v>Mercancía</x:v>
      </x:c>
      <x:c r="E22" s="27" t="n">
        <x:v>88</x:v>
      </x:c>
      <x:c r="F22" s="27" t="str"/>
      <x:c r="G22" s="26" t="str">
        <x:v>USDT</x:v>
      </x:c>
      <x:c r="H22" s="26" t="str">
        <x:v>Binance</x:v>
      </x:c>
      <x:c r="I22" s="26" t="str">
        <x:v>Incluir</x:v>
      </x:c>
      <x:c r="J22" s="22" t="str">
        <x:f>IF(D22="","",IF(B22="","Falta fecha",IF(AND(E22="",F22=""),"Falta monto",IF(I22&lt;&gt;"Incluir",I22,"Registrado"))))</x:f>
        <x:v>Registrado</x:v>
      </x:c>
      <x:c r="K22" s="22" t="str"/>
      <x:c r="L22" s="22" t="str">
        <x:v>Chat 22/09: 88 USDT y Compra mercancía 88$</x:v>
      </x:c>
    </x:row>
    <x:row r="23" ht="36" customHeight="1">
      <x:c r="A23" s="22" t="str">
        <x:v>E-019</x:v>
      </x:c>
      <x:c r="B23" s="25" t="n">
        <x:v>46287</x:v>
      </x:c>
      <x:c r="C23" s="26" t="str">
        <x:v>Gasto</x:v>
      </x:c>
      <x:c r="D23" s="35" t="str">
        <x:v>Transporte Yummy</x:v>
      </x:c>
      <x:c r="E23" s="27" t="str"/>
      <x:c r="F23" s="27" t="n">
        <x:v>6879</x:v>
      </x:c>
      <x:c r="G23" s="26" t="str">
        <x:v>Bs</x:v>
      </x:c>
      <x:c r="H23" s="26" t="str">
        <x:v>Pago móvil</x:v>
      </x:c>
      <x:c r="I23" s="26" t="str">
        <x:v>Incluir</x:v>
      </x:c>
      <x:c r="J23" s="22" t="str">
        <x:f>IF(D23="","",IF(B23="","Falta fecha",IF(AND(E23="",F23=""),"Falta monto",IF(I23&lt;&gt;"Incluir",I23,"Registrado"))))</x:f>
        <x:v>Registrado</x:v>
      </x:c>
      <x:c r="K23" s="22" t="str">
        <x:v>Monto Bs del mensaje inmediatamente anterior al comprobante.</x:v>
      </x:c>
      <x:c r="L23" s="22" t="str">
        <x:v>Chat 22/09: 6879.00 y Gasto transporte yummy</x:v>
      </x:c>
    </x:row>
    <x:row r="24" ht="36" customHeight="1">
      <x:c r="A24" s="22" t="str">
        <x:v>E-020</x:v>
      </x:c>
      <x:c r="B24" s="25" t="n">
        <x:v>46289</x:v>
      </x:c>
      <x:c r="C24" s="26" t="str">
        <x:v>Gasto</x:v>
      </x:c>
      <x:c r="D24" s="35" t="str">
        <x:v>Chichas para personal</x:v>
      </x:c>
      <x:c r="E24" s="27" t="str"/>
      <x:c r="F24" s="27" t="str"/>
      <x:c r="G24" s="26" t="str">
        <x:v>USDT</x:v>
      </x:c>
      <x:c r="H24" s="26" t="str">
        <x:v>Sin confirmar</x:v>
      </x:c>
      <x:c r="I24" s="26" t="str">
        <x:v>Revisar</x:v>
      </x:c>
      <x:c r="J24" s="22" t="str">
        <x:f>IF(D24="","",IF(B24="","Falta fecha",IF(AND(E24="",F24=""),"Falta monto",IF(I24&lt;&gt;"Incluir",I24,"Registrado"))))</x:f>
        <x:v>Falta monto</x:v>
      </x:c>
      <x:c r="K24" s="22" t="str">
        <x:v>Un solo gasto: solicitud 22/09 y confirmación 24/09. Falta monto.</x:v>
      </x:c>
      <x:c r="L24" s="22" t="str">
        <x:v>Chat solicitud 22/09 y confirmación 24/09</x:v>
      </x:c>
    </x:row>
    <x:row r="25" ht="25" customHeight="1">
      <x:c r="A25" s="22" t="str">
        <x:v>E-021</x:v>
      </x:c>
      <x:c r="B25" s="25" t="str"/>
      <x:c r="C25" s="26" t="str"/>
      <x:c r="D25" s="26" t="str"/>
      <x:c r="E25" s="27" t="str"/>
      <x:c r="F25" s="27" t="str"/>
      <x:c r="G25" s="26" t="str"/>
      <x:c r="H25" s="26" t="str"/>
      <x:c r="I25" s="26" t="str">
        <x:v>Incluir</x:v>
      </x:c>
      <x:c r="J25" s="22" t="str">
        <x:f>IF(D25="","",IF(B25="","Falta fecha",IF(AND(E25="",F25=""),"Falta monto",IF(I25&lt;&gt;"Incluir",I25,"Registrado"))))</x:f>
      </x:c>
      <x:c r="K25" s="22" t="str"/>
      <x:c r="L25" s="22" t="str"/>
    </x:row>
    <x:row r="26" ht="25" customHeight="1">
      <x:c r="A26" s="22" t="str">
        <x:v>E-022</x:v>
      </x:c>
      <x:c r="B26" s="25" t="str"/>
      <x:c r="C26" s="26" t="str"/>
      <x:c r="D26" s="26" t="str"/>
      <x:c r="E26" s="27" t="str"/>
      <x:c r="F26" s="27" t="str"/>
      <x:c r="G26" s="26" t="str"/>
      <x:c r="H26" s="26" t="str"/>
      <x:c r="I26" s="26" t="str">
        <x:v>Incluir</x:v>
      </x:c>
      <x:c r="J26" s="22" t="str">
        <x:f>IF(D26="","",IF(B26="","Falta fecha",IF(AND(E26="",F26=""),"Falta monto",IF(I26&lt;&gt;"Incluir",I26,"Registrado"))))</x:f>
      </x:c>
      <x:c r="K26" s="22" t="str"/>
      <x:c r="L26" s="22" t="str"/>
    </x:row>
    <x:row r="27" ht="25" customHeight="1">
      <x:c r="A27" s="22" t="str">
        <x:v>E-023</x:v>
      </x:c>
      <x:c r="B27" s="25" t="str"/>
      <x:c r="C27" s="26" t="str"/>
      <x:c r="D27" s="26" t="str"/>
      <x:c r="E27" s="27" t="str"/>
      <x:c r="F27" s="27" t="str"/>
      <x:c r="G27" s="26" t="str"/>
      <x:c r="H27" s="26" t="str"/>
      <x:c r="I27" s="26" t="str">
        <x:v>Incluir</x:v>
      </x:c>
      <x:c r="J27" s="22" t="str">
        <x:f>IF(D27="","",IF(B27="","Falta fecha",IF(AND(E27="",F27=""),"Falta monto",IF(I27&lt;&gt;"Incluir",I27,"Registrado"))))</x:f>
      </x:c>
      <x:c r="K27" s="22" t="str"/>
      <x:c r="L27" s="22" t="str"/>
    </x:row>
    <x:row r="28" ht="25" customHeight="1">
      <x:c r="A28" s="22" t="str">
        <x:v>E-024</x:v>
      </x:c>
      <x:c r="B28" s="25" t="str"/>
      <x:c r="C28" s="26" t="str"/>
      <x:c r="D28" s="26" t="str"/>
      <x:c r="E28" s="27" t="str"/>
      <x:c r="F28" s="27" t="str"/>
      <x:c r="G28" s="26" t="str"/>
      <x:c r="H28" s="26" t="str"/>
      <x:c r="I28" s="26" t="str">
        <x:v>Incluir</x:v>
      </x:c>
      <x:c r="J28" s="22" t="str">
        <x:f>IF(D28="","",IF(B28="","Falta fecha",IF(AND(E28="",F28=""),"Falta monto",IF(I28&lt;&gt;"Incluir",I28,"Registrado"))))</x:f>
      </x:c>
      <x:c r="K28" s="22" t="str"/>
      <x:c r="L28" s="22" t="str"/>
    </x:row>
    <x:row r="29" ht="25" customHeight="1">
      <x:c r="A29" s="22" t="str">
        <x:v>E-025</x:v>
      </x:c>
      <x:c r="B29" s="25" t="str"/>
      <x:c r="C29" s="26" t="str"/>
      <x:c r="D29" s="26" t="str"/>
      <x:c r="E29" s="27" t="str"/>
      <x:c r="F29" s="27" t="str"/>
      <x:c r="G29" s="26" t="str"/>
      <x:c r="H29" s="26" t="str"/>
      <x:c r="I29" s="26" t="str">
        <x:v>Incluir</x:v>
      </x:c>
      <x:c r="J29" s="22" t="str">
        <x:f>IF(D29="","",IF(B29="","Falta fecha",IF(AND(E29="",F29=""),"Falta monto",IF(I29&lt;&gt;"Incluir",I29,"Registrado"))))</x:f>
      </x:c>
      <x:c r="K29" s="22" t="str"/>
      <x:c r="L29" s="22" t="str"/>
    </x:row>
    <x:row r="30" ht="25" customHeight="1">
      <x:c r="A30" s="22" t="str">
        <x:v>E-026</x:v>
      </x:c>
      <x:c r="B30" s="25" t="str"/>
      <x:c r="C30" s="26" t="str"/>
      <x:c r="D30" s="26" t="str"/>
      <x:c r="E30" s="27" t="str"/>
      <x:c r="F30" s="27" t="str"/>
      <x:c r="G30" s="26" t="str"/>
      <x:c r="H30" s="26" t="str"/>
      <x:c r="I30" s="26" t="str">
        <x:v>Incluir</x:v>
      </x:c>
      <x:c r="J30" s="22" t="str">
        <x:f>IF(D30="","",IF(B30="","Falta fecha",IF(AND(E30="",F30=""),"Falta monto",IF(I30&lt;&gt;"Incluir",I30,"Registrado"))))</x:f>
      </x:c>
      <x:c r="K30" s="22" t="str"/>
      <x:c r="L30" s="22" t="str"/>
    </x:row>
    <x:row r="31" ht="25" customHeight="1">
      <x:c r="A31" s="22" t="str">
        <x:v>E-027</x:v>
      </x:c>
      <x:c r="B31" s="25" t="str"/>
      <x:c r="C31" s="26" t="str"/>
      <x:c r="D31" s="26" t="str"/>
      <x:c r="E31" s="27" t="str"/>
      <x:c r="F31" s="27" t="str"/>
      <x:c r="G31" s="26" t="str"/>
      <x:c r="H31" s="26" t="str"/>
      <x:c r="I31" s="26" t="str">
        <x:v>Incluir</x:v>
      </x:c>
      <x:c r="J31" s="22" t="str">
        <x:f>IF(D31="","",IF(B31="","Falta fecha",IF(AND(E31="",F31=""),"Falta monto",IF(I31&lt;&gt;"Incluir",I31,"Registrado"))))</x:f>
      </x:c>
      <x:c r="K31" s="22" t="str"/>
      <x:c r="L31" s="22" t="str"/>
    </x:row>
    <x:row r="32" ht="25" customHeight="1">
      <x:c r="A32" s="22" t="str">
        <x:v>E-028</x:v>
      </x:c>
      <x:c r="B32" s="25" t="str"/>
      <x:c r="C32" s="26" t="str"/>
      <x:c r="D32" s="26" t="str"/>
      <x:c r="E32" s="27" t="str"/>
      <x:c r="F32" s="27" t="str"/>
      <x:c r="G32" s="26" t="str"/>
      <x:c r="H32" s="26" t="str"/>
      <x:c r="I32" s="26" t="str">
        <x:v>Incluir</x:v>
      </x:c>
      <x:c r="J32" s="22" t="str">
        <x:f>IF(D32="","",IF(B32="","Falta fecha",IF(AND(E32="",F32=""),"Falta monto",IF(I32&lt;&gt;"Incluir",I32,"Registrado"))))</x:f>
      </x:c>
      <x:c r="K32" s="22" t="str"/>
      <x:c r="L32" s="22" t="str"/>
    </x:row>
    <x:row r="33" ht="25" customHeight="1">
      <x:c r="A33" s="22" t="str">
        <x:v>E-029</x:v>
      </x:c>
      <x:c r="B33" s="25" t="str"/>
      <x:c r="C33" s="26" t="str"/>
      <x:c r="D33" s="26" t="str"/>
      <x:c r="E33" s="27" t="str"/>
      <x:c r="F33" s="27" t="str"/>
      <x:c r="G33" s="26" t="str"/>
      <x:c r="H33" s="26" t="str"/>
      <x:c r="I33" s="26" t="str">
        <x:v>Incluir</x:v>
      </x:c>
      <x:c r="J33" s="22" t="str">
        <x:f>IF(D33="","",IF(B33="","Falta fecha",IF(AND(E33="",F33=""),"Falta monto",IF(I33&lt;&gt;"Incluir",I33,"Registrado"))))</x:f>
      </x:c>
      <x:c r="K33" s="22" t="str"/>
      <x:c r="L33" s="22" t="str"/>
    </x:row>
    <x:row r="34" ht="25" customHeight="1">
      <x:c r="A34" s="22" t="str">
        <x:v>E-030</x:v>
      </x:c>
      <x:c r="B34" s="25" t="str"/>
      <x:c r="C34" s="26" t="str"/>
      <x:c r="D34" s="26" t="str"/>
      <x:c r="E34" s="27" t="str"/>
      <x:c r="F34" s="27" t="str"/>
      <x:c r="G34" s="26" t="str"/>
      <x:c r="H34" s="26" t="str"/>
      <x:c r="I34" s="26" t="str">
        <x:v>Incluir</x:v>
      </x:c>
      <x:c r="J34" s="22" t="str">
        <x:f>IF(D34="","",IF(B34="","Falta fecha",IF(AND(E34="",F34=""),"Falta monto",IF(I34&lt;&gt;"Incluir",I34,"Registrado"))))</x:f>
      </x:c>
      <x:c r="K34" s="22" t="str"/>
      <x:c r="L34" s="22" t="str"/>
    </x:row>
    <x:row r="35" ht="25" customHeight="1">
      <x:c r="A35" s="22" t="str">
        <x:v>E-031</x:v>
      </x:c>
      <x:c r="B35" s="25" t="str"/>
      <x:c r="C35" s="26" t="str"/>
      <x:c r="D35" s="26" t="str"/>
      <x:c r="E35" s="27" t="str"/>
      <x:c r="F35" s="27" t="str"/>
      <x:c r="G35" s="26" t="str"/>
      <x:c r="H35" s="26" t="str"/>
      <x:c r="I35" s="26" t="str">
        <x:v>Incluir</x:v>
      </x:c>
      <x:c r="J35" s="22" t="str">
        <x:f>IF(D35="","",IF(B35="","Falta fecha",IF(AND(E35="",F35=""),"Falta monto",IF(I35&lt;&gt;"Incluir",I35,"Registrado"))))</x:f>
      </x:c>
      <x:c r="K35" s="22" t="str"/>
      <x:c r="L35" s="22" t="str"/>
    </x:row>
    <x:row r="36" ht="25" customHeight="1">
      <x:c r="A36" s="22" t="str">
        <x:v>E-032</x:v>
      </x:c>
      <x:c r="B36" s="25" t="str"/>
      <x:c r="C36" s="26" t="str"/>
      <x:c r="D36" s="26" t="str"/>
      <x:c r="E36" s="27" t="str"/>
      <x:c r="F36" s="27" t="str"/>
      <x:c r="G36" s="26" t="str"/>
      <x:c r="H36" s="26" t="str"/>
      <x:c r="I36" s="26" t="str">
        <x:v>Incluir</x:v>
      </x:c>
      <x:c r="J36" s="22" t="str">
        <x:f>IF(D36="","",IF(B36="","Falta fecha",IF(AND(E36="",F36=""),"Falta monto",IF(I36&lt;&gt;"Incluir",I36,"Registrado"))))</x:f>
      </x:c>
      <x:c r="K36" s="22" t="str"/>
      <x:c r="L36" s="22" t="str"/>
    </x:row>
    <x:row r="37" ht="25" customHeight="1">
      <x:c r="A37" s="22" t="str">
        <x:v>E-033</x:v>
      </x:c>
      <x:c r="B37" s="25" t="str"/>
      <x:c r="C37" s="26" t="str"/>
      <x:c r="D37" s="26" t="str"/>
      <x:c r="E37" s="27" t="str"/>
      <x:c r="F37" s="27" t="str"/>
      <x:c r="G37" s="26" t="str"/>
      <x:c r="H37" s="26" t="str"/>
      <x:c r="I37" s="26" t="str">
        <x:v>Incluir</x:v>
      </x:c>
      <x:c r="J37" s="22" t="str">
        <x:f>IF(D37="","",IF(B37="","Falta fecha",IF(AND(E37="",F37=""),"Falta monto",IF(I37&lt;&gt;"Incluir",I37,"Registrado"))))</x:f>
      </x:c>
      <x:c r="K37" s="22" t="str"/>
      <x:c r="L37" s="22" t="str"/>
    </x:row>
    <x:row r="38" ht="25" customHeight="1">
      <x:c r="A38" s="22" t="str">
        <x:v>E-034</x:v>
      </x:c>
      <x:c r="B38" s="25" t="str"/>
      <x:c r="C38" s="26" t="str"/>
      <x:c r="D38" s="26" t="str"/>
      <x:c r="E38" s="27" t="str"/>
      <x:c r="F38" s="27" t="str"/>
      <x:c r="G38" s="26" t="str"/>
      <x:c r="H38" s="26" t="str"/>
      <x:c r="I38" s="26" t="str">
        <x:v>Incluir</x:v>
      </x:c>
      <x:c r="J38" s="22" t="str">
        <x:f>IF(D38="","",IF(B38="","Falta fecha",IF(AND(E38="",F38=""),"Falta monto",IF(I38&lt;&gt;"Incluir",I38,"Registrado"))))</x:f>
      </x:c>
      <x:c r="K38" s="22" t="str"/>
      <x:c r="L38" s="22" t="str"/>
    </x:row>
    <x:row r="39" ht="25" customHeight="1">
      <x:c r="A39" s="22" t="str">
        <x:v>E-035</x:v>
      </x:c>
      <x:c r="B39" s="25" t="str"/>
      <x:c r="C39" s="26" t="str"/>
      <x:c r="D39" s="26" t="str"/>
      <x:c r="E39" s="27" t="str"/>
      <x:c r="F39" s="27" t="str"/>
      <x:c r="G39" s="26" t="str"/>
      <x:c r="H39" s="26" t="str"/>
      <x:c r="I39" s="26" t="str">
        <x:v>Incluir</x:v>
      </x:c>
      <x:c r="J39" s="22" t="str">
        <x:f>IF(D39="","",IF(B39="","Falta fecha",IF(AND(E39="",F39=""),"Falta monto",IF(I39&lt;&gt;"Incluir",I39,"Registrado"))))</x:f>
      </x:c>
      <x:c r="K39" s="22" t="str"/>
      <x:c r="L39" s="22" t="str"/>
    </x:row>
    <x:row r="40" ht="25" customHeight="1">
      <x:c r="A40" s="22" t="str">
        <x:v>E-036</x:v>
      </x:c>
      <x:c r="B40" s="25" t="str"/>
      <x:c r="C40" s="26" t="str"/>
      <x:c r="D40" s="26" t="str"/>
      <x:c r="E40" s="27" t="str"/>
      <x:c r="F40" s="27" t="str"/>
      <x:c r="G40" s="26" t="str"/>
      <x:c r="H40" s="26" t="str"/>
      <x:c r="I40" s="26" t="str">
        <x:v>Incluir</x:v>
      </x:c>
      <x:c r="J40" s="22" t="str">
        <x:f>IF(D40="","",IF(B40="","Falta fecha",IF(AND(E40="",F40=""),"Falta monto",IF(I40&lt;&gt;"Incluir",I40,"Registrado"))))</x:f>
      </x:c>
      <x:c r="K40" s="22" t="str"/>
      <x:c r="L40" s="22" t="str"/>
    </x:row>
    <x:row r="41" ht="25" customHeight="1">
      <x:c r="A41" s="22" t="str">
        <x:v>E-037</x:v>
      </x:c>
      <x:c r="B41" s="25" t="str"/>
      <x:c r="C41" s="26" t="str"/>
      <x:c r="D41" s="26" t="str"/>
      <x:c r="E41" s="27" t="str"/>
      <x:c r="F41" s="27" t="str"/>
      <x:c r="G41" s="26" t="str"/>
      <x:c r="H41" s="26" t="str"/>
      <x:c r="I41" s="26" t="str">
        <x:v>Incluir</x:v>
      </x:c>
      <x:c r="J41" s="22" t="str">
        <x:f>IF(D41="","",IF(B41="","Falta fecha",IF(AND(E41="",F41=""),"Falta monto",IF(I41&lt;&gt;"Incluir",I41,"Registrado"))))</x:f>
      </x:c>
      <x:c r="K41" s="22" t="str"/>
      <x:c r="L41" s="22" t="str"/>
    </x:row>
    <x:row r="42" ht="25" customHeight="1">
      <x:c r="A42" s="22" t="str">
        <x:v>E-038</x:v>
      </x:c>
      <x:c r="B42" s="25" t="str"/>
      <x:c r="C42" s="26" t="str"/>
      <x:c r="D42" s="26" t="str"/>
      <x:c r="E42" s="27" t="str"/>
      <x:c r="F42" s="27" t="str"/>
      <x:c r="G42" s="26" t="str"/>
      <x:c r="H42" s="26" t="str"/>
      <x:c r="I42" s="26" t="str">
        <x:v>Incluir</x:v>
      </x:c>
      <x:c r="J42" s="22" t="str">
        <x:f>IF(D42="","",IF(B42="","Falta fecha",IF(AND(E42="",F42=""),"Falta monto",IF(I42&lt;&gt;"Incluir",I42,"Registrado"))))</x:f>
      </x:c>
      <x:c r="K42" s="22" t="str"/>
      <x:c r="L42" s="22" t="str"/>
    </x:row>
    <x:row r="43" ht="25" customHeight="1">
      <x:c r="A43" s="22" t="str">
        <x:v>E-039</x:v>
      </x:c>
      <x:c r="B43" s="25" t="str"/>
      <x:c r="C43" s="26" t="str"/>
      <x:c r="D43" s="26" t="str"/>
      <x:c r="E43" s="27" t="str"/>
      <x:c r="F43" s="27" t="str"/>
      <x:c r="G43" s="26" t="str"/>
      <x:c r="H43" s="26" t="str"/>
      <x:c r="I43" s="26" t="str">
        <x:v>Incluir</x:v>
      </x:c>
      <x:c r="J43" s="22" t="str">
        <x:f>IF(D43="","",IF(B43="","Falta fecha",IF(AND(E43="",F43=""),"Falta monto",IF(I43&lt;&gt;"Incluir",I43,"Registrado"))))</x:f>
      </x:c>
      <x:c r="K43" s="22" t="str"/>
      <x:c r="L43" s="22" t="str"/>
    </x:row>
    <x:row r="44" ht="25" customHeight="1">
      <x:c r="A44" s="22" t="str">
        <x:v>E-040</x:v>
      </x:c>
      <x:c r="B44" s="25" t="str"/>
      <x:c r="C44" s="26" t="str"/>
      <x:c r="D44" s="26" t="str"/>
      <x:c r="E44" s="27" t="str"/>
      <x:c r="F44" s="27" t="str"/>
      <x:c r="G44" s="26" t="str"/>
      <x:c r="H44" s="26" t="str"/>
      <x:c r="I44" s="26" t="str">
        <x:v>Incluir</x:v>
      </x:c>
      <x:c r="J44" s="22" t="str">
        <x:f>IF(D44="","",IF(B44="","Falta fecha",IF(AND(E44="",F44=""),"Falta monto",IF(I44&lt;&gt;"Incluir",I44,"Registrado"))))</x:f>
      </x:c>
      <x:c r="K44" s="22" t="str"/>
      <x:c r="L44" s="22" t="str"/>
    </x:row>
    <x:row r="45" ht="25" customHeight="1">
      <x:c r="A45" s="22" t="str">
        <x:v>E-041</x:v>
      </x:c>
      <x:c r="B45" s="25" t="str"/>
      <x:c r="C45" s="26" t="str"/>
      <x:c r="D45" s="26" t="str"/>
      <x:c r="E45" s="27" t="str"/>
      <x:c r="F45" s="27" t="str"/>
      <x:c r="G45" s="26" t="str"/>
      <x:c r="H45" s="26" t="str"/>
      <x:c r="I45" s="26" t="str">
        <x:v>Incluir</x:v>
      </x:c>
      <x:c r="J45" s="22" t="str">
        <x:f>IF(D45="","",IF(B45="","Falta fecha",IF(AND(E45="",F45=""),"Falta monto",IF(I45&lt;&gt;"Incluir",I45,"Registrado"))))</x:f>
      </x:c>
      <x:c r="K45" s="22" t="str"/>
      <x:c r="L45" s="22" t="str"/>
    </x:row>
    <x:row r="46" ht="25" customHeight="1">
      <x:c r="A46" s="22" t="str">
        <x:v>E-042</x:v>
      </x:c>
      <x:c r="B46" s="25" t="str"/>
      <x:c r="C46" s="26" t="str"/>
      <x:c r="D46" s="26" t="str"/>
      <x:c r="E46" s="27" t="str"/>
      <x:c r="F46" s="27" t="str"/>
      <x:c r="G46" s="26" t="str"/>
      <x:c r="H46" s="26" t="str"/>
      <x:c r="I46" s="26" t="str">
        <x:v>Incluir</x:v>
      </x:c>
      <x:c r="J46" s="22" t="str">
        <x:f>IF(D46="","",IF(B46="","Falta fecha",IF(AND(E46="",F46=""),"Falta monto",IF(I46&lt;&gt;"Incluir",I46,"Registrado"))))</x:f>
      </x:c>
      <x:c r="K46" s="22" t="str"/>
      <x:c r="L46" s="22" t="str"/>
    </x:row>
    <x:row r="47" ht="25" customHeight="1">
      <x:c r="A47" s="22" t="str">
        <x:v>E-043</x:v>
      </x:c>
      <x:c r="B47" s="25" t="str"/>
      <x:c r="C47" s="26" t="str"/>
      <x:c r="D47" s="26" t="str"/>
      <x:c r="E47" s="27" t="str"/>
      <x:c r="F47" s="27" t="str"/>
      <x:c r="G47" s="26" t="str"/>
      <x:c r="H47" s="26" t="str"/>
      <x:c r="I47" s="26" t="str">
        <x:v>Incluir</x:v>
      </x:c>
      <x:c r="J47" s="22" t="str">
        <x:f>IF(D47="","",IF(B47="","Falta fecha",IF(AND(E47="",F47=""),"Falta monto",IF(I47&lt;&gt;"Incluir",I47,"Registrado"))))</x:f>
      </x:c>
      <x:c r="K47" s="22" t="str"/>
      <x:c r="L47" s="22" t="str"/>
    </x:row>
    <x:row r="48" ht="25" customHeight="1">
      <x:c r="A48" s="22" t="str">
        <x:v>E-044</x:v>
      </x:c>
      <x:c r="B48" s="25" t="str"/>
      <x:c r="C48" s="26" t="str"/>
      <x:c r="D48" s="26" t="str"/>
      <x:c r="E48" s="27" t="str"/>
      <x:c r="F48" s="27" t="str"/>
      <x:c r="G48" s="26" t="str"/>
      <x:c r="H48" s="26" t="str"/>
      <x:c r="I48" s="26" t="str">
        <x:v>Incluir</x:v>
      </x:c>
      <x:c r="J48" s="22" t="str">
        <x:f>IF(D48="","",IF(B48="","Falta fecha",IF(AND(E48="",F48=""),"Falta monto",IF(I48&lt;&gt;"Incluir",I48,"Registrado"))))</x:f>
      </x:c>
      <x:c r="K48" s="22" t="str"/>
      <x:c r="L48" s="22" t="str"/>
    </x:row>
    <x:row r="49" ht="25" customHeight="1">
      <x:c r="A49" s="22" t="str">
        <x:v>E-045</x:v>
      </x:c>
      <x:c r="B49" s="25" t="str"/>
      <x:c r="C49" s="26" t="str"/>
      <x:c r="D49" s="26" t="str"/>
      <x:c r="E49" s="27" t="str"/>
      <x:c r="F49" s="27" t="str"/>
      <x:c r="G49" s="26" t="str"/>
      <x:c r="H49" s="26" t="str"/>
      <x:c r="I49" s="26" t="str">
        <x:v>Incluir</x:v>
      </x:c>
      <x:c r="J49" s="22" t="str">
        <x:f>IF(D49="","",IF(B49="","Falta fecha",IF(AND(E49="",F49=""),"Falta monto",IF(I49&lt;&gt;"Incluir",I49,"Registrado"))))</x:f>
      </x:c>
      <x:c r="K49" s="22" t="str"/>
      <x:c r="L49" s="22" t="str"/>
    </x:row>
    <x:row r="50" ht="25" customHeight="1">
      <x:c r="A50" s="22" t="str">
        <x:v>E-046</x:v>
      </x:c>
      <x:c r="B50" s="25" t="str"/>
      <x:c r="C50" s="26" t="str"/>
      <x:c r="D50" s="26" t="str"/>
      <x:c r="E50" s="27" t="str"/>
      <x:c r="F50" s="27" t="str"/>
      <x:c r="G50" s="26" t="str"/>
      <x:c r="H50" s="26" t="str"/>
      <x:c r="I50" s="26" t="str">
        <x:v>Incluir</x:v>
      </x:c>
      <x:c r="J50" s="22" t="str">
        <x:f>IF(D50="","",IF(B50="","Falta fecha",IF(AND(E50="",F50=""),"Falta monto",IF(I50&lt;&gt;"Incluir",I50,"Registrado"))))</x:f>
      </x:c>
      <x:c r="K50" s="22" t="str"/>
      <x:c r="L50" s="22" t="str"/>
    </x:row>
    <x:row r="51" ht="25" customHeight="1">
      <x:c r="A51" s="22" t="str">
        <x:v>E-047</x:v>
      </x:c>
      <x:c r="B51" s="25" t="str"/>
      <x:c r="C51" s="26" t="str"/>
      <x:c r="D51" s="26" t="str"/>
      <x:c r="E51" s="27" t="str"/>
      <x:c r="F51" s="27" t="str"/>
      <x:c r="G51" s="26" t="str"/>
      <x:c r="H51" s="26" t="str"/>
      <x:c r="I51" s="26" t="str">
        <x:v>Incluir</x:v>
      </x:c>
      <x:c r="J51" s="22" t="str">
        <x:f>IF(D51="","",IF(B51="","Falta fecha",IF(AND(E51="",F51=""),"Falta monto",IF(I51&lt;&gt;"Incluir",I51,"Registrado"))))</x:f>
      </x:c>
      <x:c r="K51" s="22" t="str"/>
      <x:c r="L51" s="22" t="str"/>
    </x:row>
    <x:row r="52" ht="25" customHeight="1">
      <x:c r="A52" s="22" t="str">
        <x:v>E-048</x:v>
      </x:c>
      <x:c r="B52" s="25" t="str"/>
      <x:c r="C52" s="26" t="str"/>
      <x:c r="D52" s="26" t="str"/>
      <x:c r="E52" s="27" t="str"/>
      <x:c r="F52" s="27" t="str"/>
      <x:c r="G52" s="26" t="str"/>
      <x:c r="H52" s="26" t="str"/>
      <x:c r="I52" s="26" t="str">
        <x:v>Incluir</x:v>
      </x:c>
      <x:c r="J52" s="22" t="str">
        <x:f>IF(D52="","",IF(B52="","Falta fecha",IF(AND(E52="",F52=""),"Falta monto",IF(I52&lt;&gt;"Incluir",I52,"Registrado"))))</x:f>
      </x:c>
      <x:c r="K52" s="22" t="str"/>
      <x:c r="L52" s="22" t="str"/>
    </x:row>
    <x:row r="53" ht="25" customHeight="1">
      <x:c r="A53" s="22" t="str">
        <x:v>E-049</x:v>
      </x:c>
      <x:c r="B53" s="25" t="str"/>
      <x:c r="C53" s="26" t="str"/>
      <x:c r="D53" s="26" t="str"/>
      <x:c r="E53" s="27" t="str"/>
      <x:c r="F53" s="27" t="str"/>
      <x:c r="G53" s="26" t="str"/>
      <x:c r="H53" s="26" t="str"/>
      <x:c r="I53" s="26" t="str">
        <x:v>Incluir</x:v>
      </x:c>
      <x:c r="J53" s="22" t="str">
        <x:f>IF(D53="","",IF(B53="","Falta fecha",IF(AND(E53="",F53=""),"Falta monto",IF(I53&lt;&gt;"Incluir",I53,"Registrado"))))</x:f>
      </x:c>
      <x:c r="K53" s="22" t="str"/>
      <x:c r="L53" s="22" t="str"/>
    </x:row>
    <x:row r="54" ht="25" customHeight="1">
      <x:c r="A54" s="22" t="str">
        <x:v>E-050</x:v>
      </x:c>
      <x:c r="B54" s="25" t="str"/>
      <x:c r="C54" s="26" t="str"/>
      <x:c r="D54" s="26" t="str"/>
      <x:c r="E54" s="27" t="str"/>
      <x:c r="F54" s="27" t="str"/>
      <x:c r="G54" s="26" t="str"/>
      <x:c r="H54" s="26" t="str"/>
      <x:c r="I54" s="26" t="str">
        <x:v>Incluir</x:v>
      </x:c>
      <x:c r="J54" s="22" t="str">
        <x:f>IF(D54="","",IF(B54="","Falta fecha",IF(AND(E54="",F54=""),"Falta monto",IF(I54&lt;&gt;"Incluir",I54,"Registrado"))))</x:f>
      </x:c>
      <x:c r="K54" s="22" t="str"/>
      <x:c r="L54" s="22" t="str"/>
    </x:row>
    <x:row r="55" ht="25" customHeight="1">
      <x:c r="A55" s="22" t="str">
        <x:v>E-051</x:v>
      </x:c>
      <x:c r="B55" s="25" t="str"/>
      <x:c r="C55" s="26" t="str"/>
      <x:c r="D55" s="26" t="str"/>
      <x:c r="E55" s="27" t="str"/>
      <x:c r="F55" s="27" t="str"/>
      <x:c r="G55" s="26" t="str"/>
      <x:c r="H55" s="26" t="str"/>
      <x:c r="I55" s="26" t="str">
        <x:v>Incluir</x:v>
      </x:c>
      <x:c r="J55" s="22" t="str">
        <x:f>IF(D55="","",IF(B55="","Falta fecha",IF(AND(E55="",F55=""),"Falta monto",IF(I55&lt;&gt;"Incluir",I55,"Registrado"))))</x:f>
      </x:c>
      <x:c r="K55" s="22" t="str"/>
      <x:c r="L55" s="22" t="str"/>
    </x:row>
    <x:row r="56" ht="25" customHeight="1">
      <x:c r="A56" s="22" t="str">
        <x:v>E-052</x:v>
      </x:c>
      <x:c r="B56" s="25" t="str"/>
      <x:c r="C56" s="26" t="str"/>
      <x:c r="D56" s="26" t="str"/>
      <x:c r="E56" s="27" t="str"/>
      <x:c r="F56" s="27" t="str"/>
      <x:c r="G56" s="26" t="str"/>
      <x:c r="H56" s="26" t="str"/>
      <x:c r="I56" s="26" t="str">
        <x:v>Incluir</x:v>
      </x:c>
      <x:c r="J56" s="22" t="str">
        <x:f>IF(D56="","",IF(B56="","Falta fecha",IF(AND(E56="",F56=""),"Falta monto",IF(I56&lt;&gt;"Incluir",I56,"Registrado"))))</x:f>
      </x:c>
      <x:c r="K56" s="22" t="str"/>
      <x:c r="L56" s="22" t="str"/>
    </x:row>
    <x:row r="57" ht="25" customHeight="1">
      <x:c r="A57" s="22" t="str">
        <x:v>E-053</x:v>
      </x:c>
      <x:c r="B57" s="25" t="str"/>
      <x:c r="C57" s="26" t="str"/>
      <x:c r="D57" s="26" t="str"/>
      <x:c r="E57" s="27" t="str"/>
      <x:c r="F57" s="27" t="str"/>
      <x:c r="G57" s="26" t="str"/>
      <x:c r="H57" s="26" t="str"/>
      <x:c r="I57" s="26" t="str">
        <x:v>Incluir</x:v>
      </x:c>
      <x:c r="J57" s="22" t="str">
        <x:f>IF(D57="","",IF(B57="","Falta fecha",IF(AND(E57="",F57=""),"Falta monto",IF(I57&lt;&gt;"Incluir",I57,"Registrado"))))</x:f>
      </x:c>
      <x:c r="K57" s="22" t="str"/>
      <x:c r="L57" s="22" t="str"/>
    </x:row>
    <x:row r="58" ht="25" customHeight="1">
      <x:c r="A58" s="22" t="str">
        <x:v>E-054</x:v>
      </x:c>
      <x:c r="B58" s="25" t="str"/>
      <x:c r="C58" s="26" t="str"/>
      <x:c r="D58" s="26" t="str"/>
      <x:c r="E58" s="27" t="str"/>
      <x:c r="F58" s="27" t="str"/>
      <x:c r="G58" s="26" t="str"/>
      <x:c r="H58" s="26" t="str"/>
      <x:c r="I58" s="26" t="str">
        <x:v>Incluir</x:v>
      </x:c>
      <x:c r="J58" s="22" t="str">
        <x:f>IF(D58="","",IF(B58="","Falta fecha",IF(AND(E58="",F58=""),"Falta monto",IF(I58&lt;&gt;"Incluir",I58,"Registrado"))))</x:f>
      </x:c>
      <x:c r="K58" s="22" t="str"/>
      <x:c r="L58" s="22" t="str"/>
    </x:row>
    <x:row r="59" ht="25" customHeight="1">
      <x:c r="A59" s="22" t="str">
        <x:v>E-055</x:v>
      </x:c>
      <x:c r="B59" s="25" t="str"/>
      <x:c r="C59" s="26" t="str"/>
      <x:c r="D59" s="26" t="str"/>
      <x:c r="E59" s="27" t="str"/>
      <x:c r="F59" s="27" t="str"/>
      <x:c r="G59" s="26" t="str"/>
      <x:c r="H59" s="26" t="str"/>
      <x:c r="I59" s="26" t="str">
        <x:v>Incluir</x:v>
      </x:c>
      <x:c r="J59" s="22" t="str">
        <x:f>IF(D59="","",IF(B59="","Falta fecha",IF(AND(E59="",F59=""),"Falta monto",IF(I59&lt;&gt;"Incluir",I59,"Registrado"))))</x:f>
      </x:c>
      <x:c r="K59" s="22" t="str"/>
      <x:c r="L59" s="22" t="str"/>
    </x:row>
    <x:row r="60" ht="25" customHeight="1">
      <x:c r="A60" s="22" t="str">
        <x:v>E-056</x:v>
      </x:c>
      <x:c r="B60" s="25" t="str"/>
      <x:c r="C60" s="26" t="str"/>
      <x:c r="D60" s="26" t="str"/>
      <x:c r="E60" s="27" t="str"/>
      <x:c r="F60" s="27" t="str"/>
      <x:c r="G60" s="26" t="str"/>
      <x:c r="H60" s="26" t="str"/>
      <x:c r="I60" s="26" t="str">
        <x:v>Incluir</x:v>
      </x:c>
      <x:c r="J60" s="22" t="str">
        <x:f>IF(D60="","",IF(B60="","Falta fecha",IF(AND(E60="",F60=""),"Falta monto",IF(I60&lt;&gt;"Incluir",I60,"Registrado"))))</x:f>
      </x:c>
      <x:c r="K60" s="22" t="str"/>
      <x:c r="L60" s="22" t="str"/>
    </x:row>
    <x:row r="61" ht="25" customHeight="1">
      <x:c r="A61" s="22" t="str">
        <x:v>E-057</x:v>
      </x:c>
      <x:c r="B61" s="25" t="str"/>
      <x:c r="C61" s="26" t="str"/>
      <x:c r="D61" s="26" t="str"/>
      <x:c r="E61" s="27" t="str"/>
      <x:c r="F61" s="27" t="str"/>
      <x:c r="G61" s="26" t="str"/>
      <x:c r="H61" s="26" t="str"/>
      <x:c r="I61" s="26" t="str">
        <x:v>Incluir</x:v>
      </x:c>
      <x:c r="J61" s="22" t="str">
        <x:f>IF(D61="","",IF(B61="","Falta fecha",IF(AND(E61="",F61=""),"Falta monto",IF(I61&lt;&gt;"Incluir",I61,"Registrado"))))</x:f>
      </x:c>
      <x:c r="K61" s="22" t="str"/>
      <x:c r="L61" s="22" t="str"/>
    </x:row>
    <x:row r="62" ht="25" customHeight="1">
      <x:c r="A62" s="22" t="str">
        <x:v>E-058</x:v>
      </x:c>
      <x:c r="B62" s="25" t="str"/>
      <x:c r="C62" s="26" t="str"/>
      <x:c r="D62" s="26" t="str"/>
      <x:c r="E62" s="27" t="str"/>
      <x:c r="F62" s="27" t="str"/>
      <x:c r="G62" s="26" t="str"/>
      <x:c r="H62" s="26" t="str"/>
      <x:c r="I62" s="26" t="str">
        <x:v>Incluir</x:v>
      </x:c>
      <x:c r="J62" s="22" t="str">
        <x:f>IF(D62="","",IF(B62="","Falta fecha",IF(AND(E62="",F62=""),"Falta monto",IF(I62&lt;&gt;"Incluir",I62,"Registrado"))))</x:f>
      </x:c>
      <x:c r="K62" s="22" t="str"/>
      <x:c r="L62" s="22" t="str"/>
    </x:row>
    <x:row r="63" ht="25" customHeight="1">
      <x:c r="A63" s="22" t="str">
        <x:v>E-059</x:v>
      </x:c>
      <x:c r="B63" s="25" t="str"/>
      <x:c r="C63" s="26" t="str"/>
      <x:c r="D63" s="26" t="str"/>
      <x:c r="E63" s="27" t="str"/>
      <x:c r="F63" s="27" t="str"/>
      <x:c r="G63" s="26" t="str"/>
      <x:c r="H63" s="26" t="str"/>
      <x:c r="I63" s="26" t="str">
        <x:v>Incluir</x:v>
      </x:c>
      <x:c r="J63" s="22" t="str">
        <x:f>IF(D63="","",IF(B63="","Falta fecha",IF(AND(E63="",F63=""),"Falta monto",IF(I63&lt;&gt;"Incluir",I63,"Registrado"))))</x:f>
      </x:c>
      <x:c r="K63" s="22" t="str"/>
      <x:c r="L63" s="22" t="str"/>
    </x:row>
    <x:row r="64" ht="25" customHeight="1">
      <x:c r="A64" s="22" t="str">
        <x:v>E-060</x:v>
      </x:c>
      <x:c r="B64" s="25" t="str"/>
      <x:c r="C64" s="26" t="str"/>
      <x:c r="D64" s="26" t="str"/>
      <x:c r="E64" s="27" t="str"/>
      <x:c r="F64" s="27" t="str"/>
      <x:c r="G64" s="26" t="str"/>
      <x:c r="H64" s="26" t="str"/>
      <x:c r="I64" s="26" t="str">
        <x:v>Incluir</x:v>
      </x:c>
      <x:c r="J64" s="22" t="str">
        <x:f>IF(D64="","",IF(B64="","Falta fecha",IF(AND(E64="",F64=""),"Falta monto",IF(I64&lt;&gt;"Incluir",I64,"Registrado"))))</x:f>
      </x:c>
      <x:c r="K64" s="22" t="str"/>
      <x:c r="L64" s="22" t="str"/>
    </x:row>
    <x:row r="65" ht="25" customHeight="1">
      <x:c r="A65" s="22" t="str">
        <x:v>E-061</x:v>
      </x:c>
      <x:c r="B65" s="25" t="str"/>
      <x:c r="C65" s="26" t="str"/>
      <x:c r="D65" s="26" t="str"/>
      <x:c r="E65" s="27" t="str"/>
      <x:c r="F65" s="27" t="str"/>
      <x:c r="G65" s="26" t="str"/>
      <x:c r="H65" s="26" t="str"/>
      <x:c r="I65" s="26" t="str">
        <x:v>Incluir</x:v>
      </x:c>
      <x:c r="J65" s="22" t="str">
        <x:f>IF(D65="","",IF(B65="","Falta fecha",IF(AND(E65="",F65=""),"Falta monto",IF(I65&lt;&gt;"Incluir",I65,"Registrado"))))</x:f>
      </x:c>
      <x:c r="K65" s="22" t="str"/>
      <x:c r="L65" s="22" t="str"/>
    </x:row>
    <x:row r="66" ht="25" customHeight="1">
      <x:c r="A66" s="22" t="str">
        <x:v>E-062</x:v>
      </x:c>
      <x:c r="B66" s="25" t="str"/>
      <x:c r="C66" s="26" t="str"/>
      <x:c r="D66" s="26" t="str"/>
      <x:c r="E66" s="27" t="str"/>
      <x:c r="F66" s="27" t="str"/>
      <x:c r="G66" s="26" t="str"/>
      <x:c r="H66" s="26" t="str"/>
      <x:c r="I66" s="26" t="str">
        <x:v>Incluir</x:v>
      </x:c>
      <x:c r="J66" s="22" t="str">
        <x:f>IF(D66="","",IF(B66="","Falta fecha",IF(AND(E66="",F66=""),"Falta monto",IF(I66&lt;&gt;"Incluir",I66,"Registrado"))))</x:f>
      </x:c>
      <x:c r="K66" s="22" t="str"/>
      <x:c r="L66" s="22" t="str"/>
    </x:row>
    <x:row r="67" ht="25" customHeight="1">
      <x:c r="A67" s="22" t="str">
        <x:v>E-063</x:v>
      </x:c>
      <x:c r="B67" s="25" t="str"/>
      <x:c r="C67" s="26" t="str"/>
      <x:c r="D67" s="26" t="str"/>
      <x:c r="E67" s="27" t="str"/>
      <x:c r="F67" s="27" t="str"/>
      <x:c r="G67" s="26" t="str"/>
      <x:c r="H67" s="26" t="str"/>
      <x:c r="I67" s="26" t="str">
        <x:v>Incluir</x:v>
      </x:c>
      <x:c r="J67" s="22" t="str">
        <x:f>IF(D67="","",IF(B67="","Falta fecha",IF(AND(E67="",F67=""),"Falta monto",IF(I67&lt;&gt;"Incluir",I67,"Registrado"))))</x:f>
      </x:c>
      <x:c r="K67" s="22" t="str"/>
      <x:c r="L67" s="22" t="str"/>
    </x:row>
    <x:row r="68" ht="25" customHeight="1">
      <x:c r="A68" s="22" t="str">
        <x:v>E-064</x:v>
      </x:c>
      <x:c r="B68" s="25" t="str"/>
      <x:c r="C68" s="26" t="str"/>
      <x:c r="D68" s="26" t="str"/>
      <x:c r="E68" s="27" t="str"/>
      <x:c r="F68" s="27" t="str"/>
      <x:c r="G68" s="26" t="str"/>
      <x:c r="H68" s="26" t="str"/>
      <x:c r="I68" s="26" t="str">
        <x:v>Incluir</x:v>
      </x:c>
      <x:c r="J68" s="22" t="str">
        <x:f>IF(D68="","",IF(B68="","Falta fecha",IF(AND(E68="",F68=""),"Falta monto",IF(I68&lt;&gt;"Incluir",I68,"Registrado"))))</x:f>
      </x:c>
      <x:c r="K68" s="22" t="str"/>
      <x:c r="L68" s="22" t="str"/>
    </x:row>
    <x:row r="69" ht="25" customHeight="1">
      <x:c r="A69" s="22" t="str">
        <x:v>E-065</x:v>
      </x:c>
      <x:c r="B69" s="25" t="str"/>
      <x:c r="C69" s="26" t="str"/>
      <x:c r="D69" s="26" t="str"/>
      <x:c r="E69" s="27" t="str"/>
      <x:c r="F69" s="27" t="str"/>
      <x:c r="G69" s="26" t="str"/>
      <x:c r="H69" s="26" t="str"/>
      <x:c r="I69" s="26" t="str">
        <x:v>Incluir</x:v>
      </x:c>
      <x:c r="J69" s="22" t="str">
        <x:f>IF(D69="","",IF(B69="","Falta fecha",IF(AND(E69="",F69=""),"Falta monto",IF(I69&lt;&gt;"Incluir",I69,"Registrado"))))</x:f>
      </x:c>
      <x:c r="K69" s="22" t="str"/>
      <x:c r="L69" s="22" t="str"/>
    </x:row>
    <x:row r="70" ht="25" customHeight="1">
      <x:c r="A70" s="22" t="str">
        <x:v>E-066</x:v>
      </x:c>
      <x:c r="B70" s="25" t="str"/>
      <x:c r="C70" s="26" t="str"/>
      <x:c r="D70" s="26" t="str"/>
      <x:c r="E70" s="27" t="str"/>
      <x:c r="F70" s="27" t="str"/>
      <x:c r="G70" s="26" t="str"/>
      <x:c r="H70" s="26" t="str"/>
      <x:c r="I70" s="26" t="str">
        <x:v>Incluir</x:v>
      </x:c>
      <x:c r="J70" s="22" t="str">
        <x:f>IF(D70="","",IF(B70="","Falta fecha",IF(AND(E70="",F70=""),"Falta monto",IF(I70&lt;&gt;"Incluir",I70,"Registrado"))))</x:f>
      </x:c>
      <x:c r="K70" s="22" t="str"/>
      <x:c r="L70" s="22" t="str"/>
    </x:row>
    <x:row r="71" ht="25" customHeight="1">
      <x:c r="A71" s="22" t="str">
        <x:v>E-067</x:v>
      </x:c>
      <x:c r="B71" s="25" t="str"/>
      <x:c r="C71" s="26" t="str"/>
      <x:c r="D71" s="26" t="str"/>
      <x:c r="E71" s="27" t="str"/>
      <x:c r="F71" s="27" t="str"/>
      <x:c r="G71" s="26" t="str"/>
      <x:c r="H71" s="26" t="str"/>
      <x:c r="I71" s="26" t="str">
        <x:v>Incluir</x:v>
      </x:c>
      <x:c r="J71" s="22" t="str">
        <x:f>IF(D71="","",IF(B71="","Falta fecha",IF(AND(E71="",F71=""),"Falta monto",IF(I71&lt;&gt;"Incluir",I71,"Registrado"))))</x:f>
      </x:c>
      <x:c r="K71" s="22" t="str"/>
      <x:c r="L71" s="22" t="str"/>
    </x:row>
    <x:row r="72" ht="25" customHeight="1">
      <x:c r="A72" s="22" t="str">
        <x:v>E-068</x:v>
      </x:c>
      <x:c r="B72" s="25" t="str"/>
      <x:c r="C72" s="26" t="str"/>
      <x:c r="D72" s="26" t="str"/>
      <x:c r="E72" s="27" t="str"/>
      <x:c r="F72" s="27" t="str"/>
      <x:c r="G72" s="26" t="str"/>
      <x:c r="H72" s="26" t="str"/>
      <x:c r="I72" s="26" t="str">
        <x:v>Incluir</x:v>
      </x:c>
      <x:c r="J72" s="22" t="str">
        <x:f>IF(D72="","",IF(B72="","Falta fecha",IF(AND(E72="",F72=""),"Falta monto",IF(I72&lt;&gt;"Incluir",I72,"Registrado"))))</x:f>
      </x:c>
      <x:c r="K72" s="22" t="str"/>
      <x:c r="L72" s="22" t="str"/>
    </x:row>
    <x:row r="73" ht="25" customHeight="1">
      <x:c r="A73" s="22" t="str">
        <x:v>E-069</x:v>
      </x:c>
      <x:c r="B73" s="25" t="str"/>
      <x:c r="C73" s="26" t="str"/>
      <x:c r="D73" s="26" t="str"/>
      <x:c r="E73" s="27" t="str"/>
      <x:c r="F73" s="27" t="str"/>
      <x:c r="G73" s="26" t="str"/>
      <x:c r="H73" s="26" t="str"/>
      <x:c r="I73" s="26" t="str">
        <x:v>Incluir</x:v>
      </x:c>
      <x:c r="J73" s="22" t="str">
        <x:f>IF(D73="","",IF(B73="","Falta fecha",IF(AND(E73="",F73=""),"Falta monto",IF(I73&lt;&gt;"Incluir",I73,"Registrado"))))</x:f>
      </x:c>
      <x:c r="K73" s="22" t="str"/>
      <x:c r="L73" s="22" t="str"/>
    </x:row>
    <x:row r="74" ht="25" customHeight="1">
      <x:c r="A74" s="22" t="str">
        <x:v>E-070</x:v>
      </x:c>
      <x:c r="B74" s="25" t="str"/>
      <x:c r="C74" s="26" t="str"/>
      <x:c r="D74" s="26" t="str"/>
      <x:c r="E74" s="27" t="str"/>
      <x:c r="F74" s="27" t="str"/>
      <x:c r="G74" s="26" t="str"/>
      <x:c r="H74" s="26" t="str"/>
      <x:c r="I74" s="26" t="str">
        <x:v>Incluir</x:v>
      </x:c>
      <x:c r="J74" s="22" t="str">
        <x:f>IF(D74="","",IF(B74="","Falta fecha",IF(AND(E74="",F74=""),"Falta monto",IF(I74&lt;&gt;"Incluir",I74,"Registrado"))))</x:f>
      </x:c>
      <x:c r="K74" s="22" t="str"/>
      <x:c r="L74" s="22" t="str"/>
    </x:row>
    <x:row r="75" ht="25" customHeight="1">
      <x:c r="A75" s="22" t="str">
        <x:v>E-071</x:v>
      </x:c>
      <x:c r="B75" s="25" t="str"/>
      <x:c r="C75" s="26" t="str"/>
      <x:c r="D75" s="26" t="str"/>
      <x:c r="E75" s="27" t="str"/>
      <x:c r="F75" s="27" t="str"/>
      <x:c r="G75" s="26" t="str"/>
      <x:c r="H75" s="26" t="str"/>
      <x:c r="I75" s="26" t="str">
        <x:v>Incluir</x:v>
      </x:c>
      <x:c r="J75" s="22" t="str">
        <x:f>IF(D75="","",IF(B75="","Falta fecha",IF(AND(E75="",F75=""),"Falta monto",IF(I75&lt;&gt;"Incluir",I75,"Registrado"))))</x:f>
      </x:c>
      <x:c r="K75" s="22" t="str"/>
      <x:c r="L75" s="22" t="str"/>
    </x:row>
    <x:row r="76" ht="25" customHeight="1">
      <x:c r="A76" s="22" t="str">
        <x:v>E-072</x:v>
      </x:c>
      <x:c r="B76" s="25" t="str"/>
      <x:c r="C76" s="26" t="str"/>
      <x:c r="D76" s="26" t="str"/>
      <x:c r="E76" s="27" t="str"/>
      <x:c r="F76" s="27" t="str"/>
      <x:c r="G76" s="26" t="str"/>
      <x:c r="H76" s="26" t="str"/>
      <x:c r="I76" s="26" t="str">
        <x:v>Incluir</x:v>
      </x:c>
      <x:c r="J76" s="22" t="str">
        <x:f>IF(D76="","",IF(B76="","Falta fecha",IF(AND(E76="",F76=""),"Falta monto",IF(I76&lt;&gt;"Incluir",I76,"Registrado"))))</x:f>
      </x:c>
      <x:c r="K76" s="22" t="str"/>
      <x:c r="L76" s="22" t="str"/>
    </x:row>
    <x:row r="77" ht="25" customHeight="1">
      <x:c r="A77" s="22" t="str">
        <x:v>E-073</x:v>
      </x:c>
      <x:c r="B77" s="25" t="str"/>
      <x:c r="C77" s="26" t="str"/>
      <x:c r="D77" s="26" t="str"/>
      <x:c r="E77" s="27" t="str"/>
      <x:c r="F77" s="27" t="str"/>
      <x:c r="G77" s="26" t="str"/>
      <x:c r="H77" s="26" t="str"/>
      <x:c r="I77" s="26" t="str">
        <x:v>Incluir</x:v>
      </x:c>
      <x:c r="J77" s="22" t="str">
        <x:f>IF(D77="","",IF(B77="","Falta fecha",IF(AND(E77="",F77=""),"Falta monto",IF(I77&lt;&gt;"Incluir",I77,"Registrado"))))</x:f>
      </x:c>
      <x:c r="K77" s="22" t="str"/>
      <x:c r="L77" s="22" t="str"/>
    </x:row>
    <x:row r="78" ht="25" customHeight="1">
      <x:c r="A78" s="22" t="str">
        <x:v>E-074</x:v>
      </x:c>
      <x:c r="B78" s="25" t="str"/>
      <x:c r="C78" s="26" t="str"/>
      <x:c r="D78" s="26" t="str"/>
      <x:c r="E78" s="27" t="str"/>
      <x:c r="F78" s="27" t="str"/>
      <x:c r="G78" s="26" t="str"/>
      <x:c r="H78" s="26" t="str"/>
      <x:c r="I78" s="26" t="str">
        <x:v>Incluir</x:v>
      </x:c>
      <x:c r="J78" s="22" t="str">
        <x:f>IF(D78="","",IF(B78="","Falta fecha",IF(AND(E78="",F78=""),"Falta monto",IF(I78&lt;&gt;"Incluir",I78,"Registrado"))))</x:f>
      </x:c>
      <x:c r="K78" s="22" t="str"/>
      <x:c r="L78" s="22" t="str"/>
    </x:row>
    <x:row r="79" ht="25" customHeight="1">
      <x:c r="A79" s="22" t="str">
        <x:v>E-075</x:v>
      </x:c>
      <x:c r="B79" s="25" t="str"/>
      <x:c r="C79" s="26" t="str"/>
      <x:c r="D79" s="26" t="str"/>
      <x:c r="E79" s="27" t="str"/>
      <x:c r="F79" s="27" t="str"/>
      <x:c r="G79" s="26" t="str"/>
      <x:c r="H79" s="26" t="str"/>
      <x:c r="I79" s="26" t="str">
        <x:v>Incluir</x:v>
      </x:c>
      <x:c r="J79" s="22" t="str">
        <x:f>IF(D79="","",IF(B79="","Falta fecha",IF(AND(E79="",F79=""),"Falta monto",IF(I79&lt;&gt;"Incluir",I79,"Registrado"))))</x:f>
      </x:c>
      <x:c r="K79" s="22" t="str"/>
      <x:c r="L79" s="22" t="str"/>
    </x:row>
    <x:row r="80" ht="25" customHeight="1">
      <x:c r="A80" s="22" t="str">
        <x:v>E-076</x:v>
      </x:c>
      <x:c r="B80" s="25" t="str"/>
      <x:c r="C80" s="26" t="str"/>
      <x:c r="D80" s="26" t="str"/>
      <x:c r="E80" s="27" t="str"/>
      <x:c r="F80" s="27" t="str"/>
      <x:c r="G80" s="26" t="str"/>
      <x:c r="H80" s="26" t="str"/>
      <x:c r="I80" s="26" t="str">
        <x:v>Incluir</x:v>
      </x:c>
      <x:c r="J80" s="22" t="str">
        <x:f>IF(D80="","",IF(B80="","Falta fecha",IF(AND(E80="",F80=""),"Falta monto",IF(I80&lt;&gt;"Incluir",I80,"Registrado"))))</x:f>
      </x:c>
      <x:c r="K80" s="22" t="str"/>
      <x:c r="L80" s="22" t="str"/>
    </x:row>
    <x:row r="81" ht="25" customHeight="1">
      <x:c r="A81" s="22" t="str">
        <x:v>E-077</x:v>
      </x:c>
      <x:c r="B81" s="25" t="str"/>
      <x:c r="C81" s="26" t="str"/>
      <x:c r="D81" s="26" t="str"/>
      <x:c r="E81" s="27" t="str"/>
      <x:c r="F81" s="27" t="str"/>
      <x:c r="G81" s="26" t="str"/>
      <x:c r="H81" s="26" t="str"/>
      <x:c r="I81" s="26" t="str">
        <x:v>Incluir</x:v>
      </x:c>
      <x:c r="J81" s="22" t="str">
        <x:f>IF(D81="","",IF(B81="","Falta fecha",IF(AND(E81="",F81=""),"Falta monto",IF(I81&lt;&gt;"Incluir",I81,"Registrado"))))</x:f>
      </x:c>
      <x:c r="K81" s="22" t="str"/>
      <x:c r="L81" s="22" t="str"/>
    </x:row>
    <x:row r="82" ht="25" customHeight="1">
      <x:c r="A82" s="22" t="str">
        <x:v>E-078</x:v>
      </x:c>
      <x:c r="B82" s="25" t="str"/>
      <x:c r="C82" s="26" t="str"/>
      <x:c r="D82" s="26" t="str"/>
      <x:c r="E82" s="27" t="str"/>
      <x:c r="F82" s="27" t="str"/>
      <x:c r="G82" s="26" t="str"/>
      <x:c r="H82" s="26" t="str"/>
      <x:c r="I82" s="26" t="str">
        <x:v>Incluir</x:v>
      </x:c>
      <x:c r="J82" s="22" t="str">
        <x:f>IF(D82="","",IF(B82="","Falta fecha",IF(AND(E82="",F82=""),"Falta monto",IF(I82&lt;&gt;"Incluir",I82,"Registrado"))))</x:f>
      </x:c>
      <x:c r="K82" s="22" t="str"/>
      <x:c r="L82" s="22" t="str"/>
    </x:row>
    <x:row r="83" ht="25" customHeight="1">
      <x:c r="A83" s="22" t="str">
        <x:v>E-079</x:v>
      </x:c>
      <x:c r="B83" s="25" t="str"/>
      <x:c r="C83" s="26" t="str"/>
      <x:c r="D83" s="26" t="str"/>
      <x:c r="E83" s="27" t="str"/>
      <x:c r="F83" s="27" t="str"/>
      <x:c r="G83" s="26" t="str"/>
      <x:c r="H83" s="26" t="str"/>
      <x:c r="I83" s="26" t="str">
        <x:v>Incluir</x:v>
      </x:c>
      <x:c r="J83" s="22" t="str">
        <x:f>IF(D83="","",IF(B83="","Falta fecha",IF(AND(E83="",F83=""),"Falta monto",IF(I83&lt;&gt;"Incluir",I83,"Registrado"))))</x:f>
      </x:c>
      <x:c r="K83" s="22" t="str"/>
      <x:c r="L83" s="22" t="str"/>
    </x:row>
    <x:row r="84" ht="25" customHeight="1">
      <x:c r="A84" s="22" t="str">
        <x:v>E-080</x:v>
      </x:c>
      <x:c r="B84" s="25" t="str"/>
      <x:c r="C84" s="26" t="str"/>
      <x:c r="D84" s="26" t="str"/>
      <x:c r="E84" s="27" t="str"/>
      <x:c r="F84" s="27" t="str"/>
      <x:c r="G84" s="26" t="str"/>
      <x:c r="H84" s="26" t="str"/>
      <x:c r="I84" s="26" t="str">
        <x:v>Incluir</x:v>
      </x:c>
      <x:c r="J84" s="22" t="str">
        <x:f>IF(D84="","",IF(B84="","Falta fecha",IF(AND(E84="",F84=""),"Falta monto",IF(I84&lt;&gt;"Incluir",I84,"Registrado"))))</x:f>
      </x:c>
      <x:c r="K84" s="22" t="str"/>
      <x:c r="L84" s="22" t="str"/>
    </x:row>
    <x:row r="85" ht="25" customHeight="1">
      <x:c r="A85" s="22" t="str">
        <x:v>E-081</x:v>
      </x:c>
      <x:c r="B85" s="25" t="str"/>
      <x:c r="C85" s="26" t="str"/>
      <x:c r="D85" s="26" t="str"/>
      <x:c r="E85" s="27" t="str"/>
      <x:c r="F85" s="27" t="str"/>
      <x:c r="G85" s="26" t="str"/>
      <x:c r="H85" s="26" t="str"/>
      <x:c r="I85" s="26" t="str">
        <x:v>Incluir</x:v>
      </x:c>
      <x:c r="J85" s="22" t="str">
        <x:f>IF(D85="","",IF(B85="","Falta fecha",IF(AND(E85="",F85=""),"Falta monto",IF(I85&lt;&gt;"Incluir",I85,"Registrado"))))</x:f>
      </x:c>
      <x:c r="K85" s="22" t="str"/>
      <x:c r="L85" s="22" t="str"/>
    </x:row>
    <x:row r="86" ht="25" customHeight="1">
      <x:c r="A86" s="22" t="str">
        <x:v>E-082</x:v>
      </x:c>
      <x:c r="B86" s="25" t="str"/>
      <x:c r="C86" s="26" t="str"/>
      <x:c r="D86" s="26" t="str"/>
      <x:c r="E86" s="27" t="str"/>
      <x:c r="F86" s="27" t="str"/>
      <x:c r="G86" s="26" t="str"/>
      <x:c r="H86" s="26" t="str"/>
      <x:c r="I86" s="26" t="str">
        <x:v>Incluir</x:v>
      </x:c>
      <x:c r="J86" s="22" t="str">
        <x:f>IF(D86="","",IF(B86="","Falta fecha",IF(AND(E86="",F86=""),"Falta monto",IF(I86&lt;&gt;"Incluir",I86,"Registrado"))))</x:f>
      </x:c>
      <x:c r="K86" s="22" t="str"/>
      <x:c r="L86" s="22" t="str"/>
    </x:row>
    <x:row r="87" ht="25" customHeight="1">
      <x:c r="A87" s="22" t="str">
        <x:v>E-083</x:v>
      </x:c>
      <x:c r="B87" s="25" t="str"/>
      <x:c r="C87" s="26" t="str"/>
      <x:c r="D87" s="26" t="str"/>
      <x:c r="E87" s="27" t="str"/>
      <x:c r="F87" s="27" t="str"/>
      <x:c r="G87" s="26" t="str"/>
      <x:c r="H87" s="26" t="str"/>
      <x:c r="I87" s="26" t="str">
        <x:v>Incluir</x:v>
      </x:c>
      <x:c r="J87" s="22" t="str">
        <x:f>IF(D87="","",IF(B87="","Falta fecha",IF(AND(E87="",F87=""),"Falta monto",IF(I87&lt;&gt;"Incluir",I87,"Registrado"))))</x:f>
      </x:c>
      <x:c r="K87" s="22" t="str"/>
      <x:c r="L87" s="22" t="str"/>
    </x:row>
    <x:row r="88" ht="25" customHeight="1">
      <x:c r="A88" s="22" t="str">
        <x:v>E-084</x:v>
      </x:c>
      <x:c r="B88" s="25" t="str"/>
      <x:c r="C88" s="26" t="str"/>
      <x:c r="D88" s="26" t="str"/>
      <x:c r="E88" s="27" t="str"/>
      <x:c r="F88" s="27" t="str"/>
      <x:c r="G88" s="26" t="str"/>
      <x:c r="H88" s="26" t="str"/>
      <x:c r="I88" s="26" t="str">
        <x:v>Incluir</x:v>
      </x:c>
      <x:c r="J88" s="22" t="str">
        <x:f>IF(D88="","",IF(B88="","Falta fecha",IF(AND(E88="",F88=""),"Falta monto",IF(I88&lt;&gt;"Incluir",I88,"Registrado"))))</x:f>
      </x:c>
      <x:c r="K88" s="22" t="str"/>
      <x:c r="L88" s="22" t="str"/>
    </x:row>
    <x:row r="89" ht="25" customHeight="1">
      <x:c r="A89" s="22" t="str">
        <x:v>E-085</x:v>
      </x:c>
      <x:c r="B89" s="25" t="str"/>
      <x:c r="C89" s="26" t="str"/>
      <x:c r="D89" s="26" t="str"/>
      <x:c r="E89" s="27" t="str"/>
      <x:c r="F89" s="27" t="str"/>
      <x:c r="G89" s="26" t="str"/>
      <x:c r="H89" s="26" t="str"/>
      <x:c r="I89" s="26" t="str">
        <x:v>Incluir</x:v>
      </x:c>
      <x:c r="J89" s="22" t="str">
        <x:f>IF(D89="","",IF(B89="","Falta fecha",IF(AND(E89="",F89=""),"Falta monto",IF(I89&lt;&gt;"Incluir",I89,"Registrado"))))</x:f>
      </x:c>
      <x:c r="K89" s="22" t="str"/>
      <x:c r="L89" s="22" t="str"/>
    </x:row>
    <x:row r="90" ht="25" customHeight="1">
      <x:c r="A90" s="22" t="str">
        <x:v>E-086</x:v>
      </x:c>
      <x:c r="B90" s="25" t="str"/>
      <x:c r="C90" s="26" t="str"/>
      <x:c r="D90" s="26" t="str"/>
      <x:c r="E90" s="27" t="str"/>
      <x:c r="F90" s="27" t="str"/>
      <x:c r="G90" s="26" t="str"/>
      <x:c r="H90" s="26" t="str"/>
      <x:c r="I90" s="26" t="str">
        <x:v>Incluir</x:v>
      </x:c>
      <x:c r="J90" s="22" t="str">
        <x:f>IF(D90="","",IF(B90="","Falta fecha",IF(AND(E90="",F90=""),"Falta monto",IF(I90&lt;&gt;"Incluir",I90,"Registrado"))))</x:f>
      </x:c>
      <x:c r="K90" s="22" t="str"/>
      <x:c r="L90" s="22" t="str"/>
    </x:row>
    <x:row r="91" ht="25" customHeight="1">
      <x:c r="A91" s="22" t="str">
        <x:v>E-087</x:v>
      </x:c>
      <x:c r="B91" s="25" t="str"/>
      <x:c r="C91" s="26" t="str"/>
      <x:c r="D91" s="26" t="str"/>
      <x:c r="E91" s="27" t="str"/>
      <x:c r="F91" s="27" t="str"/>
      <x:c r="G91" s="26" t="str"/>
      <x:c r="H91" s="26" t="str"/>
      <x:c r="I91" s="26" t="str">
        <x:v>Incluir</x:v>
      </x:c>
      <x:c r="J91" s="22" t="str">
        <x:f>IF(D91="","",IF(B91="","Falta fecha",IF(AND(E91="",F91=""),"Falta monto",IF(I91&lt;&gt;"Incluir",I91,"Registrado"))))</x:f>
      </x:c>
      <x:c r="K91" s="22" t="str"/>
      <x:c r="L91" s="22" t="str"/>
    </x:row>
    <x:row r="92" ht="25" customHeight="1">
      <x:c r="A92" s="22" t="str">
        <x:v>E-088</x:v>
      </x:c>
      <x:c r="B92" s="25" t="str"/>
      <x:c r="C92" s="26" t="str"/>
      <x:c r="D92" s="26" t="str"/>
      <x:c r="E92" s="27" t="str"/>
      <x:c r="F92" s="27" t="str"/>
      <x:c r="G92" s="26" t="str"/>
      <x:c r="H92" s="26" t="str"/>
      <x:c r="I92" s="26" t="str">
        <x:v>Incluir</x:v>
      </x:c>
      <x:c r="J92" s="22" t="str">
        <x:f>IF(D92="","",IF(B92="","Falta fecha",IF(AND(E92="",F92=""),"Falta monto",IF(I92&lt;&gt;"Incluir",I92,"Registrado"))))</x:f>
      </x:c>
      <x:c r="K92" s="22" t="str"/>
      <x:c r="L92" s="22" t="str"/>
    </x:row>
    <x:row r="93" ht="25" customHeight="1">
      <x:c r="A93" s="22" t="str">
        <x:v>E-089</x:v>
      </x:c>
      <x:c r="B93" s="25" t="str"/>
      <x:c r="C93" s="26" t="str"/>
      <x:c r="D93" s="26" t="str"/>
      <x:c r="E93" s="27" t="str"/>
      <x:c r="F93" s="27" t="str"/>
      <x:c r="G93" s="26" t="str"/>
      <x:c r="H93" s="26" t="str"/>
      <x:c r="I93" s="26" t="str">
        <x:v>Incluir</x:v>
      </x:c>
      <x:c r="J93" s="22" t="str">
        <x:f>IF(D93="","",IF(B93="","Falta fecha",IF(AND(E93="",F93=""),"Falta monto",IF(I93&lt;&gt;"Incluir",I93,"Registrado"))))</x:f>
      </x:c>
      <x:c r="K93" s="22" t="str"/>
      <x:c r="L93" s="22" t="str"/>
    </x:row>
    <x:row r="94" ht="25" customHeight="1">
      <x:c r="A94" s="22" t="str">
        <x:v>E-090</x:v>
      </x:c>
      <x:c r="B94" s="25" t="str"/>
      <x:c r="C94" s="26" t="str"/>
      <x:c r="D94" s="26" t="str"/>
      <x:c r="E94" s="27" t="str"/>
      <x:c r="F94" s="27" t="str"/>
      <x:c r="G94" s="26" t="str"/>
      <x:c r="H94" s="26" t="str"/>
      <x:c r="I94" s="26" t="str">
        <x:v>Incluir</x:v>
      </x:c>
      <x:c r="J94" s="22" t="str">
        <x:f>IF(D94="","",IF(B94="","Falta fecha",IF(AND(E94="",F94=""),"Falta monto",IF(I94&lt;&gt;"Incluir",I94,"Registrado"))))</x:f>
      </x:c>
      <x:c r="K94" s="22" t="str"/>
      <x:c r="L94" s="22" t="str"/>
    </x:row>
    <x:row r="95" ht="25" customHeight="1">
      <x:c r="A95" s="22" t="str">
        <x:v>E-091</x:v>
      </x:c>
      <x:c r="B95" s="25" t="str"/>
      <x:c r="C95" s="26" t="str"/>
      <x:c r="D95" s="26" t="str"/>
      <x:c r="E95" s="27" t="str"/>
      <x:c r="F95" s="27" t="str"/>
      <x:c r="G95" s="26" t="str"/>
      <x:c r="H95" s="26" t="str"/>
      <x:c r="I95" s="26" t="str">
        <x:v>Incluir</x:v>
      </x:c>
      <x:c r="J95" s="22" t="str">
        <x:f>IF(D95="","",IF(B95="","Falta fecha",IF(AND(E95="",F95=""),"Falta monto",IF(I95&lt;&gt;"Incluir",I95,"Registrado"))))</x:f>
      </x:c>
      <x:c r="K95" s="22" t="str"/>
      <x:c r="L95" s="22" t="str"/>
    </x:row>
    <x:row r="96" ht="25" customHeight="1">
      <x:c r="A96" s="22" t="str">
        <x:v>E-092</x:v>
      </x:c>
      <x:c r="B96" s="25" t="str"/>
      <x:c r="C96" s="26" t="str"/>
      <x:c r="D96" s="26" t="str"/>
      <x:c r="E96" s="27" t="str"/>
      <x:c r="F96" s="27" t="str"/>
      <x:c r="G96" s="26" t="str"/>
      <x:c r="H96" s="26" t="str"/>
      <x:c r="I96" s="26" t="str">
        <x:v>Incluir</x:v>
      </x:c>
      <x:c r="J96" s="22" t="str">
        <x:f>IF(D96="","",IF(B96="","Falta fecha",IF(AND(E96="",F96=""),"Falta monto",IF(I96&lt;&gt;"Incluir",I96,"Registrado"))))</x:f>
      </x:c>
      <x:c r="K96" s="22" t="str"/>
      <x:c r="L96" s="22" t="str"/>
    </x:row>
    <x:row r="97" ht="25" customHeight="1">
      <x:c r="A97" s="22" t="str">
        <x:v>E-093</x:v>
      </x:c>
      <x:c r="B97" s="25" t="str"/>
      <x:c r="C97" s="26" t="str"/>
      <x:c r="D97" s="26" t="str"/>
      <x:c r="E97" s="27" t="str"/>
      <x:c r="F97" s="27" t="str"/>
      <x:c r="G97" s="26" t="str"/>
      <x:c r="H97" s="26" t="str"/>
      <x:c r="I97" s="26" t="str">
        <x:v>Incluir</x:v>
      </x:c>
      <x:c r="J97" s="22" t="str">
        <x:f>IF(D97="","",IF(B97="","Falta fecha",IF(AND(E97="",F97=""),"Falta monto",IF(I97&lt;&gt;"Incluir",I97,"Registrado"))))</x:f>
      </x:c>
      <x:c r="K97" s="22" t="str"/>
      <x:c r="L97" s="22" t="str"/>
    </x:row>
    <x:row r="98" ht="25" customHeight="1">
      <x:c r="A98" s="22" t="str">
        <x:v>E-094</x:v>
      </x:c>
      <x:c r="B98" s="25" t="str"/>
      <x:c r="C98" s="26" t="str"/>
      <x:c r="D98" s="26" t="str"/>
      <x:c r="E98" s="27" t="str"/>
      <x:c r="F98" s="27" t="str"/>
      <x:c r="G98" s="26" t="str"/>
      <x:c r="H98" s="26" t="str"/>
      <x:c r="I98" s="26" t="str">
        <x:v>Incluir</x:v>
      </x:c>
      <x:c r="J98" s="22" t="str">
        <x:f>IF(D98="","",IF(B98="","Falta fecha",IF(AND(E98="",F98=""),"Falta monto",IF(I98&lt;&gt;"Incluir",I98,"Registrado"))))</x:f>
      </x:c>
      <x:c r="K98" s="22" t="str"/>
      <x:c r="L98" s="22" t="str"/>
    </x:row>
    <x:row r="99" ht="25" customHeight="1">
      <x:c r="A99" s="22" t="str">
        <x:v>E-095</x:v>
      </x:c>
      <x:c r="B99" s="25" t="str"/>
      <x:c r="C99" s="26" t="str"/>
      <x:c r="D99" s="26" t="str"/>
      <x:c r="E99" s="27" t="str"/>
      <x:c r="F99" s="27" t="str"/>
      <x:c r="G99" s="26" t="str"/>
      <x:c r="H99" s="26" t="str"/>
      <x:c r="I99" s="26" t="str">
        <x:v>Incluir</x:v>
      </x:c>
      <x:c r="J99" s="22" t="str">
        <x:f>IF(D99="","",IF(B99="","Falta fecha",IF(AND(E99="",F99=""),"Falta monto",IF(I99&lt;&gt;"Incluir",I99,"Registrado"))))</x:f>
      </x:c>
      <x:c r="K99" s="22" t="str"/>
      <x:c r="L99" s="22" t="str"/>
    </x:row>
    <x:row r="100" ht="25" customHeight="1">
      <x:c r="A100" s="22" t="str">
        <x:v>E-096</x:v>
      </x:c>
      <x:c r="B100" s="25" t="str"/>
      <x:c r="C100" s="26" t="str"/>
      <x:c r="D100" s="26" t="str"/>
      <x:c r="E100" s="27" t="str"/>
      <x:c r="F100" s="27" t="str"/>
      <x:c r="G100" s="26" t="str"/>
      <x:c r="H100" s="26" t="str"/>
      <x:c r="I100" s="26" t="str">
        <x:v>Incluir</x:v>
      </x:c>
      <x:c r="J100" s="22" t="str">
        <x:f>IF(D100="","",IF(B100="","Falta fecha",IF(AND(E100="",F100=""),"Falta monto",IF(I100&lt;&gt;"Incluir",I100,"Registrado"))))</x:f>
      </x:c>
      <x:c r="K100" s="22" t="str"/>
      <x:c r="L100" s="22" t="str"/>
    </x:row>
    <x:row r="101" ht="25" customHeight="1">
      <x:c r="A101" s="22" t="str">
        <x:v>E-097</x:v>
      </x:c>
      <x:c r="B101" s="25" t="str"/>
      <x:c r="C101" s="26" t="str"/>
      <x:c r="D101" s="26" t="str"/>
      <x:c r="E101" s="27" t="str"/>
      <x:c r="F101" s="27" t="str"/>
      <x:c r="G101" s="26" t="str"/>
      <x:c r="H101" s="26" t="str"/>
      <x:c r="I101" s="26" t="str">
        <x:v>Incluir</x:v>
      </x:c>
      <x:c r="J101" s="22" t="str">
        <x:f>IF(D101="","",IF(B101="","Falta fecha",IF(AND(E101="",F101=""),"Falta monto",IF(I101&lt;&gt;"Incluir",I101,"Registrado"))))</x:f>
      </x:c>
      <x:c r="K101" s="22" t="str"/>
      <x:c r="L101" s="22" t="str"/>
    </x:row>
    <x:row r="102" ht="25" customHeight="1">
      <x:c r="A102" s="22" t="str">
        <x:v>E-098</x:v>
      </x:c>
      <x:c r="B102" s="25" t="str"/>
      <x:c r="C102" s="26" t="str"/>
      <x:c r="D102" s="26" t="str"/>
      <x:c r="E102" s="27" t="str"/>
      <x:c r="F102" s="27" t="str"/>
      <x:c r="G102" s="26" t="str"/>
      <x:c r="H102" s="26" t="str"/>
      <x:c r="I102" s="26" t="str">
        <x:v>Incluir</x:v>
      </x:c>
      <x:c r="J102" s="22" t="str">
        <x:f>IF(D102="","",IF(B102="","Falta fecha",IF(AND(E102="",F102=""),"Falta monto",IF(I102&lt;&gt;"Incluir",I102,"Registrado"))))</x:f>
      </x:c>
      <x:c r="K102" s="22" t="str"/>
      <x:c r="L102" s="22" t="str"/>
    </x:row>
    <x:row r="103" ht="25" customHeight="1">
      <x:c r="A103" s="22" t="str">
        <x:v>E-099</x:v>
      </x:c>
      <x:c r="B103" s="25" t="str"/>
      <x:c r="C103" s="26" t="str"/>
      <x:c r="D103" s="26" t="str"/>
      <x:c r="E103" s="27" t="str"/>
      <x:c r="F103" s="27" t="str"/>
      <x:c r="G103" s="26" t="str"/>
      <x:c r="H103" s="26" t="str"/>
      <x:c r="I103" s="26" t="str">
        <x:v>Incluir</x:v>
      </x:c>
      <x:c r="J103" s="22" t="str">
        <x:f>IF(D103="","",IF(B103="","Falta fecha",IF(AND(E103="",F103=""),"Falta monto",IF(I103&lt;&gt;"Incluir",I103,"Registrado"))))</x:f>
      </x:c>
      <x:c r="K103" s="22" t="str"/>
      <x:c r="L103" s="22" t="str"/>
    </x:row>
    <x:row r="104" ht="25" customHeight="1">
      <x:c r="A104" s="22" t="str">
        <x:v>E-100</x:v>
      </x:c>
      <x:c r="B104" s="25" t="str"/>
      <x:c r="C104" s="26" t="str"/>
      <x:c r="D104" s="26" t="str"/>
      <x:c r="E104" s="27" t="str"/>
      <x:c r="F104" s="27" t="str"/>
      <x:c r="G104" s="26" t="str"/>
      <x:c r="H104" s="26" t="str"/>
      <x:c r="I104" s="26" t="str">
        <x:v>Incluir</x:v>
      </x:c>
      <x:c r="J104" s="22" t="str">
        <x:f>IF(D104="","",IF(B104="","Falta fecha",IF(AND(E104="",F104=""),"Falta monto",IF(I104&lt;&gt;"Incluir",I104,"Registrado"))))</x:f>
      </x:c>
      <x:c r="K104" s="22" t="str"/>
      <x:c r="L104" s="22" t="str"/>
    </x:row>
    <x:row r="105" ht="25" customHeight="1">
      <x:c r="A105" s="22" t="str">
        <x:v>E-101</x:v>
      </x:c>
      <x:c r="B105" s="25" t="str"/>
      <x:c r="C105" s="26" t="str"/>
      <x:c r="D105" s="26" t="str"/>
      <x:c r="E105" s="27" t="str"/>
      <x:c r="F105" s="27" t="str"/>
      <x:c r="G105" s="26" t="str"/>
      <x:c r="H105" s="26" t="str"/>
      <x:c r="I105" s="26" t="str">
        <x:v>Incluir</x:v>
      </x:c>
      <x:c r="J105" s="22" t="str">
        <x:f>IF(D105="","",IF(B105="","Falta fecha",IF(AND(E105="",F105=""),"Falta monto",IF(I105&lt;&gt;"Incluir",I105,"Registrado"))))</x:f>
      </x:c>
      <x:c r="K105" s="22" t="str"/>
      <x:c r="L105" s="22" t="str"/>
    </x:row>
    <x:row r="106" ht="25" customHeight="1">
      <x:c r="A106" s="22" t="str">
        <x:v>E-102</x:v>
      </x:c>
      <x:c r="B106" s="25" t="str"/>
      <x:c r="C106" s="26" t="str"/>
      <x:c r="D106" s="26" t="str"/>
      <x:c r="E106" s="27" t="str"/>
      <x:c r="F106" s="27" t="str"/>
      <x:c r="G106" s="26" t="str"/>
      <x:c r="H106" s="26" t="str"/>
      <x:c r="I106" s="26" t="str">
        <x:v>Incluir</x:v>
      </x:c>
      <x:c r="J106" s="22" t="str">
        <x:f>IF(D106="","",IF(B106="","Falta fecha",IF(AND(E106="",F106=""),"Falta monto",IF(I106&lt;&gt;"Incluir",I106,"Registrado"))))</x:f>
      </x:c>
      <x:c r="K106" s="22" t="str"/>
      <x:c r="L106" s="22" t="str"/>
    </x:row>
    <x:row r="107" ht="25" customHeight="1">
      <x:c r="A107" s="22" t="str">
        <x:v>E-103</x:v>
      </x:c>
      <x:c r="B107" s="25" t="str"/>
      <x:c r="C107" s="26" t="str"/>
      <x:c r="D107" s="26" t="str"/>
      <x:c r="E107" s="27" t="str"/>
      <x:c r="F107" s="27" t="str"/>
      <x:c r="G107" s="26" t="str"/>
      <x:c r="H107" s="26" t="str"/>
      <x:c r="I107" s="26" t="str">
        <x:v>Incluir</x:v>
      </x:c>
      <x:c r="J107" s="22" t="str">
        <x:f>IF(D107="","",IF(B107="","Falta fecha",IF(AND(E107="",F107=""),"Falta monto",IF(I107&lt;&gt;"Incluir",I107,"Registrado"))))</x:f>
      </x:c>
      <x:c r="K107" s="22" t="str"/>
      <x:c r="L107" s="22" t="str"/>
    </x:row>
    <x:row r="108" ht="25" customHeight="1">
      <x:c r="A108" s="22" t="str">
        <x:v>E-104</x:v>
      </x:c>
      <x:c r="B108" s="25" t="str"/>
      <x:c r="C108" s="26" t="str"/>
      <x:c r="D108" s="26" t="str"/>
      <x:c r="E108" s="27" t="str"/>
      <x:c r="F108" s="27" t="str"/>
      <x:c r="G108" s="26" t="str"/>
      <x:c r="H108" s="26" t="str"/>
      <x:c r="I108" s="26" t="str">
        <x:v>Incluir</x:v>
      </x:c>
      <x:c r="J108" s="22" t="str">
        <x:f>IF(D108="","",IF(B108="","Falta fecha",IF(AND(E108="",F108=""),"Falta monto",IF(I108&lt;&gt;"Incluir",I108,"Registrado"))))</x:f>
      </x:c>
      <x:c r="K108" s="22" t="str"/>
      <x:c r="L108" s="22" t="str"/>
    </x:row>
    <x:row r="109" ht="25" customHeight="1">
      <x:c r="A109" s="22" t="str">
        <x:v>E-105</x:v>
      </x:c>
      <x:c r="B109" s="25" t="str"/>
      <x:c r="C109" s="26" t="str"/>
      <x:c r="D109" s="26" t="str"/>
      <x:c r="E109" s="27" t="str"/>
      <x:c r="F109" s="27" t="str"/>
      <x:c r="G109" s="26" t="str"/>
      <x:c r="H109" s="26" t="str"/>
      <x:c r="I109" s="26" t="str">
        <x:v>Incluir</x:v>
      </x:c>
      <x:c r="J109" s="22" t="str">
        <x:f>IF(D109="","",IF(B109="","Falta fecha",IF(AND(E109="",F109=""),"Falta monto",IF(I109&lt;&gt;"Incluir",I109,"Registrado"))))</x:f>
      </x:c>
      <x:c r="K109" s="22" t="str"/>
      <x:c r="L109" s="22" t="str"/>
    </x:row>
    <x:row r="110" ht="25" customHeight="1">
      <x:c r="A110" s="22" t="str">
        <x:v>E-106</x:v>
      </x:c>
      <x:c r="B110" s="25" t="str"/>
      <x:c r="C110" s="26" t="str"/>
      <x:c r="D110" s="26" t="str"/>
      <x:c r="E110" s="27" t="str"/>
      <x:c r="F110" s="27" t="str"/>
      <x:c r="G110" s="26" t="str"/>
      <x:c r="H110" s="26" t="str"/>
      <x:c r="I110" s="26" t="str">
        <x:v>Incluir</x:v>
      </x:c>
      <x:c r="J110" s="22" t="str">
        <x:f>IF(D110="","",IF(B110="","Falta fecha",IF(AND(E110="",F110=""),"Falta monto",IF(I110&lt;&gt;"Incluir",I110,"Registrado"))))</x:f>
      </x:c>
      <x:c r="K110" s="22" t="str"/>
      <x:c r="L110" s="22" t="str"/>
    </x:row>
    <x:row r="111" ht="25" customHeight="1">
      <x:c r="A111" s="22" t="str">
        <x:v>E-107</x:v>
      </x:c>
      <x:c r="B111" s="25" t="str"/>
      <x:c r="C111" s="26" t="str"/>
      <x:c r="D111" s="26" t="str"/>
      <x:c r="E111" s="27" t="str"/>
      <x:c r="F111" s="27" t="str"/>
      <x:c r="G111" s="26" t="str"/>
      <x:c r="H111" s="26" t="str"/>
      <x:c r="I111" s="26" t="str">
        <x:v>Incluir</x:v>
      </x:c>
      <x:c r="J111" s="22" t="str">
        <x:f>IF(D111="","",IF(B111="","Falta fecha",IF(AND(E111="",F111=""),"Falta monto",IF(I111&lt;&gt;"Incluir",I111,"Registrado"))))</x:f>
      </x:c>
      <x:c r="K111" s="22" t="str"/>
      <x:c r="L111" s="22" t="str"/>
    </x:row>
    <x:row r="112" ht="25" customHeight="1">
      <x:c r="A112" s="22" t="str">
        <x:v>E-108</x:v>
      </x:c>
      <x:c r="B112" s="25" t="str"/>
      <x:c r="C112" s="26" t="str"/>
      <x:c r="D112" s="26" t="str"/>
      <x:c r="E112" s="27" t="str"/>
      <x:c r="F112" s="27" t="str"/>
      <x:c r="G112" s="26" t="str"/>
      <x:c r="H112" s="26" t="str"/>
      <x:c r="I112" s="26" t="str">
        <x:v>Incluir</x:v>
      </x:c>
      <x:c r="J112" s="22" t="str">
        <x:f>IF(D112="","",IF(B112="","Falta fecha",IF(AND(E112="",F112=""),"Falta monto",IF(I112&lt;&gt;"Incluir",I112,"Registrado"))))</x:f>
      </x:c>
      <x:c r="K112" s="22" t="str"/>
      <x:c r="L112" s="22" t="str"/>
    </x:row>
    <x:row r="113" ht="25" customHeight="1">
      <x:c r="A113" s="22" t="str">
        <x:v>E-109</x:v>
      </x:c>
      <x:c r="B113" s="25" t="str"/>
      <x:c r="C113" s="26" t="str"/>
      <x:c r="D113" s="26" t="str"/>
      <x:c r="E113" s="27" t="str"/>
      <x:c r="F113" s="27" t="str"/>
      <x:c r="G113" s="26" t="str"/>
      <x:c r="H113" s="26" t="str"/>
      <x:c r="I113" s="26" t="str">
        <x:v>Incluir</x:v>
      </x:c>
      <x:c r="J113" s="22" t="str">
        <x:f>IF(D113="","",IF(B113="","Falta fecha",IF(AND(E113="",F113=""),"Falta monto",IF(I113&lt;&gt;"Incluir",I113,"Registrado"))))</x:f>
      </x:c>
      <x:c r="K113" s="22" t="str"/>
      <x:c r="L113" s="22" t="str"/>
    </x:row>
    <x:row r="114" ht="25" customHeight="1">
      <x:c r="A114" s="22" t="str">
        <x:v>E-110</x:v>
      </x:c>
      <x:c r="B114" s="25" t="str"/>
      <x:c r="C114" s="26" t="str"/>
      <x:c r="D114" s="26" t="str"/>
      <x:c r="E114" s="27" t="str"/>
      <x:c r="F114" s="27" t="str"/>
      <x:c r="G114" s="26" t="str"/>
      <x:c r="H114" s="26" t="str"/>
      <x:c r="I114" s="26" t="str">
        <x:v>Incluir</x:v>
      </x:c>
      <x:c r="J114" s="22" t="str">
        <x:f>IF(D114="","",IF(B114="","Falta fecha",IF(AND(E114="",F114=""),"Falta monto",IF(I114&lt;&gt;"Incluir",I114,"Registrado"))))</x:f>
      </x:c>
      <x:c r="K114" s="22" t="str"/>
      <x:c r="L114" s="22" t="str"/>
    </x:row>
    <x:row r="115" ht="25" customHeight="1">
      <x:c r="A115" s="22" t="str">
        <x:v>E-111</x:v>
      </x:c>
      <x:c r="B115" s="25" t="str"/>
      <x:c r="C115" s="26" t="str"/>
      <x:c r="D115" s="26" t="str"/>
      <x:c r="E115" s="27" t="str"/>
      <x:c r="F115" s="27" t="str"/>
      <x:c r="G115" s="26" t="str"/>
      <x:c r="H115" s="26" t="str"/>
      <x:c r="I115" s="26" t="str">
        <x:v>Incluir</x:v>
      </x:c>
      <x:c r="J115" s="22" t="str">
        <x:f>IF(D115="","",IF(B115="","Falta fecha",IF(AND(E115="",F115=""),"Falta monto",IF(I115&lt;&gt;"Incluir",I115,"Registrado"))))</x:f>
      </x:c>
      <x:c r="K115" s="22" t="str"/>
      <x:c r="L115" s="22" t="str"/>
    </x:row>
    <x:row r="116" ht="25" customHeight="1">
      <x:c r="A116" s="22" t="str">
        <x:v>E-112</x:v>
      </x:c>
      <x:c r="B116" s="25" t="str"/>
      <x:c r="C116" s="26" t="str"/>
      <x:c r="D116" s="26" t="str"/>
      <x:c r="E116" s="27" t="str"/>
      <x:c r="F116" s="27" t="str"/>
      <x:c r="G116" s="26" t="str"/>
      <x:c r="H116" s="26" t="str"/>
      <x:c r="I116" s="26" t="str">
        <x:v>Incluir</x:v>
      </x:c>
      <x:c r="J116" s="22" t="str">
        <x:f>IF(D116="","",IF(B116="","Falta fecha",IF(AND(E116="",F116=""),"Falta monto",IF(I116&lt;&gt;"Incluir",I116,"Registrado"))))</x:f>
      </x:c>
      <x:c r="K116" s="22" t="str"/>
      <x:c r="L116" s="22" t="str"/>
    </x:row>
    <x:row r="117" ht="25" customHeight="1">
      <x:c r="A117" s="22" t="str">
        <x:v>E-113</x:v>
      </x:c>
      <x:c r="B117" s="25" t="str"/>
      <x:c r="C117" s="26" t="str"/>
      <x:c r="D117" s="26" t="str"/>
      <x:c r="E117" s="27" t="str"/>
      <x:c r="F117" s="27" t="str"/>
      <x:c r="G117" s="26" t="str"/>
      <x:c r="H117" s="26" t="str"/>
      <x:c r="I117" s="26" t="str">
        <x:v>Incluir</x:v>
      </x:c>
      <x:c r="J117" s="22" t="str">
        <x:f>IF(D117="","",IF(B117="","Falta fecha",IF(AND(E117="",F117=""),"Falta monto",IF(I117&lt;&gt;"Incluir",I117,"Registrado"))))</x:f>
      </x:c>
      <x:c r="K117" s="22" t="str"/>
      <x:c r="L117" s="22" t="str"/>
    </x:row>
    <x:row r="118" ht="25" customHeight="1">
      <x:c r="A118" s="22" t="str">
        <x:v>E-114</x:v>
      </x:c>
      <x:c r="B118" s="25" t="str"/>
      <x:c r="C118" s="26" t="str"/>
      <x:c r="D118" s="26" t="str"/>
      <x:c r="E118" s="27" t="str"/>
      <x:c r="F118" s="27" t="str"/>
      <x:c r="G118" s="26" t="str"/>
      <x:c r="H118" s="26" t="str"/>
      <x:c r="I118" s="26" t="str">
        <x:v>Incluir</x:v>
      </x:c>
      <x:c r="J118" s="22" t="str">
        <x:f>IF(D118="","",IF(B118="","Falta fecha",IF(AND(E118="",F118=""),"Falta monto",IF(I118&lt;&gt;"Incluir",I118,"Registrado"))))</x:f>
      </x:c>
      <x:c r="K118" s="22" t="str"/>
      <x:c r="L118" s="22" t="str"/>
    </x:row>
    <x:row r="119" ht="25" customHeight="1">
      <x:c r="A119" s="22" t="str">
        <x:v>E-115</x:v>
      </x:c>
      <x:c r="B119" s="25" t="str"/>
      <x:c r="C119" s="26" t="str"/>
      <x:c r="D119" s="26" t="str"/>
      <x:c r="E119" s="27" t="str"/>
      <x:c r="F119" s="27" t="str"/>
      <x:c r="G119" s="26" t="str"/>
      <x:c r="H119" s="26" t="str"/>
      <x:c r="I119" s="26" t="str">
        <x:v>Incluir</x:v>
      </x:c>
      <x:c r="J119" s="22" t="str">
        <x:f>IF(D119="","",IF(B119="","Falta fecha",IF(AND(E119="",F119=""),"Falta monto",IF(I119&lt;&gt;"Incluir",I119,"Registrado"))))</x:f>
      </x:c>
      <x:c r="K119" s="22" t="str"/>
      <x:c r="L119" s="22" t="str"/>
    </x:row>
    <x:row r="120" ht="25" customHeight="1">
      <x:c r="A120" s="22" t="str">
        <x:v>E-116</x:v>
      </x:c>
      <x:c r="B120" s="25" t="str"/>
      <x:c r="C120" s="26" t="str"/>
      <x:c r="D120" s="26" t="str"/>
      <x:c r="E120" s="27" t="str"/>
      <x:c r="F120" s="27" t="str"/>
      <x:c r="G120" s="26" t="str"/>
      <x:c r="H120" s="26" t="str"/>
      <x:c r="I120" s="26" t="str">
        <x:v>Incluir</x:v>
      </x:c>
      <x:c r="J120" s="22" t="str">
        <x:f>IF(D120="","",IF(B120="","Falta fecha",IF(AND(E120="",F120=""),"Falta monto",IF(I120&lt;&gt;"Incluir",I120,"Registrado"))))</x:f>
      </x:c>
      <x:c r="K120" s="22" t="str"/>
      <x:c r="L120" s="22" t="str"/>
    </x:row>
    <x:row r="121" ht="25" customHeight="1">
      <x:c r="A121" s="22" t="str">
        <x:v>E-117</x:v>
      </x:c>
      <x:c r="B121" s="25" t="str"/>
      <x:c r="C121" s="26" t="str"/>
      <x:c r="D121" s="26" t="str"/>
      <x:c r="E121" s="27" t="str"/>
      <x:c r="F121" s="27" t="str"/>
      <x:c r="G121" s="26" t="str"/>
      <x:c r="H121" s="26" t="str"/>
      <x:c r="I121" s="26" t="str">
        <x:v>Incluir</x:v>
      </x:c>
      <x:c r="J121" s="22" t="str">
        <x:f>IF(D121="","",IF(B121="","Falta fecha",IF(AND(E121="",F121=""),"Falta monto",IF(I121&lt;&gt;"Incluir",I121,"Registrado"))))</x:f>
      </x:c>
      <x:c r="K121" s="22" t="str"/>
      <x:c r="L121" s="22" t="str"/>
    </x:row>
    <x:row r="122" ht="25" customHeight="1">
      <x:c r="A122" s="22" t="str">
        <x:v>E-118</x:v>
      </x:c>
      <x:c r="B122" s="25" t="str"/>
      <x:c r="C122" s="26" t="str"/>
      <x:c r="D122" s="26" t="str"/>
      <x:c r="E122" s="27" t="str"/>
      <x:c r="F122" s="27" t="str"/>
      <x:c r="G122" s="26" t="str"/>
      <x:c r="H122" s="26" t="str"/>
      <x:c r="I122" s="26" t="str">
        <x:v>Incluir</x:v>
      </x:c>
      <x:c r="J122" s="22" t="str">
        <x:f>IF(D122="","",IF(B122="","Falta fecha",IF(AND(E122="",F122=""),"Falta monto",IF(I122&lt;&gt;"Incluir",I122,"Registrado"))))</x:f>
      </x:c>
      <x:c r="K122" s="22" t="str"/>
      <x:c r="L122" s="22" t="str"/>
    </x:row>
    <x:row r="123" ht="25" customHeight="1">
      <x:c r="A123" s="22" t="str">
        <x:v>E-119</x:v>
      </x:c>
      <x:c r="B123" s="25" t="str"/>
      <x:c r="C123" s="26" t="str"/>
      <x:c r="D123" s="26" t="str"/>
      <x:c r="E123" s="27" t="str"/>
      <x:c r="F123" s="27" t="str"/>
      <x:c r="G123" s="26" t="str"/>
      <x:c r="H123" s="26" t="str"/>
      <x:c r="I123" s="26" t="str">
        <x:v>Incluir</x:v>
      </x:c>
      <x:c r="J123" s="22" t="str">
        <x:f>IF(D123="","",IF(B123="","Falta fecha",IF(AND(E123="",F123=""),"Falta monto",IF(I123&lt;&gt;"Incluir",I123,"Registrado"))))</x:f>
      </x:c>
      <x:c r="K123" s="22" t="str"/>
      <x:c r="L123" s="22" t="str"/>
    </x:row>
    <x:row r="124" ht="25" customHeight="1">
      <x:c r="A124" s="22" t="str">
        <x:v>E-120</x:v>
      </x:c>
      <x:c r="B124" s="25" t="str"/>
      <x:c r="C124" s="26" t="str"/>
      <x:c r="D124" s="26" t="str"/>
      <x:c r="E124" s="27" t="str"/>
      <x:c r="F124" s="27" t="str"/>
      <x:c r="G124" s="26" t="str"/>
      <x:c r="H124" s="26" t="str"/>
      <x:c r="I124" s="26" t="str">
        <x:v>Incluir</x:v>
      </x:c>
      <x:c r="J124" s="22" t="str">
        <x:f>IF(D124="","",IF(B124="","Falta fecha",IF(AND(E124="",F124=""),"Falta monto",IF(I124&lt;&gt;"Incluir",I124,"Registrado"))))</x:f>
      </x:c>
      <x:c r="K124" s="22" t="str"/>
      <x:c r="L124" s="22" t="str"/>
    </x:row>
    <x:row r="125" ht="25" customHeight="1">
      <x:c r="A125" s="22" t="str">
        <x:v>E-121</x:v>
      </x:c>
      <x:c r="B125" s="25" t="str"/>
      <x:c r="C125" s="26" t="str"/>
      <x:c r="D125" s="26" t="str"/>
      <x:c r="E125" s="27" t="str"/>
      <x:c r="F125" s="27" t="str"/>
      <x:c r="G125" s="26" t="str"/>
      <x:c r="H125" s="26" t="str"/>
      <x:c r="I125" s="26" t="str">
        <x:v>Incluir</x:v>
      </x:c>
      <x:c r="J125" s="22" t="str">
        <x:f>IF(D125="","",IF(B125="","Falta fecha",IF(AND(E125="",F125=""),"Falta monto",IF(I125&lt;&gt;"Incluir",I125,"Registrado"))))</x:f>
      </x:c>
      <x:c r="K125" s="22" t="str"/>
      <x:c r="L125" s="22" t="str"/>
    </x:row>
    <x:row r="126" ht="25" customHeight="1">
      <x:c r="A126" s="22" t="str">
        <x:v>E-122</x:v>
      </x:c>
      <x:c r="B126" s="25" t="str"/>
      <x:c r="C126" s="26" t="str"/>
      <x:c r="D126" s="26" t="str"/>
      <x:c r="E126" s="27" t="str"/>
      <x:c r="F126" s="27" t="str"/>
      <x:c r="G126" s="26" t="str"/>
      <x:c r="H126" s="26" t="str"/>
      <x:c r="I126" s="26" t="str">
        <x:v>Incluir</x:v>
      </x:c>
      <x:c r="J126" s="22" t="str">
        <x:f>IF(D126="","",IF(B126="","Falta fecha",IF(AND(E126="",F126=""),"Falta monto",IF(I126&lt;&gt;"Incluir",I126,"Registrado"))))</x:f>
      </x:c>
      <x:c r="K126" s="22" t="str"/>
      <x:c r="L126" s="22" t="str"/>
    </x:row>
    <x:row r="127" ht="25" customHeight="1">
      <x:c r="A127" s="22" t="str">
        <x:v>E-123</x:v>
      </x:c>
      <x:c r="B127" s="25" t="str"/>
      <x:c r="C127" s="26" t="str"/>
      <x:c r="D127" s="26" t="str"/>
      <x:c r="E127" s="27" t="str"/>
      <x:c r="F127" s="27" t="str"/>
      <x:c r="G127" s="26" t="str"/>
      <x:c r="H127" s="26" t="str"/>
      <x:c r="I127" s="26" t="str">
        <x:v>Incluir</x:v>
      </x:c>
      <x:c r="J127" s="22" t="str">
        <x:f>IF(D127="","",IF(B127="","Falta fecha",IF(AND(E127="",F127=""),"Falta monto",IF(I127&lt;&gt;"Incluir",I127,"Registrado"))))</x:f>
      </x:c>
      <x:c r="K127" s="22" t="str"/>
      <x:c r="L127" s="22" t="str"/>
    </x:row>
    <x:row r="128" ht="25" customHeight="1">
      <x:c r="A128" s="22" t="str">
        <x:v>E-124</x:v>
      </x:c>
      <x:c r="B128" s="25" t="str"/>
      <x:c r="C128" s="26" t="str"/>
      <x:c r="D128" s="26" t="str"/>
      <x:c r="E128" s="27" t="str"/>
      <x:c r="F128" s="27" t="str"/>
      <x:c r="G128" s="26" t="str"/>
      <x:c r="H128" s="26" t="str"/>
      <x:c r="I128" s="26" t="str">
        <x:v>Incluir</x:v>
      </x:c>
      <x:c r="J128" s="22" t="str">
        <x:f>IF(D128="","",IF(B128="","Falta fecha",IF(AND(E128="",F128=""),"Falta monto",IF(I128&lt;&gt;"Incluir",I128,"Registrado"))))</x:f>
      </x:c>
      <x:c r="K128" s="22" t="str"/>
      <x:c r="L128" s="22" t="str"/>
    </x:row>
    <x:row r="129" ht="25" customHeight="1">
      <x:c r="A129" s="22" t="str">
        <x:v>E-125</x:v>
      </x:c>
      <x:c r="B129" s="25" t="str"/>
      <x:c r="C129" s="26" t="str"/>
      <x:c r="D129" s="26" t="str"/>
      <x:c r="E129" s="27" t="str"/>
      <x:c r="F129" s="27" t="str"/>
      <x:c r="G129" s="26" t="str"/>
      <x:c r="H129" s="26" t="str"/>
      <x:c r="I129" s="26" t="str">
        <x:v>Incluir</x:v>
      </x:c>
      <x:c r="J129" s="22" t="str">
        <x:f>IF(D129="","",IF(B129="","Falta fecha",IF(AND(E129="",F129=""),"Falta monto",IF(I129&lt;&gt;"Incluir",I129,"Registrado"))))</x:f>
      </x:c>
      <x:c r="K129" s="22" t="str"/>
      <x:c r="L129" s="22" t="str"/>
    </x:row>
    <x:row r="130" ht="25" customHeight="1">
      <x:c r="A130" s="22" t="str">
        <x:v>E-126</x:v>
      </x:c>
      <x:c r="B130" s="25" t="str"/>
      <x:c r="C130" s="26" t="str"/>
      <x:c r="D130" s="26" t="str"/>
      <x:c r="E130" s="27" t="str"/>
      <x:c r="F130" s="27" t="str"/>
      <x:c r="G130" s="26" t="str"/>
      <x:c r="H130" s="26" t="str"/>
      <x:c r="I130" s="26" t="str">
        <x:v>Incluir</x:v>
      </x:c>
      <x:c r="J130" s="22" t="str">
        <x:f>IF(D130="","",IF(B130="","Falta fecha",IF(AND(E130="",F130=""),"Falta monto",IF(I130&lt;&gt;"Incluir",I130,"Registrado"))))</x:f>
      </x:c>
      <x:c r="K130" s="22" t="str"/>
      <x:c r="L130" s="22" t="str"/>
    </x:row>
    <x:row r="131" ht="25" customHeight="1">
      <x:c r="A131" s="22" t="str">
        <x:v>E-127</x:v>
      </x:c>
      <x:c r="B131" s="25" t="str"/>
      <x:c r="C131" s="26" t="str"/>
      <x:c r="D131" s="26" t="str"/>
      <x:c r="E131" s="27" t="str"/>
      <x:c r="F131" s="27" t="str"/>
      <x:c r="G131" s="26" t="str"/>
      <x:c r="H131" s="26" t="str"/>
      <x:c r="I131" s="26" t="str">
        <x:v>Incluir</x:v>
      </x:c>
      <x:c r="J131" s="22" t="str">
        <x:f>IF(D131="","",IF(B131="","Falta fecha",IF(AND(E131="",F131=""),"Falta monto",IF(I131&lt;&gt;"Incluir",I131,"Registrado"))))</x:f>
      </x:c>
      <x:c r="K131" s="22" t="str"/>
      <x:c r="L131" s="22" t="str"/>
    </x:row>
    <x:row r="132" ht="25" customHeight="1">
      <x:c r="A132" s="22" t="str">
        <x:v>E-128</x:v>
      </x:c>
      <x:c r="B132" s="25" t="str"/>
      <x:c r="C132" s="26" t="str"/>
      <x:c r="D132" s="26" t="str"/>
      <x:c r="E132" s="27" t="str"/>
      <x:c r="F132" s="27" t="str"/>
      <x:c r="G132" s="26" t="str"/>
      <x:c r="H132" s="26" t="str"/>
      <x:c r="I132" s="26" t="str">
        <x:v>Incluir</x:v>
      </x:c>
      <x:c r="J132" s="22" t="str">
        <x:f>IF(D132="","",IF(B132="","Falta fecha",IF(AND(E132="",F132=""),"Falta monto",IF(I132&lt;&gt;"Incluir",I132,"Registrado"))))</x:f>
      </x:c>
      <x:c r="K132" s="22" t="str"/>
      <x:c r="L132" s="22" t="str"/>
    </x:row>
    <x:row r="133" ht="25" customHeight="1">
      <x:c r="A133" s="22" t="str">
        <x:v>E-129</x:v>
      </x:c>
      <x:c r="B133" s="25" t="str"/>
      <x:c r="C133" s="26" t="str"/>
      <x:c r="D133" s="26" t="str"/>
      <x:c r="E133" s="27" t="str"/>
      <x:c r="F133" s="27" t="str"/>
      <x:c r="G133" s="26" t="str"/>
      <x:c r="H133" s="26" t="str"/>
      <x:c r="I133" s="26" t="str">
        <x:v>Incluir</x:v>
      </x:c>
      <x:c r="J133" s="22" t="str">
        <x:f>IF(D133="","",IF(B133="","Falta fecha",IF(AND(E133="",F133=""),"Falta monto",IF(I133&lt;&gt;"Incluir",I133,"Registrado"))))</x:f>
      </x:c>
      <x:c r="K133" s="22" t="str"/>
      <x:c r="L133" s="22" t="str"/>
    </x:row>
    <x:row r="134" ht="25" customHeight="1">
      <x:c r="A134" s="22" t="str">
        <x:v>E-130</x:v>
      </x:c>
      <x:c r="B134" s="25" t="str"/>
      <x:c r="C134" s="26" t="str"/>
      <x:c r="D134" s="26" t="str"/>
      <x:c r="E134" s="27" t="str"/>
      <x:c r="F134" s="27" t="str"/>
      <x:c r="G134" s="26" t="str"/>
      <x:c r="H134" s="26" t="str"/>
      <x:c r="I134" s="26" t="str">
        <x:v>Incluir</x:v>
      </x:c>
      <x:c r="J134" s="22" t="str">
        <x:f>IF(D134="","",IF(B134="","Falta fecha",IF(AND(E134="",F134=""),"Falta monto",IF(I134&lt;&gt;"Incluir",I134,"Registrado"))))</x:f>
      </x:c>
      <x:c r="K134" s="22" t="str"/>
      <x:c r="L134" s="22" t="str"/>
    </x:row>
    <x:row r="135" ht="25" customHeight="1">
      <x:c r="A135" s="22" t="str">
        <x:v>E-131</x:v>
      </x:c>
      <x:c r="B135" s="25" t="str"/>
      <x:c r="C135" s="26" t="str"/>
      <x:c r="D135" s="26" t="str"/>
      <x:c r="E135" s="27" t="str"/>
      <x:c r="F135" s="27" t="str"/>
      <x:c r="G135" s="26" t="str"/>
      <x:c r="H135" s="26" t="str"/>
      <x:c r="I135" s="26" t="str">
        <x:v>Incluir</x:v>
      </x:c>
      <x:c r="J135" s="22" t="str">
        <x:f>IF(D135="","",IF(B135="","Falta fecha",IF(AND(E135="",F135=""),"Falta monto",IF(I135&lt;&gt;"Incluir",I135,"Registrado"))))</x:f>
      </x:c>
      <x:c r="K135" s="22" t="str"/>
      <x:c r="L135" s="22" t="str"/>
    </x:row>
    <x:row r="136" ht="25" customHeight="1">
      <x:c r="A136" s="22" t="str">
        <x:v>E-132</x:v>
      </x:c>
      <x:c r="B136" s="25" t="str"/>
      <x:c r="C136" s="26" t="str"/>
      <x:c r="D136" s="26" t="str"/>
      <x:c r="E136" s="27" t="str"/>
      <x:c r="F136" s="27" t="str"/>
      <x:c r="G136" s="26" t="str"/>
      <x:c r="H136" s="26" t="str"/>
      <x:c r="I136" s="26" t="str">
        <x:v>Incluir</x:v>
      </x:c>
      <x:c r="J136" s="22" t="str">
        <x:f>IF(D136="","",IF(B136="","Falta fecha",IF(AND(E136="",F136=""),"Falta monto",IF(I136&lt;&gt;"Incluir",I136,"Registrado"))))</x:f>
      </x:c>
      <x:c r="K136" s="22" t="str"/>
      <x:c r="L136" s="22" t="str"/>
    </x:row>
    <x:row r="137" ht="25" customHeight="1">
      <x:c r="A137" s="22" t="str">
        <x:v>E-133</x:v>
      </x:c>
      <x:c r="B137" s="25" t="str"/>
      <x:c r="C137" s="26" t="str"/>
      <x:c r="D137" s="26" t="str"/>
      <x:c r="E137" s="27" t="str"/>
      <x:c r="F137" s="27" t="str"/>
      <x:c r="G137" s="26" t="str"/>
      <x:c r="H137" s="26" t="str"/>
      <x:c r="I137" s="26" t="str">
        <x:v>Incluir</x:v>
      </x:c>
      <x:c r="J137" s="22" t="str">
        <x:f>IF(D137="","",IF(B137="","Falta fecha",IF(AND(E137="",F137=""),"Falta monto",IF(I137&lt;&gt;"Incluir",I137,"Registrado"))))</x:f>
      </x:c>
      <x:c r="K137" s="22" t="str"/>
      <x:c r="L137" s="22" t="str"/>
    </x:row>
    <x:row r="138" ht="25" customHeight="1">
      <x:c r="A138" s="22" t="str">
        <x:v>E-134</x:v>
      </x:c>
      <x:c r="B138" s="25" t="str"/>
      <x:c r="C138" s="26" t="str"/>
      <x:c r="D138" s="26" t="str"/>
      <x:c r="E138" s="27" t="str"/>
      <x:c r="F138" s="27" t="str"/>
      <x:c r="G138" s="26" t="str"/>
      <x:c r="H138" s="26" t="str"/>
      <x:c r="I138" s="26" t="str">
        <x:v>Incluir</x:v>
      </x:c>
      <x:c r="J138" s="22" t="str">
        <x:f>IF(D138="","",IF(B138="","Falta fecha",IF(AND(E138="",F138=""),"Falta monto",IF(I138&lt;&gt;"Incluir",I138,"Registrado"))))</x:f>
      </x:c>
      <x:c r="K138" s="22" t="str"/>
      <x:c r="L138" s="22" t="str"/>
    </x:row>
    <x:row r="139" ht="25" customHeight="1">
      <x:c r="A139" s="22" t="str">
        <x:v>E-135</x:v>
      </x:c>
      <x:c r="B139" s="25" t="str"/>
      <x:c r="C139" s="26" t="str"/>
      <x:c r="D139" s="26" t="str"/>
      <x:c r="E139" s="27" t="str"/>
      <x:c r="F139" s="27" t="str"/>
      <x:c r="G139" s="26" t="str"/>
      <x:c r="H139" s="26" t="str"/>
      <x:c r="I139" s="26" t="str">
        <x:v>Incluir</x:v>
      </x:c>
      <x:c r="J139" s="22" t="str">
        <x:f>IF(D139="","",IF(B139="","Falta fecha",IF(AND(E139="",F139=""),"Falta monto",IF(I139&lt;&gt;"Incluir",I139,"Registrado"))))</x:f>
      </x:c>
      <x:c r="K139" s="22" t="str"/>
      <x:c r="L139" s="22" t="str"/>
    </x:row>
    <x:row r="140" ht="25" customHeight="1">
      <x:c r="A140" s="22" t="str">
        <x:v>E-136</x:v>
      </x:c>
      <x:c r="B140" s="25" t="str"/>
      <x:c r="C140" s="26" t="str"/>
      <x:c r="D140" s="26" t="str"/>
      <x:c r="E140" s="27" t="str"/>
      <x:c r="F140" s="27" t="str"/>
      <x:c r="G140" s="26" t="str"/>
      <x:c r="H140" s="26" t="str"/>
      <x:c r="I140" s="26" t="str">
        <x:v>Incluir</x:v>
      </x:c>
      <x:c r="J140" s="22" t="str">
        <x:f>IF(D140="","",IF(B140="","Falta fecha",IF(AND(E140="",F140=""),"Falta monto",IF(I140&lt;&gt;"Incluir",I140,"Registrado"))))</x:f>
      </x:c>
      <x:c r="K140" s="22" t="str"/>
      <x:c r="L140" s="22" t="str"/>
    </x:row>
    <x:row r="141" ht="25" customHeight="1">
      <x:c r="A141" s="22" t="str">
        <x:v>E-137</x:v>
      </x:c>
      <x:c r="B141" s="25" t="str"/>
      <x:c r="C141" s="26" t="str"/>
      <x:c r="D141" s="26" t="str"/>
      <x:c r="E141" s="27" t="str"/>
      <x:c r="F141" s="27" t="str"/>
      <x:c r="G141" s="26" t="str"/>
      <x:c r="H141" s="26" t="str"/>
      <x:c r="I141" s="26" t="str">
        <x:v>Incluir</x:v>
      </x:c>
      <x:c r="J141" s="22" t="str">
        <x:f>IF(D141="","",IF(B141="","Falta fecha",IF(AND(E141="",F141=""),"Falta monto",IF(I141&lt;&gt;"Incluir",I141,"Registrado"))))</x:f>
      </x:c>
      <x:c r="K141" s="22" t="str"/>
      <x:c r="L141" s="22" t="str"/>
    </x:row>
    <x:row r="142" ht="25" customHeight="1">
      <x:c r="A142" s="22" t="str">
        <x:v>E-138</x:v>
      </x:c>
      <x:c r="B142" s="25" t="str"/>
      <x:c r="C142" s="26" t="str"/>
      <x:c r="D142" s="26" t="str"/>
      <x:c r="E142" s="27" t="str"/>
      <x:c r="F142" s="27" t="str"/>
      <x:c r="G142" s="26" t="str"/>
      <x:c r="H142" s="26" t="str"/>
      <x:c r="I142" s="26" t="str">
        <x:v>Incluir</x:v>
      </x:c>
      <x:c r="J142" s="22" t="str">
        <x:f>IF(D142="","",IF(B142="","Falta fecha",IF(AND(E142="",F142=""),"Falta monto",IF(I142&lt;&gt;"Incluir",I142,"Registrado"))))</x:f>
      </x:c>
      <x:c r="K142" s="22" t="str"/>
      <x:c r="L142" s="22" t="str"/>
    </x:row>
    <x:row r="143" ht="25" customHeight="1">
      <x:c r="A143" s="22" t="str">
        <x:v>E-139</x:v>
      </x:c>
      <x:c r="B143" s="25" t="str"/>
      <x:c r="C143" s="26" t="str"/>
      <x:c r="D143" s="26" t="str"/>
      <x:c r="E143" s="27" t="str"/>
      <x:c r="F143" s="27" t="str"/>
      <x:c r="G143" s="26" t="str"/>
      <x:c r="H143" s="26" t="str"/>
      <x:c r="I143" s="26" t="str">
        <x:v>Incluir</x:v>
      </x:c>
      <x:c r="J143" s="22" t="str">
        <x:f>IF(D143="","",IF(B143="","Falta fecha",IF(AND(E143="",F143=""),"Falta monto",IF(I143&lt;&gt;"Incluir",I143,"Registrado"))))</x:f>
      </x:c>
      <x:c r="K143" s="22" t="str"/>
      <x:c r="L143" s="22" t="str"/>
    </x:row>
    <x:row r="144" ht="25" customHeight="1">
      <x:c r="A144" s="22" t="str">
        <x:v>E-140</x:v>
      </x:c>
      <x:c r="B144" s="25" t="str"/>
      <x:c r="C144" s="26" t="str"/>
      <x:c r="D144" s="26" t="str"/>
      <x:c r="E144" s="27" t="str"/>
      <x:c r="F144" s="27" t="str"/>
      <x:c r="G144" s="26" t="str"/>
      <x:c r="H144" s="26" t="str"/>
      <x:c r="I144" s="26" t="str">
        <x:v>Incluir</x:v>
      </x:c>
      <x:c r="J144" s="22" t="str">
        <x:f>IF(D144="","",IF(B144="","Falta fecha",IF(AND(E144="",F144=""),"Falta monto",IF(I144&lt;&gt;"Incluir",I144,"Registrado"))))</x:f>
      </x:c>
      <x:c r="K144" s="22" t="str"/>
      <x:c r="L144" s="22" t="str"/>
    </x:row>
    <x:row r="145" ht="25" customHeight="1">
      <x:c r="A145" s="22" t="str">
        <x:v>E-141</x:v>
      </x:c>
      <x:c r="B145" s="25" t="str"/>
      <x:c r="C145" s="26" t="str"/>
      <x:c r="D145" s="26" t="str"/>
      <x:c r="E145" s="27" t="str"/>
      <x:c r="F145" s="27" t="str"/>
      <x:c r="G145" s="26" t="str"/>
      <x:c r="H145" s="26" t="str"/>
      <x:c r="I145" s="26" t="str">
        <x:v>Incluir</x:v>
      </x:c>
      <x:c r="J145" s="22" t="str">
        <x:f>IF(D145="","",IF(B145="","Falta fecha",IF(AND(E145="",F145=""),"Falta monto",IF(I145&lt;&gt;"Incluir",I145,"Registrado"))))</x:f>
      </x:c>
      <x:c r="K145" s="22" t="str"/>
      <x:c r="L145" s="22" t="str"/>
    </x:row>
    <x:row r="146" ht="25" customHeight="1">
      <x:c r="A146" s="22" t="str">
        <x:v>E-142</x:v>
      </x:c>
      <x:c r="B146" s="25" t="str"/>
      <x:c r="C146" s="26" t="str"/>
      <x:c r="D146" s="26" t="str"/>
      <x:c r="E146" s="27" t="str"/>
      <x:c r="F146" s="27" t="str"/>
      <x:c r="G146" s="26" t="str"/>
      <x:c r="H146" s="26" t="str"/>
      <x:c r="I146" s="26" t="str">
        <x:v>Incluir</x:v>
      </x:c>
      <x:c r="J146" s="22" t="str">
        <x:f>IF(D146="","",IF(B146="","Falta fecha",IF(AND(E146="",F146=""),"Falta monto",IF(I146&lt;&gt;"Incluir",I146,"Registrado"))))</x:f>
      </x:c>
      <x:c r="K146" s="22" t="str"/>
      <x:c r="L146" s="22" t="str"/>
    </x:row>
    <x:row r="147" ht="25" customHeight="1">
      <x:c r="A147" s="22" t="str">
        <x:v>E-143</x:v>
      </x:c>
      <x:c r="B147" s="25" t="str"/>
      <x:c r="C147" s="26" t="str"/>
      <x:c r="D147" s="26" t="str"/>
      <x:c r="E147" s="27" t="str"/>
      <x:c r="F147" s="27" t="str"/>
      <x:c r="G147" s="26" t="str"/>
      <x:c r="H147" s="26" t="str"/>
      <x:c r="I147" s="26" t="str">
        <x:v>Incluir</x:v>
      </x:c>
      <x:c r="J147" s="22" t="str">
        <x:f>IF(D147="","",IF(B147="","Falta fecha",IF(AND(E147="",F147=""),"Falta monto",IF(I147&lt;&gt;"Incluir",I147,"Registrado"))))</x:f>
      </x:c>
      <x:c r="K147" s="22" t="str"/>
      <x:c r="L147" s="22" t="str"/>
    </x:row>
    <x:row r="148" ht="25" customHeight="1">
      <x:c r="A148" s="22" t="str">
        <x:v>E-144</x:v>
      </x:c>
      <x:c r="B148" s="25" t="str"/>
      <x:c r="C148" s="26" t="str"/>
      <x:c r="D148" s="26" t="str"/>
      <x:c r="E148" s="27" t="str"/>
      <x:c r="F148" s="27" t="str"/>
      <x:c r="G148" s="26" t="str"/>
      <x:c r="H148" s="26" t="str"/>
      <x:c r="I148" s="26" t="str">
        <x:v>Incluir</x:v>
      </x:c>
      <x:c r="J148" s="22" t="str">
        <x:f>IF(D148="","",IF(B148="","Falta fecha",IF(AND(E148="",F148=""),"Falta monto",IF(I148&lt;&gt;"Incluir",I148,"Registrado"))))</x:f>
      </x:c>
      <x:c r="K148" s="22" t="str"/>
      <x:c r="L148" s="22" t="str"/>
    </x:row>
    <x:row r="149" ht="25" customHeight="1">
      <x:c r="A149" s="22" t="str">
        <x:v>E-145</x:v>
      </x:c>
      <x:c r="B149" s="25" t="str"/>
      <x:c r="C149" s="26" t="str"/>
      <x:c r="D149" s="26" t="str"/>
      <x:c r="E149" s="27" t="str"/>
      <x:c r="F149" s="27" t="str"/>
      <x:c r="G149" s="26" t="str"/>
      <x:c r="H149" s="26" t="str"/>
      <x:c r="I149" s="26" t="str">
        <x:v>Incluir</x:v>
      </x:c>
      <x:c r="J149" s="22" t="str">
        <x:f>IF(D149="","",IF(B149="","Falta fecha",IF(AND(E149="",F149=""),"Falta monto",IF(I149&lt;&gt;"Incluir",I149,"Registrado"))))</x:f>
      </x:c>
      <x:c r="K149" s="22" t="str"/>
      <x:c r="L149" s="22" t="str"/>
    </x:row>
    <x:row r="150" ht="25" customHeight="1">
      <x:c r="A150" s="22" t="str">
        <x:v>E-146</x:v>
      </x:c>
      <x:c r="B150" s="25" t="str"/>
      <x:c r="C150" s="26" t="str"/>
      <x:c r="D150" s="26" t="str"/>
      <x:c r="E150" s="27" t="str"/>
      <x:c r="F150" s="27" t="str"/>
      <x:c r="G150" s="26" t="str"/>
      <x:c r="H150" s="26" t="str"/>
      <x:c r="I150" s="26" t="str">
        <x:v>Incluir</x:v>
      </x:c>
      <x:c r="J150" s="22" t="str">
        <x:f>IF(D150="","",IF(B150="","Falta fecha",IF(AND(E150="",F150=""),"Falta monto",IF(I150&lt;&gt;"Incluir",I150,"Registrado"))))</x:f>
      </x:c>
      <x:c r="K150" s="22" t="str"/>
      <x:c r="L150" s="22" t="str"/>
    </x:row>
    <x:row r="151" ht="25" customHeight="1">
      <x:c r="A151" s="22" t="str">
        <x:v>E-147</x:v>
      </x:c>
      <x:c r="B151" s="25" t="str"/>
      <x:c r="C151" s="26" t="str"/>
      <x:c r="D151" s="26" t="str"/>
      <x:c r="E151" s="27" t="str"/>
      <x:c r="F151" s="27" t="str"/>
      <x:c r="G151" s="26" t="str"/>
      <x:c r="H151" s="26" t="str"/>
      <x:c r="I151" s="26" t="str">
        <x:v>Incluir</x:v>
      </x:c>
      <x:c r="J151" s="22" t="str">
        <x:f>IF(D151="","",IF(B151="","Falta fecha",IF(AND(E151="",F151=""),"Falta monto",IF(I151&lt;&gt;"Incluir",I151,"Registrado"))))</x:f>
      </x:c>
      <x:c r="K151" s="22" t="str"/>
      <x:c r="L151" s="22" t="str"/>
    </x:row>
    <x:row r="152" ht="25" customHeight="1">
      <x:c r="A152" s="22" t="str">
        <x:v>E-148</x:v>
      </x:c>
      <x:c r="B152" s="25" t="str"/>
      <x:c r="C152" s="26" t="str"/>
      <x:c r="D152" s="26" t="str"/>
      <x:c r="E152" s="27" t="str"/>
      <x:c r="F152" s="27" t="str"/>
      <x:c r="G152" s="26" t="str"/>
      <x:c r="H152" s="26" t="str"/>
      <x:c r="I152" s="26" t="str">
        <x:v>Incluir</x:v>
      </x:c>
      <x:c r="J152" s="22" t="str">
        <x:f>IF(D152="","",IF(B152="","Falta fecha",IF(AND(E152="",F152=""),"Falta monto",IF(I152&lt;&gt;"Incluir",I152,"Registrado"))))</x:f>
      </x:c>
      <x:c r="K152" s="22" t="str"/>
      <x:c r="L152" s="22" t="str"/>
    </x:row>
    <x:row r="153" ht="25" customHeight="1">
      <x:c r="A153" s="22" t="str">
        <x:v>E-149</x:v>
      </x:c>
      <x:c r="B153" s="25" t="str"/>
      <x:c r="C153" s="26" t="str"/>
      <x:c r="D153" s="26" t="str"/>
      <x:c r="E153" s="27" t="str"/>
      <x:c r="F153" s="27" t="str"/>
      <x:c r="G153" s="26" t="str"/>
      <x:c r="H153" s="26" t="str"/>
      <x:c r="I153" s="26" t="str">
        <x:v>Incluir</x:v>
      </x:c>
      <x:c r="J153" s="22" t="str">
        <x:f>IF(D153="","",IF(B153="","Falta fecha",IF(AND(E153="",F153=""),"Falta monto",IF(I153&lt;&gt;"Incluir",I153,"Registrado"))))</x:f>
      </x:c>
      <x:c r="K153" s="22" t="str"/>
      <x:c r="L153" s="22" t="str"/>
    </x:row>
    <x:row r="154" ht="25" customHeight="1">
      <x:c r="A154" s="22" t="str">
        <x:v>E-150</x:v>
      </x:c>
      <x:c r="B154" s="25" t="str"/>
      <x:c r="C154" s="26" t="str"/>
      <x:c r="D154" s="26" t="str"/>
      <x:c r="E154" s="27" t="str"/>
      <x:c r="F154" s="27" t="str"/>
      <x:c r="G154" s="26" t="str"/>
      <x:c r="H154" s="26" t="str"/>
      <x:c r="I154" s="26" t="str">
        <x:v>Incluir</x:v>
      </x:c>
      <x:c r="J154" s="22" t="str">
        <x:f>IF(D154="","",IF(B154="","Falta fecha",IF(AND(E154="",F154=""),"Falta monto",IF(I154&lt;&gt;"Incluir",I154,"Registrado"))))</x:f>
      </x:c>
      <x:c r="K154" s="22" t="str"/>
      <x:c r="L154" s="22" t="str"/>
    </x:row>
    <x:row r="155" ht="25" customHeight="1">
      <x:c r="A155" s="22" t="str">
        <x:v>E-151</x:v>
      </x:c>
      <x:c r="B155" s="25" t="str"/>
      <x:c r="C155" s="26" t="str"/>
      <x:c r="D155" s="26" t="str"/>
      <x:c r="E155" s="27" t="str"/>
      <x:c r="F155" s="27" t="str"/>
      <x:c r="G155" s="26" t="str"/>
      <x:c r="H155" s="26" t="str"/>
      <x:c r="I155" s="26" t="str">
        <x:v>Incluir</x:v>
      </x:c>
      <x:c r="J155" s="22" t="str">
        <x:f>IF(D155="","",IF(B155="","Falta fecha",IF(AND(E155="",F155=""),"Falta monto",IF(I155&lt;&gt;"Incluir",I155,"Registrado"))))</x:f>
      </x:c>
      <x:c r="K155" s="22" t="str"/>
      <x:c r="L155" s="22" t="str"/>
    </x:row>
    <x:row r="156" ht="25" customHeight="1">
      <x:c r="A156" s="22" t="str">
        <x:v>E-152</x:v>
      </x:c>
      <x:c r="B156" s="25" t="str"/>
      <x:c r="C156" s="26" t="str"/>
      <x:c r="D156" s="26" t="str"/>
      <x:c r="E156" s="27" t="str"/>
      <x:c r="F156" s="27" t="str"/>
      <x:c r="G156" s="26" t="str"/>
      <x:c r="H156" s="26" t="str"/>
      <x:c r="I156" s="26" t="str">
        <x:v>Incluir</x:v>
      </x:c>
      <x:c r="J156" s="22" t="str">
        <x:f>IF(D156="","",IF(B156="","Falta fecha",IF(AND(E156="",F156=""),"Falta monto",IF(I156&lt;&gt;"Incluir",I156,"Registrado"))))</x:f>
      </x:c>
      <x:c r="K156" s="22" t="str"/>
      <x:c r="L156" s="22" t="str"/>
    </x:row>
    <x:row r="157" ht="25" customHeight="1">
      <x:c r="A157" s="22" t="str">
        <x:v>E-153</x:v>
      </x:c>
      <x:c r="B157" s="25" t="str"/>
      <x:c r="C157" s="26" t="str"/>
      <x:c r="D157" s="26" t="str"/>
      <x:c r="E157" s="27" t="str"/>
      <x:c r="F157" s="27" t="str"/>
      <x:c r="G157" s="26" t="str"/>
      <x:c r="H157" s="26" t="str"/>
      <x:c r="I157" s="26" t="str">
        <x:v>Incluir</x:v>
      </x:c>
      <x:c r="J157" s="22" t="str">
        <x:f>IF(D157="","",IF(B157="","Falta fecha",IF(AND(E157="",F157=""),"Falta monto",IF(I157&lt;&gt;"Incluir",I157,"Registrado"))))</x:f>
      </x:c>
      <x:c r="K157" s="22" t="str"/>
      <x:c r="L157" s="22" t="str"/>
    </x:row>
    <x:row r="158" ht="25" customHeight="1">
      <x:c r="A158" s="22" t="str">
        <x:v>E-154</x:v>
      </x:c>
      <x:c r="B158" s="25" t="str"/>
      <x:c r="C158" s="26" t="str"/>
      <x:c r="D158" s="26" t="str"/>
      <x:c r="E158" s="27" t="str"/>
      <x:c r="F158" s="27" t="str"/>
      <x:c r="G158" s="26" t="str"/>
      <x:c r="H158" s="26" t="str"/>
      <x:c r="I158" s="26" t="str">
        <x:v>Incluir</x:v>
      </x:c>
      <x:c r="J158" s="22" t="str">
        <x:f>IF(D158="","",IF(B158="","Falta fecha",IF(AND(E158="",F158=""),"Falta monto",IF(I158&lt;&gt;"Incluir",I158,"Registrado"))))</x:f>
      </x:c>
      <x:c r="K158" s="22" t="str"/>
      <x:c r="L158" s="22" t="str"/>
    </x:row>
    <x:row r="159" ht="25" customHeight="1">
      <x:c r="A159" s="22" t="str">
        <x:v>E-155</x:v>
      </x:c>
      <x:c r="B159" s="25" t="str"/>
      <x:c r="C159" s="26" t="str"/>
      <x:c r="D159" s="26" t="str"/>
      <x:c r="E159" s="27" t="str"/>
      <x:c r="F159" s="27" t="str"/>
      <x:c r="G159" s="26" t="str"/>
      <x:c r="H159" s="26" t="str"/>
      <x:c r="I159" s="26" t="str">
        <x:v>Incluir</x:v>
      </x:c>
      <x:c r="J159" s="22" t="str">
        <x:f>IF(D159="","",IF(B159="","Falta fecha",IF(AND(E159="",F159=""),"Falta monto",IF(I159&lt;&gt;"Incluir",I159,"Registrado"))))</x:f>
      </x:c>
      <x:c r="K159" s="22" t="str"/>
      <x:c r="L159" s="22" t="str"/>
    </x:row>
    <x:row r="160" ht="25" customHeight="1">
      <x:c r="A160" s="22" t="str">
        <x:v>E-156</x:v>
      </x:c>
      <x:c r="B160" s="25" t="str"/>
      <x:c r="C160" s="26" t="str"/>
      <x:c r="D160" s="26" t="str"/>
      <x:c r="E160" s="27" t="str"/>
      <x:c r="F160" s="27" t="str"/>
      <x:c r="G160" s="26" t="str"/>
      <x:c r="H160" s="26" t="str"/>
      <x:c r="I160" s="26" t="str">
        <x:v>Incluir</x:v>
      </x:c>
      <x:c r="J160" s="22" t="str">
        <x:f>IF(D160="","",IF(B160="","Falta fecha",IF(AND(E160="",F160=""),"Falta monto",IF(I160&lt;&gt;"Incluir",I160,"Registrado"))))</x:f>
      </x:c>
      <x:c r="K160" s="22" t="str"/>
      <x:c r="L160" s="22" t="str"/>
    </x:row>
    <x:row r="161" ht="25" customHeight="1">
      <x:c r="A161" s="22" t="str">
        <x:v>E-157</x:v>
      </x:c>
      <x:c r="B161" s="25" t="str"/>
      <x:c r="C161" s="26" t="str"/>
      <x:c r="D161" s="26" t="str"/>
      <x:c r="E161" s="27" t="str"/>
      <x:c r="F161" s="27" t="str"/>
      <x:c r="G161" s="26" t="str"/>
      <x:c r="H161" s="26" t="str"/>
      <x:c r="I161" s="26" t="str">
        <x:v>Incluir</x:v>
      </x:c>
      <x:c r="J161" s="22" t="str">
        <x:f>IF(D161="","",IF(B161="","Falta fecha",IF(AND(E161="",F161=""),"Falta monto",IF(I161&lt;&gt;"Incluir",I161,"Registrado"))))</x:f>
      </x:c>
      <x:c r="K161" s="22" t="str"/>
      <x:c r="L161" s="22" t="str"/>
    </x:row>
    <x:row r="162" ht="25" customHeight="1">
      <x:c r="A162" s="22" t="str">
        <x:v>E-158</x:v>
      </x:c>
      <x:c r="B162" s="25" t="str"/>
      <x:c r="C162" s="26" t="str"/>
      <x:c r="D162" s="26" t="str"/>
      <x:c r="E162" s="27" t="str"/>
      <x:c r="F162" s="27" t="str"/>
      <x:c r="G162" s="26" t="str"/>
      <x:c r="H162" s="26" t="str"/>
      <x:c r="I162" s="26" t="str">
        <x:v>Incluir</x:v>
      </x:c>
      <x:c r="J162" s="22" t="str">
        <x:f>IF(D162="","",IF(B162="","Falta fecha",IF(AND(E162="",F162=""),"Falta monto",IF(I162&lt;&gt;"Incluir",I162,"Registrado"))))</x:f>
      </x:c>
      <x:c r="K162" s="22" t="str"/>
      <x:c r="L162" s="22" t="str"/>
    </x:row>
    <x:row r="163" ht="25" customHeight="1">
      <x:c r="A163" s="22" t="str">
        <x:v>E-159</x:v>
      </x:c>
      <x:c r="B163" s="25" t="str"/>
      <x:c r="C163" s="26" t="str"/>
      <x:c r="D163" s="26" t="str"/>
      <x:c r="E163" s="27" t="str"/>
      <x:c r="F163" s="27" t="str"/>
      <x:c r="G163" s="26" t="str"/>
      <x:c r="H163" s="26" t="str"/>
      <x:c r="I163" s="26" t="str">
        <x:v>Incluir</x:v>
      </x:c>
      <x:c r="J163" s="22" t="str">
        <x:f>IF(D163="","",IF(B163="","Falta fecha",IF(AND(E163="",F163=""),"Falta monto",IF(I163&lt;&gt;"Incluir",I163,"Registrado"))))</x:f>
      </x:c>
      <x:c r="K163" s="22" t="str"/>
      <x:c r="L163" s="22" t="str"/>
    </x:row>
    <x:row r="164" ht="25" customHeight="1">
      <x:c r="A164" s="22" t="str">
        <x:v>E-160</x:v>
      </x:c>
      <x:c r="B164" s="25" t="str"/>
      <x:c r="C164" s="26" t="str"/>
      <x:c r="D164" s="26" t="str"/>
      <x:c r="E164" s="27" t="str"/>
      <x:c r="F164" s="27" t="str"/>
      <x:c r="G164" s="26" t="str"/>
      <x:c r="H164" s="26" t="str"/>
      <x:c r="I164" s="26" t="str">
        <x:v>Incluir</x:v>
      </x:c>
      <x:c r="J164" s="22" t="str">
        <x:f>IF(D164="","",IF(B164="","Falta fecha",IF(AND(E164="",F164=""),"Falta monto",IF(I164&lt;&gt;"Incluir",I164,"Registrado"))))</x:f>
      </x:c>
      <x:c r="K164" s="22" t="str"/>
      <x:c r="L164" s="22" t="str"/>
    </x:row>
    <x:row r="165" ht="25" customHeight="1">
      <x:c r="A165" s="22" t="str">
        <x:v>E-161</x:v>
      </x:c>
      <x:c r="B165" s="25" t="str"/>
      <x:c r="C165" s="26" t="str"/>
      <x:c r="D165" s="26" t="str"/>
      <x:c r="E165" s="27" t="str"/>
      <x:c r="F165" s="27" t="str"/>
      <x:c r="G165" s="26" t="str"/>
      <x:c r="H165" s="26" t="str"/>
      <x:c r="I165" s="26" t="str">
        <x:v>Incluir</x:v>
      </x:c>
      <x:c r="J165" s="22" t="str">
        <x:f>IF(D165="","",IF(B165="","Falta fecha",IF(AND(E165="",F165=""),"Falta monto",IF(I165&lt;&gt;"Incluir",I165,"Registrado"))))</x:f>
      </x:c>
      <x:c r="K165" s="22" t="str"/>
      <x:c r="L165" s="22" t="str"/>
    </x:row>
    <x:row r="166" ht="25" customHeight="1">
      <x:c r="A166" s="22" t="str">
        <x:v>E-162</x:v>
      </x:c>
      <x:c r="B166" s="25" t="str"/>
      <x:c r="C166" s="26" t="str"/>
      <x:c r="D166" s="26" t="str"/>
      <x:c r="E166" s="27" t="str"/>
      <x:c r="F166" s="27" t="str"/>
      <x:c r="G166" s="26" t="str"/>
      <x:c r="H166" s="26" t="str"/>
      <x:c r="I166" s="26" t="str">
        <x:v>Incluir</x:v>
      </x:c>
      <x:c r="J166" s="22" t="str">
        <x:f>IF(D166="","",IF(B166="","Falta fecha",IF(AND(E166="",F166=""),"Falta monto",IF(I166&lt;&gt;"Incluir",I166,"Registrado"))))</x:f>
      </x:c>
      <x:c r="K166" s="22" t="str"/>
      <x:c r="L166" s="22" t="str"/>
    </x:row>
    <x:row r="167" ht="25" customHeight="1">
      <x:c r="A167" s="22" t="str">
        <x:v>E-163</x:v>
      </x:c>
      <x:c r="B167" s="25" t="str"/>
      <x:c r="C167" s="26" t="str"/>
      <x:c r="D167" s="26" t="str"/>
      <x:c r="E167" s="27" t="str"/>
      <x:c r="F167" s="27" t="str"/>
      <x:c r="G167" s="26" t="str"/>
      <x:c r="H167" s="26" t="str"/>
      <x:c r="I167" s="26" t="str">
        <x:v>Incluir</x:v>
      </x:c>
      <x:c r="J167" s="22" t="str">
        <x:f>IF(D167="","",IF(B167="","Falta fecha",IF(AND(E167="",F167=""),"Falta monto",IF(I167&lt;&gt;"Incluir",I167,"Registrado"))))</x:f>
      </x:c>
      <x:c r="K167" s="22" t="str"/>
      <x:c r="L167" s="22" t="str"/>
    </x:row>
    <x:row r="168" ht="25" customHeight="1">
      <x:c r="A168" s="22" t="str">
        <x:v>E-164</x:v>
      </x:c>
      <x:c r="B168" s="25" t="str"/>
      <x:c r="C168" s="26" t="str"/>
      <x:c r="D168" s="26" t="str"/>
      <x:c r="E168" s="27" t="str"/>
      <x:c r="F168" s="27" t="str"/>
      <x:c r="G168" s="26" t="str"/>
      <x:c r="H168" s="26" t="str"/>
      <x:c r="I168" s="26" t="str">
        <x:v>Incluir</x:v>
      </x:c>
      <x:c r="J168" s="22" t="str">
        <x:f>IF(D168="","",IF(B168="","Falta fecha",IF(AND(E168="",F168=""),"Falta monto",IF(I168&lt;&gt;"Incluir",I168,"Registrado"))))</x:f>
      </x:c>
      <x:c r="K168" s="22" t="str"/>
      <x:c r="L168" s="22" t="str"/>
    </x:row>
    <x:row r="169" ht="25" customHeight="1">
      <x:c r="A169" s="22" t="str">
        <x:v>E-165</x:v>
      </x:c>
      <x:c r="B169" s="25" t="str"/>
      <x:c r="C169" s="26" t="str"/>
      <x:c r="D169" s="26" t="str"/>
      <x:c r="E169" s="27" t="str"/>
      <x:c r="F169" s="27" t="str"/>
      <x:c r="G169" s="26" t="str"/>
      <x:c r="H169" s="26" t="str"/>
      <x:c r="I169" s="26" t="str">
        <x:v>Incluir</x:v>
      </x:c>
      <x:c r="J169" s="22" t="str">
        <x:f>IF(D169="","",IF(B169="","Falta fecha",IF(AND(E169="",F169=""),"Falta monto",IF(I169&lt;&gt;"Incluir",I169,"Registrado"))))</x:f>
      </x:c>
      <x:c r="K169" s="22" t="str"/>
      <x:c r="L169" s="22" t="str"/>
    </x:row>
    <x:row r="170" ht="25" customHeight="1">
      <x:c r="A170" s="22" t="str">
        <x:v>E-166</x:v>
      </x:c>
      <x:c r="B170" s="25" t="str"/>
      <x:c r="C170" s="26" t="str"/>
      <x:c r="D170" s="26" t="str"/>
      <x:c r="E170" s="27" t="str"/>
      <x:c r="F170" s="27" t="str"/>
      <x:c r="G170" s="26" t="str"/>
      <x:c r="H170" s="26" t="str"/>
      <x:c r="I170" s="26" t="str">
        <x:v>Incluir</x:v>
      </x:c>
      <x:c r="J170" s="22" t="str">
        <x:f>IF(D170="","",IF(B170="","Falta fecha",IF(AND(E170="",F170=""),"Falta monto",IF(I170&lt;&gt;"Incluir",I170,"Registrado"))))</x:f>
      </x:c>
      <x:c r="K170" s="22" t="str"/>
      <x:c r="L170" s="22" t="str"/>
    </x:row>
    <x:row r="171" ht="25" customHeight="1">
      <x:c r="A171" s="22" t="str">
        <x:v>E-167</x:v>
      </x:c>
      <x:c r="B171" s="25" t="str"/>
      <x:c r="C171" s="26" t="str"/>
      <x:c r="D171" s="26" t="str"/>
      <x:c r="E171" s="27" t="str"/>
      <x:c r="F171" s="27" t="str"/>
      <x:c r="G171" s="26" t="str"/>
      <x:c r="H171" s="26" t="str"/>
      <x:c r="I171" s="26" t="str">
        <x:v>Incluir</x:v>
      </x:c>
      <x:c r="J171" s="22" t="str">
        <x:f>IF(D171="","",IF(B171="","Falta fecha",IF(AND(E171="",F171=""),"Falta monto",IF(I171&lt;&gt;"Incluir",I171,"Registrado"))))</x:f>
      </x:c>
      <x:c r="K171" s="22" t="str"/>
      <x:c r="L171" s="22" t="str"/>
    </x:row>
    <x:row r="172" ht="25" customHeight="1">
      <x:c r="A172" s="22" t="str">
        <x:v>E-168</x:v>
      </x:c>
      <x:c r="B172" s="25" t="str"/>
      <x:c r="C172" s="26" t="str"/>
      <x:c r="D172" s="26" t="str"/>
      <x:c r="E172" s="27" t="str"/>
      <x:c r="F172" s="27" t="str"/>
      <x:c r="G172" s="26" t="str"/>
      <x:c r="H172" s="26" t="str"/>
      <x:c r="I172" s="26" t="str">
        <x:v>Incluir</x:v>
      </x:c>
      <x:c r="J172" s="22" t="str">
        <x:f>IF(D172="","",IF(B172="","Falta fecha",IF(AND(E172="",F172=""),"Falta monto",IF(I172&lt;&gt;"Incluir",I172,"Registrado"))))</x:f>
      </x:c>
      <x:c r="K172" s="22" t="str"/>
      <x:c r="L172" s="22" t="str"/>
    </x:row>
    <x:row r="173" ht="25" customHeight="1">
      <x:c r="A173" s="22" t="str">
        <x:v>E-169</x:v>
      </x:c>
      <x:c r="B173" s="25" t="str"/>
      <x:c r="C173" s="26" t="str"/>
      <x:c r="D173" s="26" t="str"/>
      <x:c r="E173" s="27" t="str"/>
      <x:c r="F173" s="27" t="str"/>
      <x:c r="G173" s="26" t="str"/>
      <x:c r="H173" s="26" t="str"/>
      <x:c r="I173" s="26" t="str">
        <x:v>Incluir</x:v>
      </x:c>
      <x:c r="J173" s="22" t="str">
        <x:f>IF(D173="","",IF(B173="","Falta fecha",IF(AND(E173="",F173=""),"Falta monto",IF(I173&lt;&gt;"Incluir",I173,"Registrado"))))</x:f>
      </x:c>
      <x:c r="K173" s="22" t="str"/>
      <x:c r="L173" s="22" t="str"/>
    </x:row>
    <x:row r="174" ht="25" customHeight="1">
      <x:c r="A174" s="22" t="str">
        <x:v>E-170</x:v>
      </x:c>
      <x:c r="B174" s="25" t="str"/>
      <x:c r="C174" s="26" t="str"/>
      <x:c r="D174" s="26" t="str"/>
      <x:c r="E174" s="27" t="str"/>
      <x:c r="F174" s="27" t="str"/>
      <x:c r="G174" s="26" t="str"/>
      <x:c r="H174" s="26" t="str"/>
      <x:c r="I174" s="26" t="str">
        <x:v>Incluir</x:v>
      </x:c>
      <x:c r="J174" s="22" t="str">
        <x:f>IF(D174="","",IF(B174="","Falta fecha",IF(AND(E174="",F174=""),"Falta monto",IF(I174&lt;&gt;"Incluir",I174,"Registrado"))))</x:f>
      </x:c>
      <x:c r="K174" s="22" t="str"/>
      <x:c r="L174" s="22" t="str"/>
    </x:row>
    <x:row r="175" ht="25" customHeight="1">
      <x:c r="A175" s="22" t="str">
        <x:v>E-171</x:v>
      </x:c>
      <x:c r="B175" s="25" t="str"/>
      <x:c r="C175" s="26" t="str"/>
      <x:c r="D175" s="26" t="str"/>
      <x:c r="E175" s="27" t="str"/>
      <x:c r="F175" s="27" t="str"/>
      <x:c r="G175" s="26" t="str"/>
      <x:c r="H175" s="26" t="str"/>
      <x:c r="I175" s="26" t="str">
        <x:v>Incluir</x:v>
      </x:c>
      <x:c r="J175" s="22" t="str">
        <x:f>IF(D175="","",IF(B175="","Falta fecha",IF(AND(E175="",F175=""),"Falta monto",IF(I175&lt;&gt;"Incluir",I175,"Registrado"))))</x:f>
      </x:c>
      <x:c r="K175" s="22" t="str"/>
      <x:c r="L175" s="22" t="str"/>
    </x:row>
    <x:row r="176" ht="25" customHeight="1">
      <x:c r="A176" s="22" t="str">
        <x:v>E-172</x:v>
      </x:c>
      <x:c r="B176" s="25" t="str"/>
      <x:c r="C176" s="26" t="str"/>
      <x:c r="D176" s="26" t="str"/>
      <x:c r="E176" s="27" t="str"/>
      <x:c r="F176" s="27" t="str"/>
      <x:c r="G176" s="26" t="str"/>
      <x:c r="H176" s="26" t="str"/>
      <x:c r="I176" s="26" t="str">
        <x:v>Incluir</x:v>
      </x:c>
      <x:c r="J176" s="22" t="str">
        <x:f>IF(D176="","",IF(B176="","Falta fecha",IF(AND(E176="",F176=""),"Falta monto",IF(I176&lt;&gt;"Incluir",I176,"Registrado"))))</x:f>
      </x:c>
      <x:c r="K176" s="22" t="str"/>
      <x:c r="L176" s="22" t="str"/>
    </x:row>
    <x:row r="177" ht="25" customHeight="1">
      <x:c r="A177" s="22" t="str">
        <x:v>E-173</x:v>
      </x:c>
      <x:c r="B177" s="25" t="str"/>
      <x:c r="C177" s="26" t="str"/>
      <x:c r="D177" s="26" t="str"/>
      <x:c r="E177" s="27" t="str"/>
      <x:c r="F177" s="27" t="str"/>
      <x:c r="G177" s="26" t="str"/>
      <x:c r="H177" s="26" t="str"/>
      <x:c r="I177" s="26" t="str">
        <x:v>Incluir</x:v>
      </x:c>
      <x:c r="J177" s="22" t="str">
        <x:f>IF(D177="","",IF(B177="","Falta fecha",IF(AND(E177="",F177=""),"Falta monto",IF(I177&lt;&gt;"Incluir",I177,"Registrado"))))</x:f>
      </x:c>
      <x:c r="K177" s="22" t="str"/>
      <x:c r="L177" s="22" t="str"/>
    </x:row>
    <x:row r="178" ht="25" customHeight="1">
      <x:c r="A178" s="22" t="str">
        <x:v>E-174</x:v>
      </x:c>
      <x:c r="B178" s="25" t="str"/>
      <x:c r="C178" s="26" t="str"/>
      <x:c r="D178" s="26" t="str"/>
      <x:c r="E178" s="27" t="str"/>
      <x:c r="F178" s="27" t="str"/>
      <x:c r="G178" s="26" t="str"/>
      <x:c r="H178" s="26" t="str"/>
      <x:c r="I178" s="26" t="str">
        <x:v>Incluir</x:v>
      </x:c>
      <x:c r="J178" s="22" t="str">
        <x:f>IF(D178="","",IF(B178="","Falta fecha",IF(AND(E178="",F178=""),"Falta monto",IF(I178&lt;&gt;"Incluir",I178,"Registrado"))))</x:f>
      </x:c>
      <x:c r="K178" s="22" t="str"/>
      <x:c r="L178" s="22" t="str"/>
    </x:row>
    <x:row r="179" ht="25" customHeight="1">
      <x:c r="A179" s="22" t="str">
        <x:v>E-175</x:v>
      </x:c>
      <x:c r="B179" s="25" t="str"/>
      <x:c r="C179" s="26" t="str"/>
      <x:c r="D179" s="26" t="str"/>
      <x:c r="E179" s="27" t="str"/>
      <x:c r="F179" s="27" t="str"/>
      <x:c r="G179" s="26" t="str"/>
      <x:c r="H179" s="26" t="str"/>
      <x:c r="I179" s="26" t="str">
        <x:v>Incluir</x:v>
      </x:c>
      <x:c r="J179" s="22" t="str">
        <x:f>IF(D179="","",IF(B179="","Falta fecha",IF(AND(E179="",F179=""),"Falta monto",IF(I179&lt;&gt;"Incluir",I179,"Registrado"))))</x:f>
      </x:c>
      <x:c r="K179" s="22" t="str"/>
      <x:c r="L179" s="22" t="str"/>
    </x:row>
    <x:row r="180" ht="25" customHeight="1">
      <x:c r="A180" s="22" t="str">
        <x:v>E-176</x:v>
      </x:c>
      <x:c r="B180" s="25" t="str"/>
      <x:c r="C180" s="26" t="str"/>
      <x:c r="D180" s="26" t="str"/>
      <x:c r="E180" s="27" t="str"/>
      <x:c r="F180" s="27" t="str"/>
      <x:c r="G180" s="26" t="str"/>
      <x:c r="H180" s="26" t="str"/>
      <x:c r="I180" s="26" t="str">
        <x:v>Incluir</x:v>
      </x:c>
      <x:c r="J180" s="22" t="str">
        <x:f>IF(D180="","",IF(B180="","Falta fecha",IF(AND(E180="",F180=""),"Falta monto",IF(I180&lt;&gt;"Incluir",I180,"Registrado"))))</x:f>
      </x:c>
      <x:c r="K180" s="22" t="str"/>
      <x:c r="L180" s="22" t="str"/>
    </x:row>
    <x:row r="181" ht="25" customHeight="1">
      <x:c r="A181" s="22" t="str">
        <x:v>E-177</x:v>
      </x:c>
      <x:c r="B181" s="25" t="str"/>
      <x:c r="C181" s="26" t="str"/>
      <x:c r="D181" s="26" t="str"/>
      <x:c r="E181" s="27" t="str"/>
      <x:c r="F181" s="27" t="str"/>
      <x:c r="G181" s="26" t="str"/>
      <x:c r="H181" s="26" t="str"/>
      <x:c r="I181" s="26" t="str">
        <x:v>Incluir</x:v>
      </x:c>
      <x:c r="J181" s="22" t="str">
        <x:f>IF(D181="","",IF(B181="","Falta fecha",IF(AND(E181="",F181=""),"Falta monto",IF(I181&lt;&gt;"Incluir",I181,"Registrado"))))</x:f>
      </x:c>
      <x:c r="K181" s="22" t="str"/>
      <x:c r="L181" s="22" t="str"/>
    </x:row>
    <x:row r="182" ht="25" customHeight="1">
      <x:c r="A182" s="22" t="str">
        <x:v>E-178</x:v>
      </x:c>
      <x:c r="B182" s="25" t="str"/>
      <x:c r="C182" s="26" t="str"/>
      <x:c r="D182" s="26" t="str"/>
      <x:c r="E182" s="27" t="str"/>
      <x:c r="F182" s="27" t="str"/>
      <x:c r="G182" s="26" t="str"/>
      <x:c r="H182" s="26" t="str"/>
      <x:c r="I182" s="26" t="str">
        <x:v>Incluir</x:v>
      </x:c>
      <x:c r="J182" s="22" t="str">
        <x:f>IF(D182="","",IF(B182="","Falta fecha",IF(AND(E182="",F182=""),"Falta monto",IF(I182&lt;&gt;"Incluir",I182,"Registrado"))))</x:f>
      </x:c>
      <x:c r="K182" s="22" t="str"/>
      <x:c r="L182" s="22" t="str"/>
    </x:row>
    <x:row r="183" ht="25" customHeight="1">
      <x:c r="A183" s="22" t="str">
        <x:v>E-179</x:v>
      </x:c>
      <x:c r="B183" s="25" t="str"/>
      <x:c r="C183" s="26" t="str"/>
      <x:c r="D183" s="26" t="str"/>
      <x:c r="E183" s="27" t="str"/>
      <x:c r="F183" s="27" t="str"/>
      <x:c r="G183" s="26" t="str"/>
      <x:c r="H183" s="26" t="str"/>
      <x:c r="I183" s="26" t="str">
        <x:v>Incluir</x:v>
      </x:c>
      <x:c r="J183" s="22" t="str">
        <x:f>IF(D183="","",IF(B183="","Falta fecha",IF(AND(E183="",F183=""),"Falta monto",IF(I183&lt;&gt;"Incluir",I183,"Registrado"))))</x:f>
      </x:c>
      <x:c r="K183" s="22" t="str"/>
      <x:c r="L183" s="22" t="str"/>
    </x:row>
    <x:row r="184" ht="25" customHeight="1">
      <x:c r="A184" s="22" t="str">
        <x:v>E-180</x:v>
      </x:c>
      <x:c r="B184" s="25" t="str"/>
      <x:c r="C184" s="26" t="str"/>
      <x:c r="D184" s="26" t="str"/>
      <x:c r="E184" s="27" t="str"/>
      <x:c r="F184" s="27" t="str"/>
      <x:c r="G184" s="26" t="str"/>
      <x:c r="H184" s="26" t="str"/>
      <x:c r="I184" s="26" t="str">
        <x:v>Incluir</x:v>
      </x:c>
      <x:c r="J184" s="22" t="str">
        <x:f>IF(D184="","",IF(B184="","Falta fecha",IF(AND(E184="",F184=""),"Falta monto",IF(I184&lt;&gt;"Incluir",I184,"Registrado"))))</x:f>
      </x:c>
      <x:c r="K184" s="22" t="str"/>
      <x:c r="L184" s="22" t="str"/>
    </x:row>
    <x:row r="185" ht="25" customHeight="1">
      <x:c r="A185" s="22" t="str">
        <x:v>E-181</x:v>
      </x:c>
      <x:c r="B185" s="25" t="str"/>
      <x:c r="C185" s="26" t="str"/>
      <x:c r="D185" s="26" t="str"/>
      <x:c r="E185" s="27" t="str"/>
      <x:c r="F185" s="27" t="str"/>
      <x:c r="G185" s="26" t="str"/>
      <x:c r="H185" s="26" t="str"/>
      <x:c r="I185" s="26" t="str">
        <x:v>Incluir</x:v>
      </x:c>
      <x:c r="J185" s="22" t="str">
        <x:f>IF(D185="","",IF(B185="","Falta fecha",IF(AND(E185="",F185=""),"Falta monto",IF(I185&lt;&gt;"Incluir",I185,"Registrado"))))</x:f>
      </x:c>
      <x:c r="K185" s="22" t="str"/>
      <x:c r="L185" s="22" t="str"/>
    </x:row>
    <x:row r="186" ht="25" customHeight="1">
      <x:c r="A186" s="22" t="str">
        <x:v>E-182</x:v>
      </x:c>
      <x:c r="B186" s="25" t="str"/>
      <x:c r="C186" s="26" t="str"/>
      <x:c r="D186" s="26" t="str"/>
      <x:c r="E186" s="27" t="str"/>
      <x:c r="F186" s="27" t="str"/>
      <x:c r="G186" s="26" t="str"/>
      <x:c r="H186" s="26" t="str"/>
      <x:c r="I186" s="26" t="str">
        <x:v>Incluir</x:v>
      </x:c>
      <x:c r="J186" s="22" t="str">
        <x:f>IF(D186="","",IF(B186="","Falta fecha",IF(AND(E186="",F186=""),"Falta monto",IF(I186&lt;&gt;"Incluir",I186,"Registrado"))))</x:f>
      </x:c>
      <x:c r="K186" s="22" t="str"/>
      <x:c r="L186" s="22" t="str"/>
    </x:row>
    <x:row r="187" ht="25" customHeight="1">
      <x:c r="A187" s="22" t="str">
        <x:v>E-183</x:v>
      </x:c>
      <x:c r="B187" s="25" t="str"/>
      <x:c r="C187" s="26" t="str"/>
      <x:c r="D187" s="26" t="str"/>
      <x:c r="E187" s="27" t="str"/>
      <x:c r="F187" s="27" t="str"/>
      <x:c r="G187" s="26" t="str"/>
      <x:c r="H187" s="26" t="str"/>
      <x:c r="I187" s="26" t="str">
        <x:v>Incluir</x:v>
      </x:c>
      <x:c r="J187" s="22" t="str">
        <x:f>IF(D187="","",IF(B187="","Falta fecha",IF(AND(E187="",F187=""),"Falta monto",IF(I187&lt;&gt;"Incluir",I187,"Registrado"))))</x:f>
      </x:c>
      <x:c r="K187" s="22" t="str"/>
      <x:c r="L187" s="22" t="str"/>
    </x:row>
    <x:row r="188" ht="25" customHeight="1">
      <x:c r="A188" s="22" t="str">
        <x:v>E-184</x:v>
      </x:c>
      <x:c r="B188" s="25" t="str"/>
      <x:c r="C188" s="26" t="str"/>
      <x:c r="D188" s="26" t="str"/>
      <x:c r="E188" s="27" t="str"/>
      <x:c r="F188" s="27" t="str"/>
      <x:c r="G188" s="26" t="str"/>
      <x:c r="H188" s="26" t="str"/>
      <x:c r="I188" s="26" t="str">
        <x:v>Incluir</x:v>
      </x:c>
      <x:c r="J188" s="22" t="str">
        <x:f>IF(D188="","",IF(B188="","Falta fecha",IF(AND(E188="",F188=""),"Falta monto",IF(I188&lt;&gt;"Incluir",I188,"Registrado"))))</x:f>
      </x:c>
      <x:c r="K188" s="22" t="str"/>
      <x:c r="L188" s="22" t="str"/>
    </x:row>
    <x:row r="189" ht="25" customHeight="1">
      <x:c r="A189" s="22" t="str">
        <x:v>E-185</x:v>
      </x:c>
      <x:c r="B189" s="25" t="str"/>
      <x:c r="C189" s="26" t="str"/>
      <x:c r="D189" s="26" t="str"/>
      <x:c r="E189" s="27" t="str"/>
      <x:c r="F189" s="27" t="str"/>
      <x:c r="G189" s="26" t="str"/>
      <x:c r="H189" s="26" t="str"/>
      <x:c r="I189" s="26" t="str">
        <x:v>Incluir</x:v>
      </x:c>
      <x:c r="J189" s="22" t="str">
        <x:f>IF(D189="","",IF(B189="","Falta fecha",IF(AND(E189="",F189=""),"Falta monto",IF(I189&lt;&gt;"Incluir",I189,"Registrado"))))</x:f>
      </x:c>
      <x:c r="K189" s="22" t="str"/>
      <x:c r="L189" s="22" t="str"/>
    </x:row>
    <x:row r="190" ht="25" customHeight="1">
      <x:c r="A190" s="22" t="str">
        <x:v>E-186</x:v>
      </x:c>
      <x:c r="B190" s="25" t="str"/>
      <x:c r="C190" s="26" t="str"/>
      <x:c r="D190" s="26" t="str"/>
      <x:c r="E190" s="27" t="str"/>
      <x:c r="F190" s="27" t="str"/>
      <x:c r="G190" s="26" t="str"/>
      <x:c r="H190" s="26" t="str"/>
      <x:c r="I190" s="26" t="str">
        <x:v>Incluir</x:v>
      </x:c>
      <x:c r="J190" s="22" t="str">
        <x:f>IF(D190="","",IF(B190="","Falta fecha",IF(AND(E190="",F190=""),"Falta monto",IF(I190&lt;&gt;"Incluir",I190,"Registrado"))))</x:f>
      </x:c>
      <x:c r="K190" s="22" t="str"/>
      <x:c r="L190" s="22" t="str"/>
    </x:row>
    <x:row r="191" ht="25" customHeight="1">
      <x:c r="A191" s="22" t="str">
        <x:v>E-187</x:v>
      </x:c>
      <x:c r="B191" s="25" t="str"/>
      <x:c r="C191" s="26" t="str"/>
      <x:c r="D191" s="26" t="str"/>
      <x:c r="E191" s="27" t="str"/>
      <x:c r="F191" s="27" t="str"/>
      <x:c r="G191" s="26" t="str"/>
      <x:c r="H191" s="26" t="str"/>
      <x:c r="I191" s="26" t="str">
        <x:v>Incluir</x:v>
      </x:c>
      <x:c r="J191" s="22" t="str">
        <x:f>IF(D191="","",IF(B191="","Falta fecha",IF(AND(E191="",F191=""),"Falta monto",IF(I191&lt;&gt;"Incluir",I191,"Registrado"))))</x:f>
      </x:c>
      <x:c r="K191" s="22" t="str"/>
      <x:c r="L191" s="22" t="str"/>
    </x:row>
    <x:row r="192" ht="25" customHeight="1">
      <x:c r="A192" s="22" t="str">
        <x:v>E-188</x:v>
      </x:c>
      <x:c r="B192" s="25" t="str"/>
      <x:c r="C192" s="26" t="str"/>
      <x:c r="D192" s="26" t="str"/>
      <x:c r="E192" s="27" t="str"/>
      <x:c r="F192" s="27" t="str"/>
      <x:c r="G192" s="26" t="str"/>
      <x:c r="H192" s="26" t="str"/>
      <x:c r="I192" s="26" t="str">
        <x:v>Incluir</x:v>
      </x:c>
      <x:c r="J192" s="22" t="str">
        <x:f>IF(D192="","",IF(B192="","Falta fecha",IF(AND(E192="",F192=""),"Falta monto",IF(I192&lt;&gt;"Incluir",I192,"Registrado"))))</x:f>
      </x:c>
      <x:c r="K192" s="22" t="str"/>
      <x:c r="L192" s="22" t="str"/>
    </x:row>
    <x:row r="193" ht="25" customHeight="1">
      <x:c r="A193" s="22" t="str">
        <x:v>E-189</x:v>
      </x:c>
      <x:c r="B193" s="25" t="str"/>
      <x:c r="C193" s="26" t="str"/>
      <x:c r="D193" s="26" t="str"/>
      <x:c r="E193" s="27" t="str"/>
      <x:c r="F193" s="27" t="str"/>
      <x:c r="G193" s="26" t="str"/>
      <x:c r="H193" s="26" t="str"/>
      <x:c r="I193" s="26" t="str">
        <x:v>Incluir</x:v>
      </x:c>
      <x:c r="J193" s="22" t="str">
        <x:f>IF(D193="","",IF(B193="","Falta fecha",IF(AND(E193="",F193=""),"Falta monto",IF(I193&lt;&gt;"Incluir",I193,"Registrado"))))</x:f>
      </x:c>
      <x:c r="K193" s="22" t="str"/>
      <x:c r="L193" s="22" t="str"/>
    </x:row>
    <x:row r="194" ht="25" customHeight="1">
      <x:c r="A194" s="22" t="str">
        <x:v>E-190</x:v>
      </x:c>
      <x:c r="B194" s="25" t="str"/>
      <x:c r="C194" s="26" t="str"/>
      <x:c r="D194" s="26" t="str"/>
      <x:c r="E194" s="27" t="str"/>
      <x:c r="F194" s="27" t="str"/>
      <x:c r="G194" s="26" t="str"/>
      <x:c r="H194" s="26" t="str"/>
      <x:c r="I194" s="26" t="str">
        <x:v>Incluir</x:v>
      </x:c>
      <x:c r="J194" s="22" t="str">
        <x:f>IF(D194="","",IF(B194="","Falta fecha",IF(AND(E194="",F194=""),"Falta monto",IF(I194&lt;&gt;"Incluir",I194,"Registrado"))))</x:f>
      </x:c>
      <x:c r="K194" s="22" t="str"/>
      <x:c r="L194" s="22" t="str"/>
    </x:row>
    <x:row r="195" ht="25" customHeight="1">
      <x:c r="A195" s="22" t="str">
        <x:v>E-191</x:v>
      </x:c>
      <x:c r="B195" s="25" t="str"/>
      <x:c r="C195" s="26" t="str"/>
      <x:c r="D195" s="26" t="str"/>
      <x:c r="E195" s="27" t="str"/>
      <x:c r="F195" s="27" t="str"/>
      <x:c r="G195" s="26" t="str"/>
      <x:c r="H195" s="26" t="str"/>
      <x:c r="I195" s="26" t="str">
        <x:v>Incluir</x:v>
      </x:c>
      <x:c r="J195" s="22" t="str">
        <x:f>IF(D195="","",IF(B195="","Falta fecha",IF(AND(E195="",F195=""),"Falta monto",IF(I195&lt;&gt;"Incluir",I195,"Registrado"))))</x:f>
      </x:c>
      <x:c r="K195" s="22" t="str"/>
      <x:c r="L195" s="22" t="str"/>
    </x:row>
    <x:row r="196" ht="25" customHeight="1">
      <x:c r="A196" s="22" t="str">
        <x:v>E-192</x:v>
      </x:c>
      <x:c r="B196" s="25" t="str"/>
      <x:c r="C196" s="26" t="str"/>
      <x:c r="D196" s="26" t="str"/>
      <x:c r="E196" s="27" t="str"/>
      <x:c r="F196" s="27" t="str"/>
      <x:c r="G196" s="26" t="str"/>
      <x:c r="H196" s="26" t="str"/>
      <x:c r="I196" s="26" t="str">
        <x:v>Incluir</x:v>
      </x:c>
      <x:c r="J196" s="22" t="str">
        <x:f>IF(D196="","",IF(B196="","Falta fecha",IF(AND(E196="",F196=""),"Falta monto",IF(I196&lt;&gt;"Incluir",I196,"Registrado"))))</x:f>
      </x:c>
      <x:c r="K196" s="22" t="str"/>
      <x:c r="L196" s="22" t="str"/>
    </x:row>
    <x:row r="197" ht="25" customHeight="1">
      <x:c r="A197" s="22" t="str">
        <x:v>E-193</x:v>
      </x:c>
      <x:c r="B197" s="25" t="str"/>
      <x:c r="C197" s="26" t="str"/>
      <x:c r="D197" s="26" t="str"/>
      <x:c r="E197" s="27" t="str"/>
      <x:c r="F197" s="27" t="str"/>
      <x:c r="G197" s="26" t="str"/>
      <x:c r="H197" s="26" t="str"/>
      <x:c r="I197" s="26" t="str">
        <x:v>Incluir</x:v>
      </x:c>
      <x:c r="J197" s="22" t="str">
        <x:f>IF(D197="","",IF(B197="","Falta fecha",IF(AND(E197="",F197=""),"Falta monto",IF(I197&lt;&gt;"Incluir",I197,"Registrado"))))</x:f>
      </x:c>
      <x:c r="K197" s="22" t="str"/>
      <x:c r="L197" s="22" t="str"/>
    </x:row>
    <x:row r="198" ht="25" customHeight="1">
      <x:c r="A198" s="22" t="str">
        <x:v>E-194</x:v>
      </x:c>
      <x:c r="B198" s="25" t="str"/>
      <x:c r="C198" s="26" t="str"/>
      <x:c r="D198" s="26" t="str"/>
      <x:c r="E198" s="27" t="str"/>
      <x:c r="F198" s="27" t="str"/>
      <x:c r="G198" s="26" t="str"/>
      <x:c r="H198" s="26" t="str"/>
      <x:c r="I198" s="26" t="str">
        <x:v>Incluir</x:v>
      </x:c>
      <x:c r="J198" s="22" t="str">
        <x:f>IF(D198="","",IF(B198="","Falta fecha",IF(AND(E198="",F198=""),"Falta monto",IF(I198&lt;&gt;"Incluir",I198,"Registrado"))))</x:f>
      </x:c>
      <x:c r="K198" s="22" t="str"/>
      <x:c r="L198" s="22" t="str"/>
    </x:row>
    <x:row r="199" ht="25" customHeight="1">
      <x:c r="A199" s="22" t="str">
        <x:v>E-195</x:v>
      </x:c>
      <x:c r="B199" s="25" t="str"/>
      <x:c r="C199" s="26" t="str"/>
      <x:c r="D199" s="26" t="str"/>
      <x:c r="E199" s="27" t="str"/>
      <x:c r="F199" s="27" t="str"/>
      <x:c r="G199" s="26" t="str"/>
      <x:c r="H199" s="26" t="str"/>
      <x:c r="I199" s="26" t="str">
        <x:v>Incluir</x:v>
      </x:c>
      <x:c r="J199" s="22" t="str">
        <x:f>IF(D199="","",IF(B199="","Falta fecha",IF(AND(E199="",F199=""),"Falta monto",IF(I199&lt;&gt;"Incluir",I199,"Registrado"))))</x:f>
      </x:c>
      <x:c r="K199" s="22" t="str"/>
      <x:c r="L199" s="22" t="str"/>
    </x:row>
    <x:row r="200" ht="25" customHeight="1">
      <x:c r="A200" s="22" t="str">
        <x:v>E-196</x:v>
      </x:c>
      <x:c r="B200" s="25" t="str"/>
      <x:c r="C200" s="26" t="str"/>
      <x:c r="D200" s="26" t="str"/>
      <x:c r="E200" s="27" t="str"/>
      <x:c r="F200" s="27" t="str"/>
      <x:c r="G200" s="26" t="str"/>
      <x:c r="H200" s="26" t="str"/>
      <x:c r="I200" s="26" t="str">
        <x:v>Incluir</x:v>
      </x:c>
      <x:c r="J200" s="22" t="str">
        <x:f>IF(D200="","",IF(B200="","Falta fecha",IF(AND(E200="",F200=""),"Falta monto",IF(I200&lt;&gt;"Incluir",I200,"Registrado"))))</x:f>
      </x:c>
      <x:c r="K200" s="22" t="str"/>
      <x:c r="L200" s="22" t="str"/>
    </x:row>
    <x:row r="201" ht="25" customHeight="1">
      <x:c r="A201" s="22" t="str">
        <x:v>E-197</x:v>
      </x:c>
      <x:c r="B201" s="25" t="str"/>
      <x:c r="C201" s="26" t="str"/>
      <x:c r="D201" s="26" t="str"/>
      <x:c r="E201" s="27" t="str"/>
      <x:c r="F201" s="27" t="str"/>
      <x:c r="G201" s="26" t="str"/>
      <x:c r="H201" s="26" t="str"/>
      <x:c r="I201" s="26" t="str">
        <x:v>Incluir</x:v>
      </x:c>
      <x:c r="J201" s="22" t="str">
        <x:f>IF(D201="","",IF(B201="","Falta fecha",IF(AND(E201="",F201=""),"Falta monto",IF(I201&lt;&gt;"Incluir",I201,"Registrado"))))</x:f>
      </x:c>
      <x:c r="K201" s="22" t="str"/>
      <x:c r="L201" s="22" t="str"/>
    </x:row>
    <x:row r="202" ht="25" customHeight="1">
      <x:c r="A202" s="22" t="str">
        <x:v>E-198</x:v>
      </x:c>
      <x:c r="B202" s="25" t="str"/>
      <x:c r="C202" s="26" t="str"/>
      <x:c r="D202" s="26" t="str"/>
      <x:c r="E202" s="27" t="str"/>
      <x:c r="F202" s="27" t="str"/>
      <x:c r="G202" s="26" t="str"/>
      <x:c r="H202" s="26" t="str"/>
      <x:c r="I202" s="26" t="str">
        <x:v>Incluir</x:v>
      </x:c>
      <x:c r="J202" s="22" t="str">
        <x:f>IF(D202="","",IF(B202="","Falta fecha",IF(AND(E202="",F202=""),"Falta monto",IF(I202&lt;&gt;"Incluir",I202,"Registrado"))))</x:f>
      </x:c>
      <x:c r="K202" s="22" t="str"/>
      <x:c r="L202" s="22" t="str"/>
    </x:row>
    <x:row r="203" ht="25" customHeight="1">
      <x:c r="A203" s="22" t="str">
        <x:v>E-199</x:v>
      </x:c>
      <x:c r="B203" s="25" t="str"/>
      <x:c r="C203" s="26" t="str"/>
      <x:c r="D203" s="26" t="str"/>
      <x:c r="E203" s="27" t="str"/>
      <x:c r="F203" s="27" t="str"/>
      <x:c r="G203" s="26" t="str"/>
      <x:c r="H203" s="26" t="str"/>
      <x:c r="I203" s="26" t="str">
        <x:v>Incluir</x:v>
      </x:c>
      <x:c r="J203" s="22" t="str">
        <x:f>IF(D203="","",IF(B203="","Falta fecha",IF(AND(E203="",F203=""),"Falta monto",IF(I203&lt;&gt;"Incluir",I203,"Registrado"))))</x:f>
      </x:c>
      <x:c r="K203" s="22" t="str"/>
      <x:c r="L203" s="22" t="str"/>
    </x:row>
    <x:row r="204" ht="25" customHeight="1">
      <x:c r="A204" s="22" t="str">
        <x:v>E-200</x:v>
      </x:c>
      <x:c r="B204" s="25" t="str"/>
      <x:c r="C204" s="26" t="str"/>
      <x:c r="D204" s="26" t="str"/>
      <x:c r="E204" s="27" t="str"/>
      <x:c r="F204" s="27" t="str"/>
      <x:c r="G204" s="26" t="str"/>
      <x:c r="H204" s="26" t="str"/>
      <x:c r="I204" s="26" t="str">
        <x:v>Incluir</x:v>
      </x:c>
      <x:c r="J204" s="22" t="str">
        <x:f>IF(D204="","",IF(B204="","Falta fecha",IF(AND(E204="",F204=""),"Falta monto",IF(I204&lt;&gt;"Incluir",I204,"Registrado"))))</x:f>
      </x:c>
      <x:c r="K204" s="22" t="str"/>
      <x:c r="L204" s="22" t="str"/>
    </x:row>
  </x:sheetData>
  <x:conditionalFormatting sqref="J5:J204">
    <x:cfRule type="containsText" dxfId="13" priority="1" operator="containsText" text="Moroso"/>
    <x:cfRule type="containsText" dxfId="14" priority="2" operator="containsText" text="Por conciliar"/>
    <x:cfRule type="containsText" dxfId="15" priority="3" operator="containsText" text="Pagado"/>
    <x:cfRule type="containsText" dxfId="16" priority="4" operator="containsText" text="Revisar"/>
    <x:cfRule type="containsText" dxfId="17" priority="5" operator="containsText" text="Falta"/>
    <x:cfRule type="containsText" dxfId="18" priority="6" operator="containsText" text="duplicad"/>
  </x:conditionalFormatting>
  <x:dataValidations count="4">
    <x:dataValidation type="list" sqref="C5:C204">
      <x:formula1>"Compra,Gasto"</x:formula1>
    </x:dataValidation>
    <x:dataValidation type="list" sqref="G5:G204">
      <x:formula1>"USDT,BCV,Divisa,Bs,EUR,USD sin tasa"</x:formula1>
    </x:dataValidation>
    <x:dataValidation type="list" sqref="I5:I204">
      <x:formula1>"Incluir,Revisar,Sin caja,Anulado"</x:formula1>
    </x:dataValidation>
    <x:dataValidation type="list" sqref="H5:H204">
      <x:formula1>"Pago móvil,Efectivo,Binance,Transferencia,Sin confirmar"</x:formula1>
    </x:dataValidation>
  </x:dataValidations>
  <x:pageMargins left="0.7" right="0.7" top="0.75" bottom="0.75" header="0.3" footer="0.3"/>
  <x:tableParts count="1">
    <x:tablePart xmlns:r="http://schemas.openxmlformats.org/officeDocument/2006/relationships" r:id="R4d8397b6efb740e4"/>
  </x:tableParts>
</x:worksheet>
</file>

<file path=xl/worksheets/sheet5.xml><?xml version="1.0" encoding="utf-8"?>
<x:worksheet xmlns:x="http://schemas.openxmlformats.org/spreadsheetml/2006/main">
  <x:sheetPr>
    <x:tabColor rgb="FF19364B"/>
  </x:sheetPr>
  <x:sheetViews>
    <x:sheetView showGridLines="0" workbookViewId="0">
      <x:pane xSplit="1" ySplit="4" topLeftCell="B5" activePane="bottomRight" state="frozen"/>
    </x:sheetView>
  </x:sheetViews>
  <x:sheetFormatPr defaultRowHeight="15"/>
  <x:cols>
    <x:col min="1" max="1" width="26" hidden="0" customWidth="1"/>
    <x:col min="2" max="2" width="13" hidden="0" customWidth="1"/>
    <x:col min="3" max="3" width="22" hidden="0" customWidth="1"/>
    <x:col min="4" max="4" width="20" hidden="0" customWidth="1"/>
    <x:col min="5" max="5" width="20" hidden="0" customWidth="1"/>
    <x:col min="6" max="6" width="22" hidden="0" customWidth="1"/>
    <x:col min="7" max="7" width="22" hidden="0" customWidth="1"/>
    <x:col min="8" max="8" width="23" hidden="0" customWidth="1"/>
    <x:col min="9" max="9" width="28" hidden="0" customWidth="1"/>
    <x:col min="10" max="10" width="21" hidden="0" customWidth="1"/>
  </x:cols>
  <x:sheetData>
    <x:row r="1">
      <x:c r="A1" s="22"/>
      <x:c r="B1" s="22"/>
      <x:c r="C1" s="22"/>
      <x:c r="D1" s="22"/>
      <x:c r="E1" s="22"/>
      <x:c r="F1" s="22"/>
      <x:c r="G1" s="22"/>
      <x:c r="H1" s="22"/>
      <x:c r="I1" s="22"/>
      <x:c r="J1" s="22"/>
    </x:row>
    <x:row r="2">
      <x:c r="A2" s="23" t="str">
        <x:v>Clientes y cartera</x:v>
      </x:c>
      <x:c r="B2" s="22"/>
      <x:c r="C2" s="22"/>
      <x:c r="D2" s="22"/>
      <x:c r="E2" s="22"/>
      <x:c r="F2" s="22"/>
      <x:c r="G2" s="22"/>
      <x:c r="H2" s="22"/>
      <x:c r="I2" s="22"/>
      <x:c r="J2" s="22"/>
    </x:row>
    <x:row r="3">
      <x:c r="A3" s="24" t="str">
        <x:v>Agregue un nombre aquí antes de usarlo en VENTAS. Saldos separados por base. Filtre ESTADO para gestionar cobranza.</x:v>
      </x:c>
      <x:c r="B3" s="22"/>
      <x:c r="C3" s="22"/>
      <x:c r="D3" s="22"/>
      <x:c r="E3" s="22"/>
      <x:c r="F3" s="22"/>
      <x:c r="G3" s="22"/>
      <x:c r="H3" s="22"/>
      <x:c r="I3" s="22"/>
      <x:c r="J3" s="22"/>
    </x:row>
    <x:row r="4" ht="34" customHeight="1">
      <x:c r="A4" s="11" t="str">
        <x:v>Cliente</x:v>
      </x:c>
      <x:c r="B4" s="11" t="str">
        <x:v>Ventas</x:v>
      </x:c>
      <x:c r="C4" s="11" t="str">
        <x:v>Saldo BCV $ ref.</x:v>
      </x:c>
      <x:c r="D4" s="11" t="str">
        <x:v>Saldo USDT $</x:v>
      </x:c>
      <x:c r="E4" s="11" t="str">
        <x:v>Saldo Divisa $</x:v>
      </x:c>
      <x:c r="F4" s="11" t="str">
        <x:v>Saldo sin base $</x:v>
      </x:c>
      <x:c r="G4" s="11" t="str">
        <x:v>Vencido $ ref.</x:v>
      </x:c>
      <x:c r="H4" s="11" t="str">
        <x:v>Ventas por conciliar</x:v>
      </x:c>
      <x:c r="I4" s="11" t="str">
        <x:v>Estado</x:v>
      </x:c>
      <x:c r="J4" s="11" t="str">
        <x:v>Nombre único</x:v>
      </x:c>
    </x:row>
    <x:row r="5" ht="25" customHeight="1">
      <x:c r="A5" s="26" t="str">
        <x:v>Adolfito</x:v>
      </x:c>
      <x:c r="B5" s="22" t="n">
        <x:f>IF(A5="","",COUNTIFS('VENTAS'!$C$5:$C$254,A5))</x:f>
        <x:v>1</x:v>
      </x:c>
      <x:c r="C5" s="28" t="n">
        <x:f>IF(A5="","",SUMIFS('VENTAS'!$H$5:$H$254,'VENTAS'!$C$5:$C$254,A5,'VENTAS'!$F$5:$F$254,"BCV"))</x:f>
        <x:v>0</x:v>
      </x:c>
      <x:c r="D5" s="28" t="n">
        <x:f>IF(A5="","",SUMIFS('VENTAS'!$H$5:$H$254,'VENTAS'!$C$5:$C$254,A5,'VENTAS'!$F$5:$F$254,"USDT"))</x:f>
        <x:v>0</x:v>
      </x:c>
      <x:c r="E5" s="28" t="n">
        <x:f>IF(A5="","",SUMIFS('VENTAS'!$H$5:$H$254,'VENTAS'!$C$5:$C$254,A5,'VENTAS'!$F$5:$F$254,"Divisa"))</x:f>
        <x:v>0</x:v>
      </x:c>
      <x:c r="F5" s="28" t="n">
        <x:f>IF(A5="","",SUMIFS('VENTAS'!$H$5:$H$254,'VENTAS'!$C$5:$C$254,A5,'VENTAS'!$F$5:$F$254,"Sin confirmar"))</x:f>
        <x:v>0</x:v>
      </x:c>
      <x:c r="G5" s="28" t="n">
        <x:f>IF(A5="","",SUMIFS('VENTAS'!$H$5:$H$254,'VENTAS'!$C$5:$C$254,A5,'VENTAS'!$I$5:$I$254,"Moroso"))</x:f>
        <x:v>0</x:v>
      </x:c>
      <x:c r="H5" s="22" t="n">
        <x:f>IF(A5="","",COUNTIFS('VENTAS'!$C$5:$C$254,A5,'VENTAS'!$I$5:$I$254,"Por conciliar"))</x:f>
        <x:v>0</x:v>
      </x:c>
      <x:c r="I5" s="22" t="str">
        <x:f>IF(A5="","",IF(G5&gt;0,IF(H5&gt;0,"Moroso + revisar","Moroso"),IF(H5&gt;0,"Por conciliar",IF(SUM(C5:F5)&gt;0,"Deuda vigente","Sin saldo"))))</x:f>
        <x:v>Sin saldo</x:v>
      </x:c>
      <x:c r="J5" s="22" t="str">
        <x:f>IF(A5="","",IF(COUNTIFS($A$5:$A$154,A5)&gt;1,"Nombre duplicado","Correcto"))</x:f>
        <x:v>Correcto</x:v>
      </x:c>
    </x:row>
    <x:row r="6" ht="25" customHeight="1">
      <x:c r="A6" s="26" t="str">
        <x:v>Alejandro Blanco</x:v>
      </x:c>
      <x:c r="B6" s="22" t="n">
        <x:f>IF(A6="","",COUNTIFS('VENTAS'!$C$5:$C$254,A6))</x:f>
        <x:v>2</x:v>
      </x:c>
      <x:c r="C6" s="28" t="n">
        <x:f>IF(A6="","",SUMIFS('VENTAS'!$H$5:$H$254,'VENTAS'!$C$5:$C$254,A6,'VENTAS'!$F$5:$F$254,"BCV"))</x:f>
        <x:v>0</x:v>
      </x:c>
      <x:c r="D6" s="28" t="n">
        <x:f>IF(A6="","",SUMIFS('VENTAS'!$H$5:$H$254,'VENTAS'!$C$5:$C$254,A6,'VENTAS'!$F$5:$F$254,"USDT"))</x:f>
        <x:v>0</x:v>
      </x:c>
      <x:c r="E6" s="28" t="n">
        <x:f>IF(A6="","",SUMIFS('VENTAS'!$H$5:$H$254,'VENTAS'!$C$5:$C$254,A6,'VENTAS'!$F$5:$F$254,"Divisa"))</x:f>
        <x:v>0</x:v>
      </x:c>
      <x:c r="F6" s="28" t="n">
        <x:f>IF(A6="","",SUMIFS('VENTAS'!$H$5:$H$254,'VENTAS'!$C$5:$C$254,A6,'VENTAS'!$F$5:$F$254,"Sin confirmar"))</x:f>
        <x:v>0</x:v>
      </x:c>
      <x:c r="G6" s="28" t="n">
        <x:f>IF(A6="","",SUMIFS('VENTAS'!$H$5:$H$254,'VENTAS'!$C$5:$C$254,A6,'VENTAS'!$I$5:$I$254,"Moroso"))</x:f>
        <x:v>0</x:v>
      </x:c>
      <x:c r="H6" s="22" t="n">
        <x:f>IF(A6="","",COUNTIFS('VENTAS'!$C$5:$C$254,A6,'VENTAS'!$I$5:$I$254,"Por conciliar"))</x:f>
        <x:v>2</x:v>
      </x:c>
      <x:c r="I6" s="22" t="str">
        <x:f>IF(A6="","",IF(G6&gt;0,IF(H6&gt;0,"Moroso + revisar","Moroso"),IF(H6&gt;0,"Por conciliar",IF(SUM(C6:F6)&gt;0,"Deuda vigente","Sin saldo"))))</x:f>
        <x:v>Por conciliar</x:v>
      </x:c>
      <x:c r="J6" s="22" t="str">
        <x:f>IF(A6="","",IF(COUNTIFS($A$5:$A$154,A6)&gt;1,"Nombre duplicado","Correcto"))</x:f>
        <x:v>Correcto</x:v>
      </x:c>
    </x:row>
    <x:row r="7" ht="25" customHeight="1">
      <x:c r="A7" s="26" t="str">
        <x:v>Amarista</x:v>
      </x:c>
      <x:c r="B7" s="22" t="n">
        <x:f>IF(A7="","",COUNTIFS('VENTAS'!$C$5:$C$254,A7))</x:f>
        <x:v>3</x:v>
      </x:c>
      <x:c r="C7" s="28" t="n">
        <x:f>IF(A7="","",SUMIFS('VENTAS'!$H$5:$H$254,'VENTAS'!$C$5:$C$254,A7,'VENTAS'!$F$5:$F$254,"BCV"))</x:f>
        <x:v>0</x:v>
      </x:c>
      <x:c r="D7" s="28" t="n">
        <x:f>IF(A7="","",SUMIFS('VENTAS'!$H$5:$H$254,'VENTAS'!$C$5:$C$254,A7,'VENTAS'!$F$5:$F$254,"USDT"))</x:f>
        <x:v>0</x:v>
      </x:c>
      <x:c r="E7" s="28" t="n">
        <x:f>IF(A7="","",SUMIFS('VENTAS'!$H$5:$H$254,'VENTAS'!$C$5:$C$254,A7,'VENTAS'!$F$5:$F$254,"Divisa"))</x:f>
        <x:v>0</x:v>
      </x:c>
      <x:c r="F7" s="28" t="n">
        <x:f>IF(A7="","",SUMIFS('VENTAS'!$H$5:$H$254,'VENTAS'!$C$5:$C$254,A7,'VENTAS'!$F$5:$F$254,"Sin confirmar"))</x:f>
        <x:v>0</x:v>
      </x:c>
      <x:c r="G7" s="28" t="n">
        <x:f>IF(A7="","",SUMIFS('VENTAS'!$H$5:$H$254,'VENTAS'!$C$5:$C$254,A7,'VENTAS'!$I$5:$I$254,"Moroso"))</x:f>
        <x:v>0</x:v>
      </x:c>
      <x:c r="H7" s="22" t="n">
        <x:f>IF(A7="","",COUNTIFS('VENTAS'!$C$5:$C$254,A7,'VENTAS'!$I$5:$I$254,"Por conciliar"))</x:f>
        <x:v>0</x:v>
      </x:c>
      <x:c r="I7" s="22" t="str">
        <x:f>IF(A7="","",IF(G7&gt;0,IF(H7&gt;0,"Moroso + revisar","Moroso"),IF(H7&gt;0,"Por conciliar",IF(SUM(C7:F7)&gt;0,"Deuda vigente","Sin saldo"))))</x:f>
        <x:v>Sin saldo</x:v>
      </x:c>
      <x:c r="J7" s="22" t="str">
        <x:f>IF(A7="","",IF(COUNTIFS($A$5:$A$154,A7)&gt;1,"Nombre duplicado","Correcto"))</x:f>
        <x:v>Correcto</x:v>
      </x:c>
    </x:row>
    <x:row r="8" ht="25" customHeight="1">
      <x:c r="A8" s="26" t="str">
        <x:v>Anderson</x:v>
      </x:c>
      <x:c r="B8" s="22" t="n">
        <x:f>IF(A8="","",COUNTIFS('VENTAS'!$C$5:$C$254,A8))</x:f>
        <x:v>3</x:v>
      </x:c>
      <x:c r="C8" s="28" t="n">
        <x:f>IF(A8="","",SUMIFS('VENTAS'!$H$5:$H$254,'VENTAS'!$C$5:$C$254,A8,'VENTAS'!$F$5:$F$254,"BCV"))</x:f>
        <x:v>0</x:v>
      </x:c>
      <x:c r="D8" s="28" t="n">
        <x:f>IF(A8="","",SUMIFS('VENTAS'!$H$5:$H$254,'VENTAS'!$C$5:$C$254,A8,'VENTAS'!$F$5:$F$254,"USDT"))</x:f>
        <x:v>0</x:v>
      </x:c>
      <x:c r="E8" s="28" t="n">
        <x:f>IF(A8="","",SUMIFS('VENTAS'!$H$5:$H$254,'VENTAS'!$C$5:$C$254,A8,'VENTAS'!$F$5:$F$254,"Divisa"))</x:f>
        <x:v>0</x:v>
      </x:c>
      <x:c r="F8" s="28" t="n">
        <x:f>IF(A8="","",SUMIFS('VENTAS'!$H$5:$H$254,'VENTAS'!$C$5:$C$254,A8,'VENTAS'!$F$5:$F$254,"Sin confirmar"))</x:f>
        <x:v>24</x:v>
      </x:c>
      <x:c r="G8" s="28" t="n">
        <x:f>IF(A8="","",SUMIFS('VENTAS'!$H$5:$H$254,'VENTAS'!$C$5:$C$254,A8,'VENTAS'!$I$5:$I$254,"Moroso"))</x:f>
        <x:v>24</x:v>
      </x:c>
      <x:c r="H8" s="22" t="n">
        <x:f>IF(A8="","",COUNTIFS('VENTAS'!$C$5:$C$254,A8,'VENTAS'!$I$5:$I$254,"Por conciliar"))</x:f>
        <x:v>1</x:v>
      </x:c>
      <x:c r="I8" s="22" t="str">
        <x:f>IF(A8="","",IF(G8&gt;0,IF(H8&gt;0,"Moroso + revisar","Moroso"),IF(H8&gt;0,"Por conciliar",IF(SUM(C8:F8)&gt;0,"Deuda vigente","Sin saldo"))))</x:f>
        <x:v>Moroso + revisar</x:v>
      </x:c>
      <x:c r="J8" s="22" t="str">
        <x:f>IF(A8="","",IF(COUNTIFS($A$5:$A$154,A8)&gt;1,"Nombre duplicado","Correcto"))</x:f>
        <x:v>Correcto</x:v>
      </x:c>
    </x:row>
    <x:row r="9" ht="25" customHeight="1">
      <x:c r="A9" s="26" t="str">
        <x:v>Andrés Medina</x:v>
      </x:c>
      <x:c r="B9" s="22" t="n">
        <x:f>IF(A9="","",COUNTIFS('VENTAS'!$C$5:$C$254,A9))</x:f>
        <x:v>1</x:v>
      </x:c>
      <x:c r="C9" s="28" t="n">
        <x:f>IF(A9="","",SUMIFS('VENTAS'!$H$5:$H$254,'VENTAS'!$C$5:$C$254,A9,'VENTAS'!$F$5:$F$254,"BCV"))</x:f>
        <x:v>0</x:v>
      </x:c>
      <x:c r="D9" s="28" t="n">
        <x:f>IF(A9="","",SUMIFS('VENTAS'!$H$5:$H$254,'VENTAS'!$C$5:$C$254,A9,'VENTAS'!$F$5:$F$254,"USDT"))</x:f>
        <x:v>0</x:v>
      </x:c>
      <x:c r="E9" s="28" t="n">
        <x:f>IF(A9="","",SUMIFS('VENTAS'!$H$5:$H$254,'VENTAS'!$C$5:$C$254,A9,'VENTAS'!$F$5:$F$254,"Divisa"))</x:f>
        <x:v>0</x:v>
      </x:c>
      <x:c r="F9" s="28" t="n">
        <x:f>IF(A9="","",SUMIFS('VENTAS'!$H$5:$H$254,'VENTAS'!$C$5:$C$254,A9,'VENTAS'!$F$5:$F$254,"Sin confirmar"))</x:f>
        <x:v>0</x:v>
      </x:c>
      <x:c r="G9" s="28" t="n">
        <x:f>IF(A9="","",SUMIFS('VENTAS'!$H$5:$H$254,'VENTAS'!$C$5:$C$254,A9,'VENTAS'!$I$5:$I$254,"Moroso"))</x:f>
        <x:v>0</x:v>
      </x:c>
      <x:c r="H9" s="22" t="n">
        <x:f>IF(A9="","",COUNTIFS('VENTAS'!$C$5:$C$254,A9,'VENTAS'!$I$5:$I$254,"Por conciliar"))</x:f>
        <x:v>1</x:v>
      </x:c>
      <x:c r="I9" s="22" t="str">
        <x:f>IF(A9="","",IF(G9&gt;0,IF(H9&gt;0,"Moroso + revisar","Moroso"),IF(H9&gt;0,"Por conciliar",IF(SUM(C9:F9)&gt;0,"Deuda vigente","Sin saldo"))))</x:f>
        <x:v>Por conciliar</x:v>
      </x:c>
      <x:c r="J9" s="22" t="str">
        <x:f>IF(A9="","",IF(COUNTIFS($A$5:$A$154,A9)&gt;1,"Nombre duplicado","Correcto"))</x:f>
        <x:v>Correcto</x:v>
      </x:c>
    </x:row>
    <x:row r="10" ht="25" customHeight="1">
      <x:c r="A10" s="26" t="str">
        <x:v>Apostol</x:v>
      </x:c>
      <x:c r="B10" s="22" t="n">
        <x:f>IF(A10="","",COUNTIFS('VENTAS'!$C$5:$C$254,A10))</x:f>
        <x:v>1</x:v>
      </x:c>
      <x:c r="C10" s="28" t="n">
        <x:f>IF(A10="","",SUMIFS('VENTAS'!$H$5:$H$254,'VENTAS'!$C$5:$C$254,A10,'VENTAS'!$F$5:$F$254,"BCV"))</x:f>
        <x:v>12</x:v>
      </x:c>
      <x:c r="D10" s="28" t="n">
        <x:f>IF(A10="","",SUMIFS('VENTAS'!$H$5:$H$254,'VENTAS'!$C$5:$C$254,A10,'VENTAS'!$F$5:$F$254,"USDT"))</x:f>
        <x:v>0</x:v>
      </x:c>
      <x:c r="E10" s="28" t="n">
        <x:f>IF(A10="","",SUMIFS('VENTAS'!$H$5:$H$254,'VENTAS'!$C$5:$C$254,A10,'VENTAS'!$F$5:$F$254,"Divisa"))</x:f>
        <x:v>0</x:v>
      </x:c>
      <x:c r="F10" s="28" t="n">
        <x:f>IF(A10="","",SUMIFS('VENTAS'!$H$5:$H$254,'VENTAS'!$C$5:$C$254,A10,'VENTAS'!$F$5:$F$254,"Sin confirmar"))</x:f>
        <x:v>0</x:v>
      </x:c>
      <x:c r="G10" s="28" t="n">
        <x:f>IF(A10="","",SUMIFS('VENTAS'!$H$5:$H$254,'VENTAS'!$C$5:$C$254,A10,'VENTAS'!$I$5:$I$254,"Moroso"))</x:f>
        <x:v>12</x:v>
      </x:c>
      <x:c r="H10" s="22" t="n">
        <x:f>IF(A10="","",COUNTIFS('VENTAS'!$C$5:$C$254,A10,'VENTAS'!$I$5:$I$254,"Por conciliar"))</x:f>
        <x:v>0</x:v>
      </x:c>
      <x:c r="I10" s="22" t="str">
        <x:f>IF(A10="","",IF(G10&gt;0,IF(H10&gt;0,"Moroso + revisar","Moroso"),IF(H10&gt;0,"Por conciliar",IF(SUM(C10:F10)&gt;0,"Deuda vigente","Sin saldo"))))</x:f>
        <x:v>Moroso</x:v>
      </x:c>
      <x:c r="J10" s="22" t="str">
        <x:f>IF(A10="","",IF(COUNTIFS($A$5:$A$154,A10)&gt;1,"Nombre duplicado","Correcto"))</x:f>
        <x:v>Correcto</x:v>
      </x:c>
    </x:row>
    <x:row r="11" ht="25" customHeight="1">
      <x:c r="A11" s="26" t="str">
        <x:v>Belisario</x:v>
      </x:c>
      <x:c r="B11" s="22" t="n">
        <x:f>IF(A11="","",COUNTIFS('VENTAS'!$C$5:$C$254,A11))</x:f>
        <x:v>2</x:v>
      </x:c>
      <x:c r="C11" s="28" t="n">
        <x:f>IF(A11="","",SUMIFS('VENTAS'!$H$5:$H$254,'VENTAS'!$C$5:$C$254,A11,'VENTAS'!$F$5:$F$254,"BCV"))</x:f>
        <x:v>15</x:v>
      </x:c>
      <x:c r="D11" s="28" t="n">
        <x:f>IF(A11="","",SUMIFS('VENTAS'!$H$5:$H$254,'VENTAS'!$C$5:$C$254,A11,'VENTAS'!$F$5:$F$254,"USDT"))</x:f>
        <x:v>0</x:v>
      </x:c>
      <x:c r="E11" s="28" t="n">
        <x:f>IF(A11="","",SUMIFS('VENTAS'!$H$5:$H$254,'VENTAS'!$C$5:$C$254,A11,'VENTAS'!$F$5:$F$254,"Divisa"))</x:f>
        <x:v>0</x:v>
      </x:c>
      <x:c r="F11" s="28" t="n">
        <x:f>IF(A11="","",SUMIFS('VENTAS'!$H$5:$H$254,'VENTAS'!$C$5:$C$254,A11,'VENTAS'!$F$5:$F$254,"Sin confirmar"))</x:f>
        <x:v>24</x:v>
      </x:c>
      <x:c r="G11" s="28" t="n">
        <x:f>IF(A11="","",SUMIFS('VENTAS'!$H$5:$H$254,'VENTAS'!$C$5:$C$254,A11,'VENTAS'!$I$5:$I$254,"Moroso"))</x:f>
        <x:v>39</x:v>
      </x:c>
      <x:c r="H11" s="22" t="n">
        <x:f>IF(A11="","",COUNTIFS('VENTAS'!$C$5:$C$254,A11,'VENTAS'!$I$5:$I$254,"Por conciliar"))</x:f>
        <x:v>0</x:v>
      </x:c>
      <x:c r="I11" s="22" t="str">
        <x:f>IF(A11="","",IF(G11&gt;0,IF(H11&gt;0,"Moroso + revisar","Moroso"),IF(H11&gt;0,"Por conciliar",IF(SUM(C11:F11)&gt;0,"Deuda vigente","Sin saldo"))))</x:f>
        <x:v>Moroso</x:v>
      </x:c>
      <x:c r="J11" s="22" t="str">
        <x:f>IF(A11="","",IF(COUNTIFS($A$5:$A$154,A11)&gt;1,"Nombre duplicado","Correcto"))</x:f>
        <x:v>Correcto</x:v>
      </x:c>
    </x:row>
    <x:row r="12" ht="25" customHeight="1">
      <x:c r="A12" s="26" t="str">
        <x:v>Cristhian</x:v>
      </x:c>
      <x:c r="B12" s="22" t="n">
        <x:f>IF(A12="","",COUNTIFS('VENTAS'!$C$5:$C$254,A12))</x:f>
        <x:v>2</x:v>
      </x:c>
      <x:c r="C12" s="28" t="n">
        <x:f>IF(A12="","",SUMIFS('VENTAS'!$H$5:$H$254,'VENTAS'!$C$5:$C$254,A12,'VENTAS'!$F$5:$F$254,"BCV"))</x:f>
        <x:v>0</x:v>
      </x:c>
      <x:c r="D12" s="28" t="n">
        <x:f>IF(A12="","",SUMIFS('VENTAS'!$H$5:$H$254,'VENTAS'!$C$5:$C$254,A12,'VENTAS'!$F$5:$F$254,"USDT"))</x:f>
        <x:v>0</x:v>
      </x:c>
      <x:c r="E12" s="28" t="n">
        <x:f>IF(A12="","",SUMIFS('VENTAS'!$H$5:$H$254,'VENTAS'!$C$5:$C$254,A12,'VENTAS'!$F$5:$F$254,"Divisa"))</x:f>
        <x:v>0</x:v>
      </x:c>
      <x:c r="F12" s="28" t="n">
        <x:f>IF(A12="","",SUMIFS('VENTAS'!$H$5:$H$254,'VENTAS'!$C$5:$C$254,A12,'VENTAS'!$F$5:$F$254,"Sin confirmar"))</x:f>
        <x:v>0</x:v>
      </x:c>
      <x:c r="G12" s="28" t="n">
        <x:f>IF(A12="","",SUMIFS('VENTAS'!$H$5:$H$254,'VENTAS'!$C$5:$C$254,A12,'VENTAS'!$I$5:$I$254,"Moroso"))</x:f>
        <x:v>0</x:v>
      </x:c>
      <x:c r="H12" s="22" t="n">
        <x:f>IF(A12="","",COUNTIFS('VENTAS'!$C$5:$C$254,A12,'VENTAS'!$I$5:$I$254,"Por conciliar"))</x:f>
        <x:v>0</x:v>
      </x:c>
      <x:c r="I12" s="22" t="str">
        <x:f>IF(A12="","",IF(G12&gt;0,IF(H12&gt;0,"Moroso + revisar","Moroso"),IF(H12&gt;0,"Por conciliar",IF(SUM(C12:F12)&gt;0,"Deuda vigente","Sin saldo"))))</x:f>
        <x:v>Sin saldo</x:v>
      </x:c>
      <x:c r="J12" s="22" t="str">
        <x:f>IF(A12="","",IF(COUNTIFS($A$5:$A$154,A12)&gt;1,"Nombre duplicado","Correcto"))</x:f>
        <x:v>Correcto</x:v>
      </x:c>
    </x:row>
    <x:row r="13" ht="25" customHeight="1">
      <x:c r="A13" s="26" t="str">
        <x:v>Cristhian Gonzales</x:v>
      </x:c>
      <x:c r="B13" s="22" t="n">
        <x:f>IF(A13="","",COUNTIFS('VENTAS'!$C$5:$C$254,A13))</x:f>
        <x:v>1</x:v>
      </x:c>
      <x:c r="C13" s="28" t="n">
        <x:f>IF(A13="","",SUMIFS('VENTAS'!$H$5:$H$254,'VENTAS'!$C$5:$C$254,A13,'VENTAS'!$F$5:$F$254,"BCV"))</x:f>
        <x:v>0</x:v>
      </x:c>
      <x:c r="D13" s="28" t="n">
        <x:f>IF(A13="","",SUMIFS('VENTAS'!$H$5:$H$254,'VENTAS'!$C$5:$C$254,A13,'VENTAS'!$F$5:$F$254,"USDT"))</x:f>
        <x:v>0</x:v>
      </x:c>
      <x:c r="E13" s="28" t="n">
        <x:f>IF(A13="","",SUMIFS('VENTAS'!$H$5:$H$254,'VENTAS'!$C$5:$C$254,A13,'VENTAS'!$F$5:$F$254,"Divisa"))</x:f>
        <x:v>0</x:v>
      </x:c>
      <x:c r="F13" s="28" t="n">
        <x:f>IF(A13="","",SUMIFS('VENTAS'!$H$5:$H$254,'VENTAS'!$C$5:$C$254,A13,'VENTAS'!$F$5:$F$254,"Sin confirmar"))</x:f>
        <x:v>0</x:v>
      </x:c>
      <x:c r="G13" s="28" t="n">
        <x:f>IF(A13="","",SUMIFS('VENTAS'!$H$5:$H$254,'VENTAS'!$C$5:$C$254,A13,'VENTAS'!$I$5:$I$254,"Moroso"))</x:f>
        <x:v>0</x:v>
      </x:c>
      <x:c r="H13" s="22" t="n">
        <x:f>IF(A13="","",COUNTIFS('VENTAS'!$C$5:$C$254,A13,'VENTAS'!$I$5:$I$254,"Por conciliar"))</x:f>
        <x:v>0</x:v>
      </x:c>
      <x:c r="I13" s="22" t="str">
        <x:f>IF(A13="","",IF(G13&gt;0,IF(H13&gt;0,"Moroso + revisar","Moroso"),IF(H13&gt;0,"Por conciliar",IF(SUM(C13:F13)&gt;0,"Deuda vigente","Sin saldo"))))</x:f>
        <x:v>Sin saldo</x:v>
      </x:c>
      <x:c r="J13" s="22" t="str">
        <x:f>IF(A13="","",IF(COUNTIFS($A$5:$A$154,A13)&gt;1,"Nombre duplicado","Correcto"))</x:f>
        <x:v>Correcto</x:v>
      </x:c>
    </x:row>
    <x:row r="14" ht="25" customHeight="1">
      <x:c r="A14" s="26" t="str">
        <x:v>Deiner</x:v>
      </x:c>
      <x:c r="B14" s="22" t="n">
        <x:f>IF(A14="","",COUNTIFS('VENTAS'!$C$5:$C$254,A14))</x:f>
        <x:v>2</x:v>
      </x:c>
      <x:c r="C14" s="28" t="n">
        <x:f>IF(A14="","",SUMIFS('VENTAS'!$H$5:$H$254,'VENTAS'!$C$5:$C$254,A14,'VENTAS'!$F$5:$F$254,"BCV"))</x:f>
        <x:v>0</x:v>
      </x:c>
      <x:c r="D14" s="28" t="n">
        <x:f>IF(A14="","",SUMIFS('VENTAS'!$H$5:$H$254,'VENTAS'!$C$5:$C$254,A14,'VENTAS'!$F$5:$F$254,"USDT"))</x:f>
        <x:v>0</x:v>
      </x:c>
      <x:c r="E14" s="28" t="n">
        <x:f>IF(A14="","",SUMIFS('VENTAS'!$H$5:$H$254,'VENTAS'!$C$5:$C$254,A14,'VENTAS'!$F$5:$F$254,"Divisa"))</x:f>
        <x:v>0</x:v>
      </x:c>
      <x:c r="F14" s="28" t="n">
        <x:f>IF(A14="","",SUMIFS('VENTAS'!$H$5:$H$254,'VENTAS'!$C$5:$C$254,A14,'VENTAS'!$F$5:$F$254,"Sin confirmar"))</x:f>
        <x:v>0</x:v>
      </x:c>
      <x:c r="G14" s="28" t="n">
        <x:f>IF(A14="","",SUMIFS('VENTAS'!$H$5:$H$254,'VENTAS'!$C$5:$C$254,A14,'VENTAS'!$I$5:$I$254,"Moroso"))</x:f>
        <x:v>0</x:v>
      </x:c>
      <x:c r="H14" s="22" t="n">
        <x:f>IF(A14="","",COUNTIFS('VENTAS'!$C$5:$C$254,A14,'VENTAS'!$I$5:$I$254,"Por conciliar"))</x:f>
        <x:v>1</x:v>
      </x:c>
      <x:c r="I14" s="22" t="str">
        <x:f>IF(A14="","",IF(G14&gt;0,IF(H14&gt;0,"Moroso + revisar","Moroso"),IF(H14&gt;0,"Por conciliar",IF(SUM(C14:F14)&gt;0,"Deuda vigente","Sin saldo"))))</x:f>
        <x:v>Por conciliar</x:v>
      </x:c>
      <x:c r="J14" s="22" t="str">
        <x:f>IF(A14="","",IF(COUNTIFS($A$5:$A$154,A14)&gt;1,"Nombre duplicado","Correcto"))</x:f>
        <x:v>Correcto</x:v>
      </x:c>
    </x:row>
    <x:row r="15" ht="25" customHeight="1">
      <x:c r="A15" s="26" t="str">
        <x:v>Elías</x:v>
      </x:c>
      <x:c r="B15" s="22" t="n">
        <x:f>IF(A15="","",COUNTIFS('VENTAS'!$C$5:$C$254,A15))</x:f>
        <x:v>1</x:v>
      </x:c>
      <x:c r="C15" s="28" t="n">
        <x:f>IF(A15="","",SUMIFS('VENTAS'!$H$5:$H$254,'VENTAS'!$C$5:$C$254,A15,'VENTAS'!$F$5:$F$254,"BCV"))</x:f>
        <x:v>0</x:v>
      </x:c>
      <x:c r="D15" s="28" t="n">
        <x:f>IF(A15="","",SUMIFS('VENTAS'!$H$5:$H$254,'VENTAS'!$C$5:$C$254,A15,'VENTAS'!$F$5:$F$254,"USDT"))</x:f>
        <x:v>0</x:v>
      </x:c>
      <x:c r="E15" s="28" t="n">
        <x:f>IF(A15="","",SUMIFS('VENTAS'!$H$5:$H$254,'VENTAS'!$C$5:$C$254,A15,'VENTAS'!$F$5:$F$254,"Divisa"))</x:f>
        <x:v>0</x:v>
      </x:c>
      <x:c r="F15" s="28" t="n">
        <x:f>IF(A15="","",SUMIFS('VENTAS'!$H$5:$H$254,'VENTAS'!$C$5:$C$254,A15,'VENTAS'!$F$5:$F$254,"Sin confirmar"))</x:f>
        <x:v>0</x:v>
      </x:c>
      <x:c r="G15" s="28" t="n">
        <x:f>IF(A15="","",SUMIFS('VENTAS'!$H$5:$H$254,'VENTAS'!$C$5:$C$254,A15,'VENTAS'!$I$5:$I$254,"Moroso"))</x:f>
        <x:v>0</x:v>
      </x:c>
      <x:c r="H15" s="22" t="n">
        <x:f>IF(A15="","",COUNTIFS('VENTAS'!$C$5:$C$254,A15,'VENTAS'!$I$5:$I$254,"Por conciliar"))</x:f>
        <x:v>0</x:v>
      </x:c>
      <x:c r="I15" s="22" t="str">
        <x:f>IF(A15="","",IF(G15&gt;0,IF(H15&gt;0,"Moroso + revisar","Moroso"),IF(H15&gt;0,"Por conciliar",IF(SUM(C15:F15)&gt;0,"Deuda vigente","Sin saldo"))))</x:f>
        <x:v>Sin saldo</x:v>
      </x:c>
      <x:c r="J15" s="22" t="str">
        <x:f>IF(A15="","",IF(COUNTIFS($A$5:$A$154,A15)&gt;1,"Nombre duplicado","Correcto"))</x:f>
        <x:v>Correcto</x:v>
      </x:c>
    </x:row>
    <x:row r="16" ht="25" customHeight="1">
      <x:c r="A16" s="26" t="str">
        <x:v>Fernanda</x:v>
      </x:c>
      <x:c r="B16" s="22" t="n">
        <x:f>IF(A16="","",COUNTIFS('VENTAS'!$C$5:$C$254,A16))</x:f>
        <x:v>1</x:v>
      </x:c>
      <x:c r="C16" s="28" t="n">
        <x:f>IF(A16="","",SUMIFS('VENTAS'!$H$5:$H$254,'VENTAS'!$C$5:$C$254,A16,'VENTAS'!$F$5:$F$254,"BCV"))</x:f>
        <x:v>0</x:v>
      </x:c>
      <x:c r="D16" s="28" t="n">
        <x:f>IF(A16="","",SUMIFS('VENTAS'!$H$5:$H$254,'VENTAS'!$C$5:$C$254,A16,'VENTAS'!$F$5:$F$254,"USDT"))</x:f>
        <x:v>0</x:v>
      </x:c>
      <x:c r="E16" s="28" t="n">
        <x:f>IF(A16="","",SUMIFS('VENTAS'!$H$5:$H$254,'VENTAS'!$C$5:$C$254,A16,'VENTAS'!$F$5:$F$254,"Divisa"))</x:f>
        <x:v>0</x:v>
      </x:c>
      <x:c r="F16" s="28" t="n">
        <x:f>IF(A16="","",SUMIFS('VENTAS'!$H$5:$H$254,'VENTAS'!$C$5:$C$254,A16,'VENTAS'!$F$5:$F$254,"Sin confirmar"))</x:f>
        <x:v>0</x:v>
      </x:c>
      <x:c r="G16" s="28" t="n">
        <x:f>IF(A16="","",SUMIFS('VENTAS'!$H$5:$H$254,'VENTAS'!$C$5:$C$254,A16,'VENTAS'!$I$5:$I$254,"Moroso"))</x:f>
        <x:v>0</x:v>
      </x:c>
      <x:c r="H16" s="22" t="n">
        <x:f>IF(A16="","",COUNTIFS('VENTAS'!$C$5:$C$254,A16,'VENTAS'!$I$5:$I$254,"Por conciliar"))</x:f>
        <x:v>0</x:v>
      </x:c>
      <x:c r="I16" s="22" t="str">
        <x:f>IF(A16="","",IF(G16&gt;0,IF(H16&gt;0,"Moroso + revisar","Moroso"),IF(H16&gt;0,"Por conciliar",IF(SUM(C16:F16)&gt;0,"Deuda vigente","Sin saldo"))))</x:f>
        <x:v>Sin saldo</x:v>
      </x:c>
      <x:c r="J16" s="22" t="str">
        <x:f>IF(A16="","",IF(COUNTIFS($A$5:$A$154,A16)&gt;1,"Nombre duplicado","Correcto"))</x:f>
        <x:v>Correcto</x:v>
      </x:c>
    </x:row>
    <x:row r="17" ht="25" customHeight="1">
      <x:c r="A17" s="26" t="str">
        <x:v>Francheska</x:v>
      </x:c>
      <x:c r="B17" s="22" t="n">
        <x:f>IF(A17="","",COUNTIFS('VENTAS'!$C$5:$C$254,A17))</x:f>
        <x:v>1</x:v>
      </x:c>
      <x:c r="C17" s="28" t="n">
        <x:f>IF(A17="","",SUMIFS('VENTAS'!$H$5:$H$254,'VENTAS'!$C$5:$C$254,A17,'VENTAS'!$F$5:$F$254,"BCV"))</x:f>
        <x:v>0</x:v>
      </x:c>
      <x:c r="D17" s="28" t="n">
        <x:f>IF(A17="","",SUMIFS('VENTAS'!$H$5:$H$254,'VENTAS'!$C$5:$C$254,A17,'VENTAS'!$F$5:$F$254,"USDT"))</x:f>
        <x:v>0</x:v>
      </x:c>
      <x:c r="E17" s="28" t="n">
        <x:f>IF(A17="","",SUMIFS('VENTAS'!$H$5:$H$254,'VENTAS'!$C$5:$C$254,A17,'VENTAS'!$F$5:$F$254,"Divisa"))</x:f>
        <x:v>0</x:v>
      </x:c>
      <x:c r="F17" s="28" t="n">
        <x:f>IF(A17="","",SUMIFS('VENTAS'!$H$5:$H$254,'VENTAS'!$C$5:$C$254,A17,'VENTAS'!$F$5:$F$254,"Sin confirmar"))</x:f>
        <x:v>0</x:v>
      </x:c>
      <x:c r="G17" s="28" t="n">
        <x:f>IF(A17="","",SUMIFS('VENTAS'!$H$5:$H$254,'VENTAS'!$C$5:$C$254,A17,'VENTAS'!$I$5:$I$254,"Moroso"))</x:f>
        <x:v>0</x:v>
      </x:c>
      <x:c r="H17" s="22" t="n">
        <x:f>IF(A17="","",COUNTIFS('VENTAS'!$C$5:$C$254,A17,'VENTAS'!$I$5:$I$254,"Por conciliar"))</x:f>
        <x:v>0</x:v>
      </x:c>
      <x:c r="I17" s="22" t="str">
        <x:f>IF(A17="","",IF(G17&gt;0,IF(H17&gt;0,"Moroso + revisar","Moroso"),IF(H17&gt;0,"Por conciliar",IF(SUM(C17:F17)&gt;0,"Deuda vigente","Sin saldo"))))</x:f>
        <x:v>Sin saldo</x:v>
      </x:c>
      <x:c r="J17" s="22" t="str">
        <x:f>IF(A17="","",IF(COUNTIFS($A$5:$A$154,A17)&gt;1,"Nombre duplicado","Correcto"))</x:f>
        <x:v>Correcto</x:v>
      </x:c>
    </x:row>
    <x:row r="18" ht="25" customHeight="1">
      <x:c r="A18" s="26" t="str">
        <x:v>Gabriel Medina</x:v>
      </x:c>
      <x:c r="B18" s="22" t="n">
        <x:f>IF(A18="","",COUNTIFS('VENTAS'!$C$5:$C$254,A18))</x:f>
        <x:v>2</x:v>
      </x:c>
      <x:c r="C18" s="28" t="n">
        <x:f>IF(A18="","",SUMIFS('VENTAS'!$H$5:$H$254,'VENTAS'!$C$5:$C$254,A18,'VENTAS'!$F$5:$F$254,"BCV"))</x:f>
        <x:v>0</x:v>
      </x:c>
      <x:c r="D18" s="28" t="n">
        <x:f>IF(A18="","",SUMIFS('VENTAS'!$H$5:$H$254,'VENTAS'!$C$5:$C$254,A18,'VENTAS'!$F$5:$F$254,"USDT"))</x:f>
        <x:v>0</x:v>
      </x:c>
      <x:c r="E18" s="28" t="n">
        <x:f>IF(A18="","",SUMIFS('VENTAS'!$H$5:$H$254,'VENTAS'!$C$5:$C$254,A18,'VENTAS'!$F$5:$F$254,"Divisa"))</x:f>
        <x:v>0</x:v>
      </x:c>
      <x:c r="F18" s="28" t="n">
        <x:f>IF(A18="","",SUMIFS('VENTAS'!$H$5:$H$254,'VENTAS'!$C$5:$C$254,A18,'VENTAS'!$F$5:$F$254,"Sin confirmar"))</x:f>
        <x:v>0</x:v>
      </x:c>
      <x:c r="G18" s="28" t="n">
        <x:f>IF(A18="","",SUMIFS('VENTAS'!$H$5:$H$254,'VENTAS'!$C$5:$C$254,A18,'VENTAS'!$I$5:$I$254,"Moroso"))</x:f>
        <x:v>0</x:v>
      </x:c>
      <x:c r="H18" s="22" t="n">
        <x:f>IF(A18="","",COUNTIFS('VENTAS'!$C$5:$C$254,A18,'VENTAS'!$I$5:$I$254,"Por conciliar"))</x:f>
        <x:v>0</x:v>
      </x:c>
      <x:c r="I18" s="22" t="str">
        <x:f>IF(A18="","",IF(G18&gt;0,IF(H18&gt;0,"Moroso + revisar","Moroso"),IF(H18&gt;0,"Por conciliar",IF(SUM(C18:F18)&gt;0,"Deuda vigente","Sin saldo"))))</x:f>
        <x:v>Sin saldo</x:v>
      </x:c>
      <x:c r="J18" s="22" t="str">
        <x:f>IF(A18="","",IF(COUNTIFS($A$5:$A$154,A18)&gt;1,"Nombre duplicado","Correcto"))</x:f>
        <x:v>Correcto</x:v>
      </x:c>
    </x:row>
    <x:row r="19" ht="25" customHeight="1">
      <x:c r="A19" s="26" t="str">
        <x:v>Gregor</x:v>
      </x:c>
      <x:c r="B19" s="22" t="n">
        <x:f>IF(A19="","",COUNTIFS('VENTAS'!$C$5:$C$254,A19))</x:f>
        <x:v>2</x:v>
      </x:c>
      <x:c r="C19" s="28" t="n">
        <x:f>IF(A19="","",SUMIFS('VENTAS'!$H$5:$H$254,'VENTAS'!$C$5:$C$254,A19,'VENTAS'!$F$5:$F$254,"BCV"))</x:f>
        <x:v>0</x:v>
      </x:c>
      <x:c r="D19" s="28" t="n">
        <x:f>IF(A19="","",SUMIFS('VENTAS'!$H$5:$H$254,'VENTAS'!$C$5:$C$254,A19,'VENTAS'!$F$5:$F$254,"USDT"))</x:f>
        <x:v>0</x:v>
      </x:c>
      <x:c r="E19" s="28" t="n">
        <x:f>IF(A19="","",SUMIFS('VENTAS'!$H$5:$H$254,'VENTAS'!$C$5:$C$254,A19,'VENTAS'!$F$5:$F$254,"Divisa"))</x:f>
        <x:v>0</x:v>
      </x:c>
      <x:c r="F19" s="28" t="n">
        <x:f>IF(A19="","",SUMIFS('VENTAS'!$H$5:$H$254,'VENTAS'!$C$5:$C$254,A19,'VENTAS'!$F$5:$F$254,"Sin confirmar"))</x:f>
        <x:v>0</x:v>
      </x:c>
      <x:c r="G19" s="28" t="n">
        <x:f>IF(A19="","",SUMIFS('VENTAS'!$H$5:$H$254,'VENTAS'!$C$5:$C$254,A19,'VENTAS'!$I$5:$I$254,"Moroso"))</x:f>
        <x:v>0</x:v>
      </x:c>
      <x:c r="H19" s="22" t="n">
        <x:f>IF(A19="","",COUNTIFS('VENTAS'!$C$5:$C$254,A19,'VENTAS'!$I$5:$I$254,"Por conciliar"))</x:f>
        <x:v>2</x:v>
      </x:c>
      <x:c r="I19" s="22" t="str">
        <x:f>IF(A19="","",IF(G19&gt;0,IF(H19&gt;0,"Moroso + revisar","Moroso"),IF(H19&gt;0,"Por conciliar",IF(SUM(C19:F19)&gt;0,"Deuda vigente","Sin saldo"))))</x:f>
        <x:v>Por conciliar</x:v>
      </x:c>
      <x:c r="J19" s="22" t="str">
        <x:f>IF(A19="","",IF(COUNTIFS($A$5:$A$154,A19)&gt;1,"Nombre duplicado","Correcto"))</x:f>
        <x:v>Correcto</x:v>
      </x:c>
    </x:row>
    <x:row r="20" ht="25" customHeight="1">
      <x:c r="A20" s="26" t="str">
        <x:v>Gregory</x:v>
      </x:c>
      <x:c r="B20" s="22" t="n">
        <x:f>IF(A20="","",COUNTIFS('VENTAS'!$C$5:$C$254,A20))</x:f>
        <x:v>1</x:v>
      </x:c>
      <x:c r="C20" s="28" t="n">
        <x:f>IF(A20="","",SUMIFS('VENTAS'!$H$5:$H$254,'VENTAS'!$C$5:$C$254,A20,'VENTAS'!$F$5:$F$254,"BCV"))</x:f>
        <x:v>0</x:v>
      </x:c>
      <x:c r="D20" s="28" t="n">
        <x:f>IF(A20="","",SUMIFS('VENTAS'!$H$5:$H$254,'VENTAS'!$C$5:$C$254,A20,'VENTAS'!$F$5:$F$254,"USDT"))</x:f>
        <x:v>0</x:v>
      </x:c>
      <x:c r="E20" s="28" t="n">
        <x:f>IF(A20="","",SUMIFS('VENTAS'!$H$5:$H$254,'VENTAS'!$C$5:$C$254,A20,'VENTAS'!$F$5:$F$254,"Divisa"))</x:f>
        <x:v>0</x:v>
      </x:c>
      <x:c r="F20" s="28" t="n">
        <x:f>IF(A20="","",SUMIFS('VENTAS'!$H$5:$H$254,'VENTAS'!$C$5:$C$254,A20,'VENTAS'!$F$5:$F$254,"Sin confirmar"))</x:f>
        <x:v>11</x:v>
      </x:c>
      <x:c r="G20" s="28" t="n">
        <x:f>IF(A20="","",SUMIFS('VENTAS'!$H$5:$H$254,'VENTAS'!$C$5:$C$254,A20,'VENTAS'!$I$5:$I$254,"Moroso"))</x:f>
        <x:v>11</x:v>
      </x:c>
      <x:c r="H20" s="22" t="n">
        <x:f>IF(A20="","",COUNTIFS('VENTAS'!$C$5:$C$254,A20,'VENTAS'!$I$5:$I$254,"Por conciliar"))</x:f>
        <x:v>0</x:v>
      </x:c>
      <x:c r="I20" s="22" t="str">
        <x:f>IF(A20="","",IF(G20&gt;0,IF(H20&gt;0,"Moroso + revisar","Moroso"),IF(H20&gt;0,"Por conciliar",IF(SUM(C20:F20)&gt;0,"Deuda vigente","Sin saldo"))))</x:f>
        <x:v>Moroso</x:v>
      </x:c>
      <x:c r="J20" s="22" t="str">
        <x:f>IF(A20="","",IF(COUNTIFS($A$5:$A$154,A20)&gt;1,"Nombre duplicado","Correcto"))</x:f>
        <x:v>Correcto</x:v>
      </x:c>
    </x:row>
    <x:row r="21" ht="25" customHeight="1">
      <x:c r="A21" s="26" t="str">
        <x:v>Hade Mirleidy</x:v>
      </x:c>
      <x:c r="B21" s="22" t="n">
        <x:f>IF(A21="","",COUNTIFS('VENTAS'!$C$5:$C$254,A21))</x:f>
        <x:v>1</x:v>
      </x:c>
      <x:c r="C21" s="28" t="n">
        <x:f>IF(A21="","",SUMIFS('VENTAS'!$H$5:$H$254,'VENTAS'!$C$5:$C$254,A21,'VENTAS'!$F$5:$F$254,"BCV"))</x:f>
        <x:v>0</x:v>
      </x:c>
      <x:c r="D21" s="28" t="n">
        <x:f>IF(A21="","",SUMIFS('VENTAS'!$H$5:$H$254,'VENTAS'!$C$5:$C$254,A21,'VENTAS'!$F$5:$F$254,"USDT"))</x:f>
        <x:v>0</x:v>
      </x:c>
      <x:c r="E21" s="28" t="n">
        <x:f>IF(A21="","",SUMIFS('VENTAS'!$H$5:$H$254,'VENTAS'!$C$5:$C$254,A21,'VENTAS'!$F$5:$F$254,"Divisa"))</x:f>
        <x:v>0</x:v>
      </x:c>
      <x:c r="F21" s="28" t="n">
        <x:f>IF(A21="","",SUMIFS('VENTAS'!$H$5:$H$254,'VENTAS'!$C$5:$C$254,A21,'VENTAS'!$F$5:$F$254,"Sin confirmar"))</x:f>
        <x:v>0</x:v>
      </x:c>
      <x:c r="G21" s="28" t="n">
        <x:f>IF(A21="","",SUMIFS('VENTAS'!$H$5:$H$254,'VENTAS'!$C$5:$C$254,A21,'VENTAS'!$I$5:$I$254,"Moroso"))</x:f>
        <x:v>0</x:v>
      </x:c>
      <x:c r="H21" s="22" t="n">
        <x:f>IF(A21="","",COUNTIFS('VENTAS'!$C$5:$C$254,A21,'VENTAS'!$I$5:$I$254,"Por conciliar"))</x:f>
        <x:v>1</x:v>
      </x:c>
      <x:c r="I21" s="22" t="str">
        <x:f>IF(A21="","",IF(G21&gt;0,IF(H21&gt;0,"Moroso + revisar","Moroso"),IF(H21&gt;0,"Por conciliar",IF(SUM(C21:F21)&gt;0,"Deuda vigente","Sin saldo"))))</x:f>
        <x:v>Por conciliar</x:v>
      </x:c>
      <x:c r="J21" s="22" t="str">
        <x:f>IF(A21="","",IF(COUNTIFS($A$5:$A$154,A21)&gt;1,"Nombre duplicado","Correcto"))</x:f>
        <x:v>Correcto</x:v>
      </x:c>
    </x:row>
    <x:row r="22" ht="25" customHeight="1">
      <x:c r="A22" s="26" t="str">
        <x:v>Hermano Leandro</x:v>
      </x:c>
      <x:c r="B22" s="22" t="n">
        <x:f>IF(A22="","",COUNTIFS('VENTAS'!$C$5:$C$254,A22))</x:f>
        <x:v>2</x:v>
      </x:c>
      <x:c r="C22" s="28" t="n">
        <x:f>IF(A22="","",SUMIFS('VENTAS'!$H$5:$H$254,'VENTAS'!$C$5:$C$254,A22,'VENTAS'!$F$5:$F$254,"BCV"))</x:f>
        <x:v>0</x:v>
      </x:c>
      <x:c r="D22" s="28" t="n">
        <x:f>IF(A22="","",SUMIFS('VENTAS'!$H$5:$H$254,'VENTAS'!$C$5:$C$254,A22,'VENTAS'!$F$5:$F$254,"USDT"))</x:f>
        <x:v>0</x:v>
      </x:c>
      <x:c r="E22" s="28" t="n">
        <x:f>IF(A22="","",SUMIFS('VENTAS'!$H$5:$H$254,'VENTAS'!$C$5:$C$254,A22,'VENTAS'!$F$5:$F$254,"Divisa"))</x:f>
        <x:v>0</x:v>
      </x:c>
      <x:c r="F22" s="28" t="n">
        <x:f>IF(A22="","",SUMIFS('VENTAS'!$H$5:$H$254,'VENTAS'!$C$5:$C$254,A22,'VENTAS'!$F$5:$F$254,"Sin confirmar"))</x:f>
        <x:v>0</x:v>
      </x:c>
      <x:c r="G22" s="28" t="n">
        <x:f>IF(A22="","",SUMIFS('VENTAS'!$H$5:$H$254,'VENTAS'!$C$5:$C$254,A22,'VENTAS'!$I$5:$I$254,"Moroso"))</x:f>
        <x:v>0</x:v>
      </x:c>
      <x:c r="H22" s="22" t="n">
        <x:f>IF(A22="","",COUNTIFS('VENTAS'!$C$5:$C$254,A22,'VENTAS'!$I$5:$I$254,"Por conciliar"))</x:f>
        <x:v>2</x:v>
      </x:c>
      <x:c r="I22" s="22" t="str">
        <x:f>IF(A22="","",IF(G22&gt;0,IF(H22&gt;0,"Moroso + revisar","Moroso"),IF(H22&gt;0,"Por conciliar",IF(SUM(C22:F22)&gt;0,"Deuda vigente","Sin saldo"))))</x:f>
        <x:v>Por conciliar</x:v>
      </x:c>
      <x:c r="J22" s="22" t="str">
        <x:f>IF(A22="","",IF(COUNTIFS($A$5:$A$154,A22)&gt;1,"Nombre duplicado","Correcto"))</x:f>
        <x:v>Correcto</x:v>
      </x:c>
    </x:row>
    <x:row r="23" ht="25" customHeight="1">
      <x:c r="A23" s="26" t="str">
        <x:v>Hidelberg</x:v>
      </x:c>
      <x:c r="B23" s="22" t="n">
        <x:f>IF(A23="","",COUNTIFS('VENTAS'!$C$5:$C$254,A23))</x:f>
        <x:v>1</x:v>
      </x:c>
      <x:c r="C23" s="28" t="n">
        <x:f>IF(A23="","",SUMIFS('VENTAS'!$H$5:$H$254,'VENTAS'!$C$5:$C$254,A23,'VENTAS'!$F$5:$F$254,"BCV"))</x:f>
        <x:v>0</x:v>
      </x:c>
      <x:c r="D23" s="28" t="n">
        <x:f>IF(A23="","",SUMIFS('VENTAS'!$H$5:$H$254,'VENTAS'!$C$5:$C$254,A23,'VENTAS'!$F$5:$F$254,"USDT"))</x:f>
        <x:v>0</x:v>
      </x:c>
      <x:c r="E23" s="28" t="n">
        <x:f>IF(A23="","",SUMIFS('VENTAS'!$H$5:$H$254,'VENTAS'!$C$5:$C$254,A23,'VENTAS'!$F$5:$F$254,"Divisa"))</x:f>
        <x:v>0</x:v>
      </x:c>
      <x:c r="F23" s="28" t="n">
        <x:f>IF(A23="","",SUMIFS('VENTAS'!$H$5:$H$254,'VENTAS'!$C$5:$C$254,A23,'VENTAS'!$F$5:$F$254,"Sin confirmar"))</x:f>
        <x:v>12</x:v>
      </x:c>
      <x:c r="G23" s="28" t="n">
        <x:f>IF(A23="","",SUMIFS('VENTAS'!$H$5:$H$254,'VENTAS'!$C$5:$C$254,A23,'VENTAS'!$I$5:$I$254,"Moroso"))</x:f>
        <x:v>12</x:v>
      </x:c>
      <x:c r="H23" s="22" t="n">
        <x:f>IF(A23="","",COUNTIFS('VENTAS'!$C$5:$C$254,A23,'VENTAS'!$I$5:$I$254,"Por conciliar"))</x:f>
        <x:v>0</x:v>
      </x:c>
      <x:c r="I23" s="22" t="str">
        <x:f>IF(A23="","",IF(G23&gt;0,IF(H23&gt;0,"Moroso + revisar","Moroso"),IF(H23&gt;0,"Por conciliar",IF(SUM(C23:F23)&gt;0,"Deuda vigente","Sin saldo"))))</x:f>
        <x:v>Moroso</x:v>
      </x:c>
      <x:c r="J23" s="22" t="str">
        <x:f>IF(A23="","",IF(COUNTIFS($A$5:$A$154,A23)&gt;1,"Nombre duplicado","Correcto"))</x:f>
        <x:v>Correcto</x:v>
      </x:c>
    </x:row>
    <x:row r="24" ht="25" customHeight="1">
      <x:c r="A24" s="26" t="str">
        <x:v>Ivana</x:v>
      </x:c>
      <x:c r="B24" s="22" t="n">
        <x:f>IF(A24="","",COUNTIFS('VENTAS'!$C$5:$C$254,A24))</x:f>
        <x:v>1</x:v>
      </x:c>
      <x:c r="C24" s="28" t="n">
        <x:f>IF(A24="","",SUMIFS('VENTAS'!$H$5:$H$254,'VENTAS'!$C$5:$C$254,A24,'VENTAS'!$F$5:$F$254,"BCV"))</x:f>
        <x:v>0</x:v>
      </x:c>
      <x:c r="D24" s="28" t="n">
        <x:f>IF(A24="","",SUMIFS('VENTAS'!$H$5:$H$254,'VENTAS'!$C$5:$C$254,A24,'VENTAS'!$F$5:$F$254,"USDT"))</x:f>
        <x:v>0</x:v>
      </x:c>
      <x:c r="E24" s="28" t="n">
        <x:f>IF(A24="","",SUMIFS('VENTAS'!$H$5:$H$254,'VENTAS'!$C$5:$C$254,A24,'VENTAS'!$F$5:$F$254,"Divisa"))</x:f>
        <x:v>0</x:v>
      </x:c>
      <x:c r="F24" s="28" t="n">
        <x:f>IF(A24="","",SUMIFS('VENTAS'!$H$5:$H$254,'VENTAS'!$C$5:$C$254,A24,'VENTAS'!$F$5:$F$254,"Sin confirmar"))</x:f>
        <x:v>0</x:v>
      </x:c>
      <x:c r="G24" s="28" t="n">
        <x:f>IF(A24="","",SUMIFS('VENTAS'!$H$5:$H$254,'VENTAS'!$C$5:$C$254,A24,'VENTAS'!$I$5:$I$254,"Moroso"))</x:f>
        <x:v>0</x:v>
      </x:c>
      <x:c r="H24" s="22" t="n">
        <x:f>IF(A24="","",COUNTIFS('VENTAS'!$C$5:$C$254,A24,'VENTAS'!$I$5:$I$254,"Por conciliar"))</x:f>
        <x:v>0</x:v>
      </x:c>
      <x:c r="I24" s="22" t="str">
        <x:f>IF(A24="","",IF(G24&gt;0,IF(H24&gt;0,"Moroso + revisar","Moroso"),IF(H24&gt;0,"Por conciliar",IF(SUM(C24:F24)&gt;0,"Deuda vigente","Sin saldo"))))</x:f>
        <x:v>Sin saldo</x:v>
      </x:c>
      <x:c r="J24" s="22" t="str">
        <x:f>IF(A24="","",IF(COUNTIFS($A$5:$A$154,A24)&gt;1,"Nombre duplicado","Correcto"))</x:f>
        <x:v>Correcto</x:v>
      </x:c>
    </x:row>
    <x:row r="25" ht="25" customHeight="1">
      <x:c r="A25" s="26" t="str">
        <x:v>Jeferson Mejías</x:v>
      </x:c>
      <x:c r="B25" s="22" t="n">
        <x:f>IF(A25="","",COUNTIFS('VENTAS'!$C$5:$C$254,A25))</x:f>
        <x:v>1</x:v>
      </x:c>
      <x:c r="C25" s="28" t="n">
        <x:f>IF(A25="","",SUMIFS('VENTAS'!$H$5:$H$254,'VENTAS'!$C$5:$C$254,A25,'VENTAS'!$F$5:$F$254,"BCV"))</x:f>
        <x:v>42</x:v>
      </x:c>
      <x:c r="D25" s="28" t="n">
        <x:f>IF(A25="","",SUMIFS('VENTAS'!$H$5:$H$254,'VENTAS'!$C$5:$C$254,A25,'VENTAS'!$F$5:$F$254,"USDT"))</x:f>
        <x:v>0</x:v>
      </x:c>
      <x:c r="E25" s="28" t="n">
        <x:f>IF(A25="","",SUMIFS('VENTAS'!$H$5:$H$254,'VENTAS'!$C$5:$C$254,A25,'VENTAS'!$F$5:$F$254,"Divisa"))</x:f>
        <x:v>0</x:v>
      </x:c>
      <x:c r="F25" s="28" t="n">
        <x:f>IF(A25="","",SUMIFS('VENTAS'!$H$5:$H$254,'VENTAS'!$C$5:$C$254,A25,'VENTAS'!$F$5:$F$254,"Sin confirmar"))</x:f>
        <x:v>0</x:v>
      </x:c>
      <x:c r="G25" s="28" t="n">
        <x:f>IF(A25="","",SUMIFS('VENTAS'!$H$5:$H$254,'VENTAS'!$C$5:$C$254,A25,'VENTAS'!$I$5:$I$254,"Moroso"))</x:f>
        <x:v>42</x:v>
      </x:c>
      <x:c r="H25" s="22" t="n">
        <x:f>IF(A25="","",COUNTIFS('VENTAS'!$C$5:$C$254,A25,'VENTAS'!$I$5:$I$254,"Por conciliar"))</x:f>
        <x:v>0</x:v>
      </x:c>
      <x:c r="I25" s="22" t="str">
        <x:f>IF(A25="","",IF(G25&gt;0,IF(H25&gt;0,"Moroso + revisar","Moroso"),IF(H25&gt;0,"Por conciliar",IF(SUM(C25:F25)&gt;0,"Deuda vigente","Sin saldo"))))</x:f>
        <x:v>Moroso</x:v>
      </x:c>
      <x:c r="J25" s="22" t="str">
        <x:f>IF(A25="","",IF(COUNTIFS($A$5:$A$154,A25)&gt;1,"Nombre duplicado","Correcto"))</x:f>
        <x:v>Correcto</x:v>
      </x:c>
    </x:row>
    <x:row r="26" ht="25" customHeight="1">
      <x:c r="A26" s="26" t="str">
        <x:v>José</x:v>
      </x:c>
      <x:c r="B26" s="22" t="n">
        <x:f>IF(A26="","",COUNTIFS('VENTAS'!$C$5:$C$254,A26))</x:f>
        <x:v>2</x:v>
      </x:c>
      <x:c r="C26" s="28" t="n">
        <x:f>IF(A26="","",SUMIFS('VENTAS'!$H$5:$H$254,'VENTAS'!$C$5:$C$254,A26,'VENTAS'!$F$5:$F$254,"BCV"))</x:f>
        <x:v>0</x:v>
      </x:c>
      <x:c r="D26" s="28" t="n">
        <x:f>IF(A26="","",SUMIFS('VENTAS'!$H$5:$H$254,'VENTAS'!$C$5:$C$254,A26,'VENTAS'!$F$5:$F$254,"USDT"))</x:f>
        <x:v>16</x:v>
      </x:c>
      <x:c r="E26" s="28" t="n">
        <x:f>IF(A26="","",SUMIFS('VENTAS'!$H$5:$H$254,'VENTAS'!$C$5:$C$254,A26,'VENTAS'!$F$5:$F$254,"Divisa"))</x:f>
        <x:v>0</x:v>
      </x:c>
      <x:c r="F26" s="28" t="n">
        <x:f>IF(A26="","",SUMIFS('VENTAS'!$H$5:$H$254,'VENTAS'!$C$5:$C$254,A26,'VENTAS'!$F$5:$F$254,"Sin confirmar"))</x:f>
        <x:v>0</x:v>
      </x:c>
      <x:c r="G26" s="28" t="n">
        <x:f>IF(A26="","",SUMIFS('VENTAS'!$H$5:$H$254,'VENTAS'!$C$5:$C$254,A26,'VENTAS'!$I$5:$I$254,"Moroso"))</x:f>
        <x:v>0</x:v>
      </x:c>
      <x:c r="H26" s="22" t="n">
        <x:f>IF(A26="","",COUNTIFS('VENTAS'!$C$5:$C$254,A26,'VENTAS'!$I$5:$I$254,"Por conciliar"))</x:f>
        <x:v>0</x:v>
      </x:c>
      <x:c r="I26" s="22" t="str">
        <x:f>IF(A26="","",IF(G26&gt;0,IF(H26&gt;0,"Moroso + revisar","Moroso"),IF(H26&gt;0,"Por conciliar",IF(SUM(C26:F26)&gt;0,"Deuda vigente","Sin saldo"))))</x:f>
        <x:v>Deuda vigente</x:v>
      </x:c>
      <x:c r="J26" s="22" t="str">
        <x:f>IF(A26="","",IF(COUNTIFS($A$5:$A$154,A26)&gt;1,"Nombre duplicado","Correcto"))</x:f>
        <x:v>Correcto</x:v>
      </x:c>
    </x:row>
    <x:row r="27" ht="25" customHeight="1">
      <x:c r="A27" s="26" t="str">
        <x:v>Juan Herrade</x:v>
      </x:c>
      <x:c r="B27" s="22" t="n">
        <x:f>IF(A27="","",COUNTIFS('VENTAS'!$C$5:$C$254,A27))</x:f>
        <x:v>2</x:v>
      </x:c>
      <x:c r="C27" s="28" t="n">
        <x:f>IF(A27="","",SUMIFS('VENTAS'!$H$5:$H$254,'VENTAS'!$C$5:$C$254,A27,'VENTAS'!$F$5:$F$254,"BCV"))</x:f>
        <x:v>24</x:v>
      </x:c>
      <x:c r="D27" s="28" t="n">
        <x:f>IF(A27="","",SUMIFS('VENTAS'!$H$5:$H$254,'VENTAS'!$C$5:$C$254,A27,'VENTAS'!$F$5:$F$254,"USDT"))</x:f>
        <x:v>0</x:v>
      </x:c>
      <x:c r="E27" s="28" t="n">
        <x:f>IF(A27="","",SUMIFS('VENTAS'!$H$5:$H$254,'VENTAS'!$C$5:$C$254,A27,'VENTAS'!$F$5:$F$254,"Divisa"))</x:f>
        <x:v>0</x:v>
      </x:c>
      <x:c r="F27" s="28" t="n">
        <x:f>IF(A27="","",SUMIFS('VENTAS'!$H$5:$H$254,'VENTAS'!$C$5:$C$254,A27,'VENTAS'!$F$5:$F$254,"Sin confirmar"))</x:f>
        <x:v>0</x:v>
      </x:c>
      <x:c r="G27" s="28" t="n">
        <x:f>IF(A27="","",SUMIFS('VENTAS'!$H$5:$H$254,'VENTAS'!$C$5:$C$254,A27,'VENTAS'!$I$5:$I$254,"Moroso"))</x:f>
        <x:v>24</x:v>
      </x:c>
      <x:c r="H27" s="22" t="n">
        <x:f>IF(A27="","",COUNTIFS('VENTAS'!$C$5:$C$254,A27,'VENTAS'!$I$5:$I$254,"Por conciliar"))</x:f>
        <x:v>0</x:v>
      </x:c>
      <x:c r="I27" s="22" t="str">
        <x:f>IF(A27="","",IF(G27&gt;0,IF(H27&gt;0,"Moroso + revisar","Moroso"),IF(H27&gt;0,"Por conciliar",IF(SUM(C27:F27)&gt;0,"Deuda vigente","Sin saldo"))))</x:f>
        <x:v>Moroso</x:v>
      </x:c>
      <x:c r="J27" s="22" t="str">
        <x:f>IF(A27="","",IF(COUNTIFS($A$5:$A$154,A27)&gt;1,"Nombre duplicado","Correcto"))</x:f>
        <x:v>Correcto</x:v>
      </x:c>
    </x:row>
    <x:row r="28" ht="25" customHeight="1">
      <x:c r="A28" s="26" t="str">
        <x:v>Julio</x:v>
      </x:c>
      <x:c r="B28" s="22" t="n">
        <x:f>IF(A28="","",COUNTIFS('VENTAS'!$C$5:$C$254,A28))</x:f>
        <x:v>1</x:v>
      </x:c>
      <x:c r="C28" s="28" t="n">
        <x:f>IF(A28="","",SUMIFS('VENTAS'!$H$5:$H$254,'VENTAS'!$C$5:$C$254,A28,'VENTAS'!$F$5:$F$254,"BCV"))</x:f>
        <x:v>0</x:v>
      </x:c>
      <x:c r="D28" s="28" t="n">
        <x:f>IF(A28="","",SUMIFS('VENTAS'!$H$5:$H$254,'VENTAS'!$C$5:$C$254,A28,'VENTAS'!$F$5:$F$254,"USDT"))</x:f>
        <x:v>0</x:v>
      </x:c>
      <x:c r="E28" s="28" t="n">
        <x:f>IF(A28="","",SUMIFS('VENTAS'!$H$5:$H$254,'VENTAS'!$C$5:$C$254,A28,'VENTAS'!$F$5:$F$254,"Divisa"))</x:f>
        <x:v>0</x:v>
      </x:c>
      <x:c r="F28" s="28" t="n">
        <x:f>IF(A28="","",SUMIFS('VENTAS'!$H$5:$H$254,'VENTAS'!$C$5:$C$254,A28,'VENTAS'!$F$5:$F$254,"Sin confirmar"))</x:f>
        <x:v>0</x:v>
      </x:c>
      <x:c r="G28" s="28" t="n">
        <x:f>IF(A28="","",SUMIFS('VENTAS'!$H$5:$H$254,'VENTAS'!$C$5:$C$254,A28,'VENTAS'!$I$5:$I$254,"Moroso"))</x:f>
        <x:v>0</x:v>
      </x:c>
      <x:c r="H28" s="22" t="n">
        <x:f>IF(A28="","",COUNTIFS('VENTAS'!$C$5:$C$254,A28,'VENTAS'!$I$5:$I$254,"Por conciliar"))</x:f>
        <x:v>1</x:v>
      </x:c>
      <x:c r="I28" s="22" t="str">
        <x:f>IF(A28="","",IF(G28&gt;0,IF(H28&gt;0,"Moroso + revisar","Moroso"),IF(H28&gt;0,"Por conciliar",IF(SUM(C28:F28)&gt;0,"Deuda vigente","Sin saldo"))))</x:f>
        <x:v>Por conciliar</x:v>
      </x:c>
      <x:c r="J28" s="22" t="str">
        <x:f>IF(A28="","",IF(COUNTIFS($A$5:$A$154,A28)&gt;1,"Nombre duplicado","Correcto"))</x:f>
        <x:v>Correcto</x:v>
      </x:c>
    </x:row>
    <x:row r="29" ht="25" customHeight="1">
      <x:c r="A29" s="26" t="str">
        <x:v>Landaeta</x:v>
      </x:c>
      <x:c r="B29" s="22" t="n">
        <x:f>IF(A29="","",COUNTIFS('VENTAS'!$C$5:$C$254,A29))</x:f>
        <x:v>4</x:v>
      </x:c>
      <x:c r="C29" s="28" t="n">
        <x:f>IF(A29="","",SUMIFS('VENTAS'!$H$5:$H$254,'VENTAS'!$C$5:$C$254,A29,'VENTAS'!$F$5:$F$254,"BCV"))</x:f>
        <x:v>0</x:v>
      </x:c>
      <x:c r="D29" s="28" t="n">
        <x:f>IF(A29="","",SUMIFS('VENTAS'!$H$5:$H$254,'VENTAS'!$C$5:$C$254,A29,'VENTAS'!$F$5:$F$254,"USDT"))</x:f>
        <x:v>0</x:v>
      </x:c>
      <x:c r="E29" s="28" t="n">
        <x:f>IF(A29="","",SUMIFS('VENTAS'!$H$5:$H$254,'VENTAS'!$C$5:$C$254,A29,'VENTAS'!$F$5:$F$254,"Divisa"))</x:f>
        <x:v>0</x:v>
      </x:c>
      <x:c r="F29" s="28" t="n">
        <x:f>IF(A29="","",SUMIFS('VENTAS'!$H$5:$H$254,'VENTAS'!$C$5:$C$254,A29,'VENTAS'!$F$5:$F$254,"Sin confirmar"))</x:f>
        <x:v>0</x:v>
      </x:c>
      <x:c r="G29" s="28" t="n">
        <x:f>IF(A29="","",SUMIFS('VENTAS'!$H$5:$H$254,'VENTAS'!$C$5:$C$254,A29,'VENTAS'!$I$5:$I$254,"Moroso"))</x:f>
        <x:v>0</x:v>
      </x:c>
      <x:c r="H29" s="22" t="n">
        <x:f>IF(A29="","",COUNTIFS('VENTAS'!$C$5:$C$254,A29,'VENTAS'!$I$5:$I$254,"Por conciliar"))</x:f>
        <x:v>1</x:v>
      </x:c>
      <x:c r="I29" s="22" t="str">
        <x:f>IF(A29="","",IF(G29&gt;0,IF(H29&gt;0,"Moroso + revisar","Moroso"),IF(H29&gt;0,"Por conciliar",IF(SUM(C29:F29)&gt;0,"Deuda vigente","Sin saldo"))))</x:f>
        <x:v>Por conciliar</x:v>
      </x:c>
      <x:c r="J29" s="22" t="str">
        <x:f>IF(A29="","",IF(COUNTIFS($A$5:$A$154,A29)&gt;1,"Nombre duplicado","Correcto"))</x:f>
        <x:v>Correcto</x:v>
      </x:c>
    </x:row>
    <x:row r="30" ht="25" customHeight="1">
      <x:c r="A30" s="26" t="str">
        <x:v>Leandro</x:v>
      </x:c>
      <x:c r="B30" s="22" t="n">
        <x:f>IF(A30="","",COUNTIFS('VENTAS'!$C$5:$C$254,A30))</x:f>
        <x:v>2</x:v>
      </x:c>
      <x:c r="C30" s="28" t="n">
        <x:f>IF(A30="","",SUMIFS('VENTAS'!$H$5:$H$254,'VENTAS'!$C$5:$C$254,A30,'VENTAS'!$F$5:$F$254,"BCV"))</x:f>
        <x:v>0</x:v>
      </x:c>
      <x:c r="D30" s="28" t="n">
        <x:f>IF(A30="","",SUMIFS('VENTAS'!$H$5:$H$254,'VENTAS'!$C$5:$C$254,A30,'VENTAS'!$F$5:$F$254,"USDT"))</x:f>
        <x:v>0</x:v>
      </x:c>
      <x:c r="E30" s="28" t="n">
        <x:f>IF(A30="","",SUMIFS('VENTAS'!$H$5:$H$254,'VENTAS'!$C$5:$C$254,A30,'VENTAS'!$F$5:$F$254,"Divisa"))</x:f>
        <x:v>0</x:v>
      </x:c>
      <x:c r="F30" s="28" t="n">
        <x:f>IF(A30="","",SUMIFS('VENTAS'!$H$5:$H$254,'VENTAS'!$C$5:$C$254,A30,'VENTAS'!$F$5:$F$254,"Sin confirmar"))</x:f>
        <x:v>0</x:v>
      </x:c>
      <x:c r="G30" s="28" t="n">
        <x:f>IF(A30="","",SUMIFS('VENTAS'!$H$5:$H$254,'VENTAS'!$C$5:$C$254,A30,'VENTAS'!$I$5:$I$254,"Moroso"))</x:f>
        <x:v>0</x:v>
      </x:c>
      <x:c r="H30" s="22" t="n">
        <x:f>IF(A30="","",COUNTIFS('VENTAS'!$C$5:$C$254,A30,'VENTAS'!$I$5:$I$254,"Por conciliar"))</x:f>
        <x:v>2</x:v>
      </x:c>
      <x:c r="I30" s="22" t="str">
        <x:f>IF(A30="","",IF(G30&gt;0,IF(H30&gt;0,"Moroso + revisar","Moroso"),IF(H30&gt;0,"Por conciliar",IF(SUM(C30:F30)&gt;0,"Deuda vigente","Sin saldo"))))</x:f>
        <x:v>Por conciliar</x:v>
      </x:c>
      <x:c r="J30" s="22" t="str">
        <x:f>IF(A30="","",IF(COUNTIFS($A$5:$A$154,A30)&gt;1,"Nombre duplicado","Correcto"))</x:f>
        <x:v>Correcto</x:v>
      </x:c>
    </x:row>
    <x:row r="31" ht="25" customHeight="1">
      <x:c r="A31" s="26" t="str">
        <x:v>Llovera</x:v>
      </x:c>
      <x:c r="B31" s="22" t="n">
        <x:f>IF(A31="","",COUNTIFS('VENTAS'!$C$5:$C$254,A31))</x:f>
        <x:v>1</x:v>
      </x:c>
      <x:c r="C31" s="28" t="n">
        <x:f>IF(A31="","",SUMIFS('VENTAS'!$H$5:$H$254,'VENTAS'!$C$5:$C$254,A31,'VENTAS'!$F$5:$F$254,"BCV"))</x:f>
        <x:v>0</x:v>
      </x:c>
      <x:c r="D31" s="28" t="n">
        <x:f>IF(A31="","",SUMIFS('VENTAS'!$H$5:$H$254,'VENTAS'!$C$5:$C$254,A31,'VENTAS'!$F$5:$F$254,"USDT"))</x:f>
        <x:v>0</x:v>
      </x:c>
      <x:c r="E31" s="28" t="n">
        <x:f>IF(A31="","",SUMIFS('VENTAS'!$H$5:$H$254,'VENTAS'!$C$5:$C$254,A31,'VENTAS'!$F$5:$F$254,"Divisa"))</x:f>
        <x:v>0</x:v>
      </x:c>
      <x:c r="F31" s="28" t="n">
        <x:f>IF(A31="","",SUMIFS('VENTAS'!$H$5:$H$254,'VENTAS'!$C$5:$C$254,A31,'VENTAS'!$F$5:$F$254,"Sin confirmar"))</x:f>
        <x:v>0</x:v>
      </x:c>
      <x:c r="G31" s="28" t="n">
        <x:f>IF(A31="","",SUMIFS('VENTAS'!$H$5:$H$254,'VENTAS'!$C$5:$C$254,A31,'VENTAS'!$I$5:$I$254,"Moroso"))</x:f>
        <x:v>0</x:v>
      </x:c>
      <x:c r="H31" s="22" t="n">
        <x:f>IF(A31="","",COUNTIFS('VENTAS'!$C$5:$C$254,A31,'VENTAS'!$I$5:$I$254,"Por conciliar"))</x:f>
        <x:v>0</x:v>
      </x:c>
      <x:c r="I31" s="22" t="str">
        <x:f>IF(A31="","",IF(G31&gt;0,IF(H31&gt;0,"Moroso + revisar","Moroso"),IF(H31&gt;0,"Por conciliar",IF(SUM(C31:F31)&gt;0,"Deuda vigente","Sin saldo"))))</x:f>
        <x:v>Sin saldo</x:v>
      </x:c>
      <x:c r="J31" s="22" t="str">
        <x:f>IF(A31="","",IF(COUNTIFS($A$5:$A$154,A31)&gt;1,"Nombre duplicado","Correcto"))</x:f>
        <x:v>Correcto</x:v>
      </x:c>
    </x:row>
    <x:row r="32" ht="25" customHeight="1">
      <x:c r="A32" s="26" t="str">
        <x:v>Luis Sequera</x:v>
      </x:c>
      <x:c r="B32" s="22" t="n">
        <x:f>IF(A32="","",COUNTIFS('VENTAS'!$C$5:$C$254,A32))</x:f>
        <x:v>1</x:v>
      </x:c>
      <x:c r="C32" s="28" t="n">
        <x:f>IF(A32="","",SUMIFS('VENTAS'!$H$5:$H$254,'VENTAS'!$C$5:$C$254,A32,'VENTAS'!$F$5:$F$254,"BCV"))</x:f>
        <x:v>0</x:v>
      </x:c>
      <x:c r="D32" s="28" t="n">
        <x:f>IF(A32="","",SUMIFS('VENTAS'!$H$5:$H$254,'VENTAS'!$C$5:$C$254,A32,'VENTAS'!$F$5:$F$254,"USDT"))</x:f>
        <x:v>0</x:v>
      </x:c>
      <x:c r="E32" s="28" t="n">
        <x:f>IF(A32="","",SUMIFS('VENTAS'!$H$5:$H$254,'VENTAS'!$C$5:$C$254,A32,'VENTAS'!$F$5:$F$254,"Divisa"))</x:f>
        <x:v>0</x:v>
      </x:c>
      <x:c r="F32" s="28" t="n">
        <x:f>IF(A32="","",SUMIFS('VENTAS'!$H$5:$H$254,'VENTAS'!$C$5:$C$254,A32,'VENTAS'!$F$5:$F$254,"Sin confirmar"))</x:f>
        <x:v>0</x:v>
      </x:c>
      <x:c r="G32" s="28" t="n">
        <x:f>IF(A32="","",SUMIFS('VENTAS'!$H$5:$H$254,'VENTAS'!$C$5:$C$254,A32,'VENTAS'!$I$5:$I$254,"Moroso"))</x:f>
        <x:v>0</x:v>
      </x:c>
      <x:c r="H32" s="22" t="n">
        <x:f>IF(A32="","",COUNTIFS('VENTAS'!$C$5:$C$254,A32,'VENTAS'!$I$5:$I$254,"Por conciliar"))</x:f>
        <x:v>1</x:v>
      </x:c>
      <x:c r="I32" s="22" t="str">
        <x:f>IF(A32="","",IF(G32&gt;0,IF(H32&gt;0,"Moroso + revisar","Moroso"),IF(H32&gt;0,"Por conciliar",IF(SUM(C32:F32)&gt;0,"Deuda vigente","Sin saldo"))))</x:f>
        <x:v>Por conciliar</x:v>
      </x:c>
      <x:c r="J32" s="22" t="str">
        <x:f>IF(A32="","",IF(COUNTIFS($A$5:$A$154,A32)&gt;1,"Nombre duplicado","Correcto"))</x:f>
        <x:v>Correcto</x:v>
      </x:c>
    </x:row>
    <x:row r="33" ht="25" customHeight="1">
      <x:c r="A33" s="26" t="str">
        <x:v>Marbella</x:v>
      </x:c>
      <x:c r="B33" s="22" t="n">
        <x:f>IF(A33="","",COUNTIFS('VENTAS'!$C$5:$C$254,A33))</x:f>
        <x:v>1</x:v>
      </x:c>
      <x:c r="C33" s="28" t="n">
        <x:f>IF(A33="","",SUMIFS('VENTAS'!$H$5:$H$254,'VENTAS'!$C$5:$C$254,A33,'VENTAS'!$F$5:$F$254,"BCV"))</x:f>
        <x:v>0</x:v>
      </x:c>
      <x:c r="D33" s="28" t="n">
        <x:f>IF(A33="","",SUMIFS('VENTAS'!$H$5:$H$254,'VENTAS'!$C$5:$C$254,A33,'VENTAS'!$F$5:$F$254,"USDT"))</x:f>
        <x:v>0</x:v>
      </x:c>
      <x:c r="E33" s="28" t="n">
        <x:f>IF(A33="","",SUMIFS('VENTAS'!$H$5:$H$254,'VENTAS'!$C$5:$C$254,A33,'VENTAS'!$F$5:$F$254,"Divisa"))</x:f>
        <x:v>0</x:v>
      </x:c>
      <x:c r="F33" s="28" t="n">
        <x:f>IF(A33="","",SUMIFS('VENTAS'!$H$5:$H$254,'VENTAS'!$C$5:$C$254,A33,'VENTAS'!$F$5:$F$254,"Sin confirmar"))</x:f>
        <x:v>0</x:v>
      </x:c>
      <x:c r="G33" s="28" t="n">
        <x:f>IF(A33="","",SUMIFS('VENTAS'!$H$5:$H$254,'VENTAS'!$C$5:$C$254,A33,'VENTAS'!$I$5:$I$254,"Moroso"))</x:f>
        <x:v>0</x:v>
      </x:c>
      <x:c r="H33" s="22" t="n">
        <x:f>IF(A33="","",COUNTIFS('VENTAS'!$C$5:$C$254,A33,'VENTAS'!$I$5:$I$254,"Por conciliar"))</x:f>
        <x:v>0</x:v>
      </x:c>
      <x:c r="I33" s="22" t="str">
        <x:f>IF(A33="","",IF(G33&gt;0,IF(H33&gt;0,"Moroso + revisar","Moroso"),IF(H33&gt;0,"Por conciliar",IF(SUM(C33:F33)&gt;0,"Deuda vigente","Sin saldo"))))</x:f>
        <x:v>Sin saldo</x:v>
      </x:c>
      <x:c r="J33" s="22" t="str">
        <x:f>IF(A33="","",IF(COUNTIFS($A$5:$A$154,A33)&gt;1,"Nombre duplicado","Correcto"))</x:f>
        <x:v>Correcto</x:v>
      </x:c>
    </x:row>
    <x:row r="34" ht="25" customHeight="1">
      <x:c r="A34" s="26" t="str">
        <x:v>Melany</x:v>
      </x:c>
      <x:c r="B34" s="22" t="n">
        <x:f>IF(A34="","",COUNTIFS('VENTAS'!$C$5:$C$254,A34))</x:f>
        <x:v>1</x:v>
      </x:c>
      <x:c r="C34" s="28" t="n">
        <x:f>IF(A34="","",SUMIFS('VENTAS'!$H$5:$H$254,'VENTAS'!$C$5:$C$254,A34,'VENTAS'!$F$5:$F$254,"BCV"))</x:f>
        <x:v>14</x:v>
      </x:c>
      <x:c r="D34" s="28" t="n">
        <x:f>IF(A34="","",SUMIFS('VENTAS'!$H$5:$H$254,'VENTAS'!$C$5:$C$254,A34,'VENTAS'!$F$5:$F$254,"USDT"))</x:f>
        <x:v>0</x:v>
      </x:c>
      <x:c r="E34" s="28" t="n">
        <x:f>IF(A34="","",SUMIFS('VENTAS'!$H$5:$H$254,'VENTAS'!$C$5:$C$254,A34,'VENTAS'!$F$5:$F$254,"Divisa"))</x:f>
        <x:v>0</x:v>
      </x:c>
      <x:c r="F34" s="28" t="n">
        <x:f>IF(A34="","",SUMIFS('VENTAS'!$H$5:$H$254,'VENTAS'!$C$5:$C$254,A34,'VENTAS'!$F$5:$F$254,"Sin confirmar"))</x:f>
        <x:v>0</x:v>
      </x:c>
      <x:c r="G34" s="28" t="n">
        <x:f>IF(A34="","",SUMIFS('VENTAS'!$H$5:$H$254,'VENTAS'!$C$5:$C$254,A34,'VENTAS'!$I$5:$I$254,"Moroso"))</x:f>
        <x:v>14</x:v>
      </x:c>
      <x:c r="H34" s="22" t="n">
        <x:f>IF(A34="","",COUNTIFS('VENTAS'!$C$5:$C$254,A34,'VENTAS'!$I$5:$I$254,"Por conciliar"))</x:f>
        <x:v>0</x:v>
      </x:c>
      <x:c r="I34" s="22" t="str">
        <x:f>IF(A34="","",IF(G34&gt;0,IF(H34&gt;0,"Moroso + revisar","Moroso"),IF(H34&gt;0,"Por conciliar",IF(SUM(C34:F34)&gt;0,"Deuda vigente","Sin saldo"))))</x:f>
        <x:v>Moroso</x:v>
      </x:c>
      <x:c r="J34" s="22" t="str">
        <x:f>IF(A34="","",IF(COUNTIFS($A$5:$A$154,A34)&gt;1,"Nombre duplicado","Correcto"))</x:f>
        <x:v>Correcto</x:v>
      </x:c>
    </x:row>
    <x:row r="35" ht="25" customHeight="1">
      <x:c r="A35" s="26" t="str">
        <x:v>Mirleidy</x:v>
      </x:c>
      <x:c r="B35" s="22" t="n">
        <x:f>IF(A35="","",COUNTIFS('VENTAS'!$C$5:$C$254,A35))</x:f>
        <x:v>2</x:v>
      </x:c>
      <x:c r="C35" s="28" t="n">
        <x:f>IF(A35="","",SUMIFS('VENTAS'!$H$5:$H$254,'VENTAS'!$C$5:$C$254,A35,'VENTAS'!$F$5:$F$254,"BCV"))</x:f>
        <x:v>0</x:v>
      </x:c>
      <x:c r="D35" s="28" t="n">
        <x:f>IF(A35="","",SUMIFS('VENTAS'!$H$5:$H$254,'VENTAS'!$C$5:$C$254,A35,'VENTAS'!$F$5:$F$254,"USDT"))</x:f>
        <x:v>0</x:v>
      </x:c>
      <x:c r="E35" s="28" t="n">
        <x:f>IF(A35="","",SUMIFS('VENTAS'!$H$5:$H$254,'VENTAS'!$C$5:$C$254,A35,'VENTAS'!$F$5:$F$254,"Divisa"))</x:f>
        <x:v>0</x:v>
      </x:c>
      <x:c r="F35" s="28" t="n">
        <x:f>IF(A35="","",SUMIFS('VENTAS'!$H$5:$H$254,'VENTAS'!$C$5:$C$254,A35,'VENTAS'!$F$5:$F$254,"Sin confirmar"))</x:f>
        <x:v>0</x:v>
      </x:c>
      <x:c r="G35" s="28" t="n">
        <x:f>IF(A35="","",SUMIFS('VENTAS'!$H$5:$H$254,'VENTAS'!$C$5:$C$254,A35,'VENTAS'!$I$5:$I$254,"Moroso"))</x:f>
        <x:v>0</x:v>
      </x:c>
      <x:c r="H35" s="22" t="n">
        <x:f>IF(A35="","",COUNTIFS('VENTAS'!$C$5:$C$254,A35,'VENTAS'!$I$5:$I$254,"Por conciliar"))</x:f>
        <x:v>0</x:v>
      </x:c>
      <x:c r="I35" s="22" t="str">
        <x:f>IF(A35="","",IF(G35&gt;0,IF(H35&gt;0,"Moroso + revisar","Moroso"),IF(H35&gt;0,"Por conciliar",IF(SUM(C35:F35)&gt;0,"Deuda vigente","Sin saldo"))))</x:f>
        <x:v>Sin saldo</x:v>
      </x:c>
      <x:c r="J35" s="22" t="str">
        <x:f>IF(A35="","",IF(COUNTIFS($A$5:$A$154,A35)&gt;1,"Nombre duplicado","Correcto"))</x:f>
        <x:v>Correcto</x:v>
      </x:c>
    </x:row>
    <x:row r="36" ht="25" customHeight="1">
      <x:c r="A36" s="26" t="str">
        <x:v>Moisés</x:v>
      </x:c>
      <x:c r="B36" s="22" t="n">
        <x:f>IF(A36="","",COUNTIFS('VENTAS'!$C$5:$C$254,A36))</x:f>
        <x:v>1</x:v>
      </x:c>
      <x:c r="C36" s="28" t="n">
        <x:f>IF(A36="","",SUMIFS('VENTAS'!$H$5:$H$254,'VENTAS'!$C$5:$C$254,A36,'VENTAS'!$F$5:$F$254,"BCV"))</x:f>
        <x:v>0</x:v>
      </x:c>
      <x:c r="D36" s="28" t="n">
        <x:f>IF(A36="","",SUMIFS('VENTAS'!$H$5:$H$254,'VENTAS'!$C$5:$C$254,A36,'VENTAS'!$F$5:$F$254,"USDT"))</x:f>
        <x:v>0</x:v>
      </x:c>
      <x:c r="E36" s="28" t="n">
        <x:f>IF(A36="","",SUMIFS('VENTAS'!$H$5:$H$254,'VENTAS'!$C$5:$C$254,A36,'VENTAS'!$F$5:$F$254,"Divisa"))</x:f>
        <x:v>0</x:v>
      </x:c>
      <x:c r="F36" s="28" t="n">
        <x:f>IF(A36="","",SUMIFS('VENTAS'!$H$5:$H$254,'VENTAS'!$C$5:$C$254,A36,'VENTAS'!$F$5:$F$254,"Sin confirmar"))</x:f>
        <x:v>0</x:v>
      </x:c>
      <x:c r="G36" s="28" t="n">
        <x:f>IF(A36="","",SUMIFS('VENTAS'!$H$5:$H$254,'VENTAS'!$C$5:$C$254,A36,'VENTAS'!$I$5:$I$254,"Moroso"))</x:f>
        <x:v>0</x:v>
      </x:c>
      <x:c r="H36" s="22" t="n">
        <x:f>IF(A36="","",COUNTIFS('VENTAS'!$C$5:$C$254,A36,'VENTAS'!$I$5:$I$254,"Por conciliar"))</x:f>
        <x:v>1</x:v>
      </x:c>
      <x:c r="I36" s="22" t="str">
        <x:f>IF(A36="","",IF(G36&gt;0,IF(H36&gt;0,"Moroso + revisar","Moroso"),IF(H36&gt;0,"Por conciliar",IF(SUM(C36:F36)&gt;0,"Deuda vigente","Sin saldo"))))</x:f>
        <x:v>Por conciliar</x:v>
      </x:c>
      <x:c r="J36" s="22" t="str">
        <x:f>IF(A36="","",IF(COUNTIFS($A$5:$A$154,A36)&gt;1,"Nombre duplicado","Correcto"))</x:f>
        <x:v>Correcto</x:v>
      </x:c>
    </x:row>
    <x:row r="37" ht="25" customHeight="1">
      <x:c r="A37" s="26" t="str">
        <x:v>Norelvis</x:v>
      </x:c>
      <x:c r="B37" s="22" t="n">
        <x:f>IF(A37="","",COUNTIFS('VENTAS'!$C$5:$C$254,A37))</x:f>
        <x:v>1</x:v>
      </x:c>
      <x:c r="C37" s="28" t="n">
        <x:f>IF(A37="","",SUMIFS('VENTAS'!$H$5:$H$254,'VENTAS'!$C$5:$C$254,A37,'VENTAS'!$F$5:$F$254,"BCV"))</x:f>
        <x:v>0</x:v>
      </x:c>
      <x:c r="D37" s="28" t="n">
        <x:f>IF(A37="","",SUMIFS('VENTAS'!$H$5:$H$254,'VENTAS'!$C$5:$C$254,A37,'VENTAS'!$F$5:$F$254,"USDT"))</x:f>
        <x:v>0</x:v>
      </x:c>
      <x:c r="E37" s="28" t="n">
        <x:f>IF(A37="","",SUMIFS('VENTAS'!$H$5:$H$254,'VENTAS'!$C$5:$C$254,A37,'VENTAS'!$F$5:$F$254,"Divisa"))</x:f>
        <x:v>0</x:v>
      </x:c>
      <x:c r="F37" s="28" t="n">
        <x:f>IF(A37="","",SUMIFS('VENTAS'!$H$5:$H$254,'VENTAS'!$C$5:$C$254,A37,'VENTAS'!$F$5:$F$254,"Sin confirmar"))</x:f>
        <x:v>0</x:v>
      </x:c>
      <x:c r="G37" s="28" t="n">
        <x:f>IF(A37="","",SUMIFS('VENTAS'!$H$5:$H$254,'VENTAS'!$C$5:$C$254,A37,'VENTAS'!$I$5:$I$254,"Moroso"))</x:f>
        <x:v>0</x:v>
      </x:c>
      <x:c r="H37" s="22" t="n">
        <x:f>IF(A37="","",COUNTIFS('VENTAS'!$C$5:$C$254,A37,'VENTAS'!$I$5:$I$254,"Por conciliar"))</x:f>
        <x:v>0</x:v>
      </x:c>
      <x:c r="I37" s="22" t="str">
        <x:f>IF(A37="","",IF(G37&gt;0,IF(H37&gt;0,"Moroso + revisar","Moroso"),IF(H37&gt;0,"Por conciliar",IF(SUM(C37:F37)&gt;0,"Deuda vigente","Sin saldo"))))</x:f>
        <x:v>Sin saldo</x:v>
      </x:c>
      <x:c r="J37" s="22" t="str">
        <x:f>IF(A37="","",IF(COUNTIFS($A$5:$A$154,A37)&gt;1,"Nombre duplicado","Correcto"))</x:f>
        <x:v>Correcto</x:v>
      </x:c>
    </x:row>
    <x:row r="38" ht="25" customHeight="1">
      <x:c r="A38" s="26" t="str">
        <x:v>Polanco</x:v>
      </x:c>
      <x:c r="B38" s="22" t="n">
        <x:f>IF(A38="","",COUNTIFS('VENTAS'!$C$5:$C$254,A38))</x:f>
        <x:v>3</x:v>
      </x:c>
      <x:c r="C38" s="28" t="n">
        <x:f>IF(A38="","",SUMIFS('VENTAS'!$H$5:$H$254,'VENTAS'!$C$5:$C$254,A38,'VENTAS'!$F$5:$F$254,"BCV"))</x:f>
        <x:v>0</x:v>
      </x:c>
      <x:c r="D38" s="28" t="n">
        <x:f>IF(A38="","",SUMIFS('VENTAS'!$H$5:$H$254,'VENTAS'!$C$5:$C$254,A38,'VENTAS'!$F$5:$F$254,"USDT"))</x:f>
        <x:v>0</x:v>
      </x:c>
      <x:c r="E38" s="28" t="n">
        <x:f>IF(A38="","",SUMIFS('VENTAS'!$H$5:$H$254,'VENTAS'!$C$5:$C$254,A38,'VENTAS'!$F$5:$F$254,"Divisa"))</x:f>
        <x:v>0</x:v>
      </x:c>
      <x:c r="F38" s="28" t="n">
        <x:f>IF(A38="","",SUMIFS('VENTAS'!$H$5:$H$254,'VENTAS'!$C$5:$C$254,A38,'VENTAS'!$F$5:$F$254,"Sin confirmar"))</x:f>
        <x:v>0</x:v>
      </x:c>
      <x:c r="G38" s="28" t="n">
        <x:f>IF(A38="","",SUMIFS('VENTAS'!$H$5:$H$254,'VENTAS'!$C$5:$C$254,A38,'VENTAS'!$I$5:$I$254,"Moroso"))</x:f>
        <x:v>0</x:v>
      </x:c>
      <x:c r="H38" s="22" t="n">
        <x:f>IF(A38="","",COUNTIFS('VENTAS'!$C$5:$C$254,A38,'VENTAS'!$I$5:$I$254,"Por conciliar"))</x:f>
        <x:v>0</x:v>
      </x:c>
      <x:c r="I38" s="22" t="str">
        <x:f>IF(A38="","",IF(G38&gt;0,IF(H38&gt;0,"Moroso + revisar","Moroso"),IF(H38&gt;0,"Por conciliar",IF(SUM(C38:F38)&gt;0,"Deuda vigente","Sin saldo"))))</x:f>
        <x:v>Sin saldo</x:v>
      </x:c>
      <x:c r="J38" s="22" t="str">
        <x:f>IF(A38="","",IF(COUNTIFS($A$5:$A$154,A38)&gt;1,"Nombre duplicado","Correcto"))</x:f>
        <x:v>Correcto</x:v>
      </x:c>
    </x:row>
    <x:row r="39" ht="25" customHeight="1">
      <x:c r="A39" s="26" t="str">
        <x:v>Rafael</x:v>
      </x:c>
      <x:c r="B39" s="22" t="n">
        <x:f>IF(A39="","",COUNTIFS('VENTAS'!$C$5:$C$254,A39))</x:f>
        <x:v>2</x:v>
      </x:c>
      <x:c r="C39" s="28" t="n">
        <x:f>IF(A39="","",SUMIFS('VENTAS'!$H$5:$H$254,'VENTAS'!$C$5:$C$254,A39,'VENTAS'!$F$5:$F$254,"BCV"))</x:f>
        <x:v>0</x:v>
      </x:c>
      <x:c r="D39" s="28" t="n">
        <x:f>IF(A39="","",SUMIFS('VENTAS'!$H$5:$H$254,'VENTAS'!$C$5:$C$254,A39,'VENTAS'!$F$5:$F$254,"USDT"))</x:f>
        <x:v>0</x:v>
      </x:c>
      <x:c r="E39" s="28" t="n">
        <x:f>IF(A39="","",SUMIFS('VENTAS'!$H$5:$H$254,'VENTAS'!$C$5:$C$254,A39,'VENTAS'!$F$5:$F$254,"Divisa"))</x:f>
        <x:v>0</x:v>
      </x:c>
      <x:c r="F39" s="28" t="n">
        <x:f>IF(A39="","",SUMIFS('VENTAS'!$H$5:$H$254,'VENTAS'!$C$5:$C$254,A39,'VENTAS'!$F$5:$F$254,"Sin confirmar"))</x:f>
        <x:v>0</x:v>
      </x:c>
      <x:c r="G39" s="28" t="n">
        <x:f>IF(A39="","",SUMIFS('VENTAS'!$H$5:$H$254,'VENTAS'!$C$5:$C$254,A39,'VENTAS'!$I$5:$I$254,"Moroso"))</x:f>
        <x:v>0</x:v>
      </x:c>
      <x:c r="H39" s="22" t="n">
        <x:f>IF(A39="","",COUNTIFS('VENTAS'!$C$5:$C$254,A39,'VENTAS'!$I$5:$I$254,"Por conciliar"))</x:f>
        <x:v>1</x:v>
      </x:c>
      <x:c r="I39" s="22" t="str">
        <x:f>IF(A39="","",IF(G39&gt;0,IF(H39&gt;0,"Moroso + revisar","Moroso"),IF(H39&gt;0,"Por conciliar",IF(SUM(C39:F39)&gt;0,"Deuda vigente","Sin saldo"))))</x:f>
        <x:v>Por conciliar</x:v>
      </x:c>
      <x:c r="J39" s="22" t="str">
        <x:f>IF(A39="","",IF(COUNTIFS($A$5:$A$154,A39)&gt;1,"Nombre duplicado","Correcto"))</x:f>
        <x:v>Correcto</x:v>
      </x:c>
    </x:row>
    <x:row r="40" ht="25" customHeight="1">
      <x:c r="A40" s="26" t="str">
        <x:v>Raúl Aparicio</x:v>
      </x:c>
      <x:c r="B40" s="22" t="n">
        <x:f>IF(A40="","",COUNTIFS('VENTAS'!$C$5:$C$254,A40))</x:f>
        <x:v>1</x:v>
      </x:c>
      <x:c r="C40" s="28" t="n">
        <x:f>IF(A40="","",SUMIFS('VENTAS'!$H$5:$H$254,'VENTAS'!$C$5:$C$254,A40,'VENTAS'!$F$5:$F$254,"BCV"))</x:f>
        <x:v>8</x:v>
      </x:c>
      <x:c r="D40" s="28" t="n">
        <x:f>IF(A40="","",SUMIFS('VENTAS'!$H$5:$H$254,'VENTAS'!$C$5:$C$254,A40,'VENTAS'!$F$5:$F$254,"USDT"))</x:f>
        <x:v>0</x:v>
      </x:c>
      <x:c r="E40" s="28" t="n">
        <x:f>IF(A40="","",SUMIFS('VENTAS'!$H$5:$H$254,'VENTAS'!$C$5:$C$254,A40,'VENTAS'!$F$5:$F$254,"Divisa"))</x:f>
        <x:v>0</x:v>
      </x:c>
      <x:c r="F40" s="28" t="n">
        <x:f>IF(A40="","",SUMIFS('VENTAS'!$H$5:$H$254,'VENTAS'!$C$5:$C$254,A40,'VENTAS'!$F$5:$F$254,"Sin confirmar"))</x:f>
        <x:v>0</x:v>
      </x:c>
      <x:c r="G40" s="28" t="n">
        <x:f>IF(A40="","",SUMIFS('VENTAS'!$H$5:$H$254,'VENTAS'!$C$5:$C$254,A40,'VENTAS'!$I$5:$I$254,"Moroso"))</x:f>
        <x:v>0</x:v>
      </x:c>
      <x:c r="H40" s="22" t="n">
        <x:f>IF(A40="","",COUNTIFS('VENTAS'!$C$5:$C$254,A40,'VENTAS'!$I$5:$I$254,"Por conciliar"))</x:f>
        <x:v>0</x:v>
      </x:c>
      <x:c r="I40" s="22" t="str">
        <x:f>IF(A40="","",IF(G40&gt;0,IF(H40&gt;0,"Moroso + revisar","Moroso"),IF(H40&gt;0,"Por conciliar",IF(SUM(C40:F40)&gt;0,"Deuda vigente","Sin saldo"))))</x:f>
        <x:v>Deuda vigente</x:v>
      </x:c>
      <x:c r="J40" s="22" t="str">
        <x:f>IF(A40="","",IF(COUNTIFS($A$5:$A$154,A40)&gt;1,"Nombre duplicado","Correcto"))</x:f>
        <x:v>Correcto</x:v>
      </x:c>
    </x:row>
    <x:row r="41" ht="25" customHeight="1">
      <x:c r="A41" s="26" t="str">
        <x:v>Reinel</x:v>
      </x:c>
      <x:c r="B41" s="22" t="n">
        <x:f>IF(A41="","",COUNTIFS('VENTAS'!$C$5:$C$254,A41))</x:f>
        <x:v>1</x:v>
      </x:c>
      <x:c r="C41" s="28" t="n">
        <x:f>IF(A41="","",SUMIFS('VENTAS'!$H$5:$H$254,'VENTAS'!$C$5:$C$254,A41,'VENTAS'!$F$5:$F$254,"BCV"))</x:f>
        <x:v>0</x:v>
      </x:c>
      <x:c r="D41" s="28" t="n">
        <x:f>IF(A41="","",SUMIFS('VENTAS'!$H$5:$H$254,'VENTAS'!$C$5:$C$254,A41,'VENTAS'!$F$5:$F$254,"USDT"))</x:f>
        <x:v>0</x:v>
      </x:c>
      <x:c r="E41" s="28" t="n">
        <x:f>IF(A41="","",SUMIFS('VENTAS'!$H$5:$H$254,'VENTAS'!$C$5:$C$254,A41,'VENTAS'!$F$5:$F$254,"Divisa"))</x:f>
        <x:v>0</x:v>
      </x:c>
      <x:c r="F41" s="28" t="n">
        <x:f>IF(A41="","",SUMIFS('VENTAS'!$H$5:$H$254,'VENTAS'!$C$5:$C$254,A41,'VENTAS'!$F$5:$F$254,"Sin confirmar"))</x:f>
        <x:v>0</x:v>
      </x:c>
      <x:c r="G41" s="28" t="n">
        <x:f>IF(A41="","",SUMIFS('VENTAS'!$H$5:$H$254,'VENTAS'!$C$5:$C$254,A41,'VENTAS'!$I$5:$I$254,"Moroso"))</x:f>
        <x:v>0</x:v>
      </x:c>
      <x:c r="H41" s="22" t="n">
        <x:f>IF(A41="","",COUNTIFS('VENTAS'!$C$5:$C$254,A41,'VENTAS'!$I$5:$I$254,"Por conciliar"))</x:f>
        <x:v>0</x:v>
      </x:c>
      <x:c r="I41" s="22" t="str">
        <x:f>IF(A41="","",IF(G41&gt;0,IF(H41&gt;0,"Moroso + revisar","Moroso"),IF(H41&gt;0,"Por conciliar",IF(SUM(C41:F41)&gt;0,"Deuda vigente","Sin saldo"))))</x:f>
        <x:v>Sin saldo</x:v>
      </x:c>
      <x:c r="J41" s="22" t="str">
        <x:f>IF(A41="","",IF(COUNTIFS($A$5:$A$154,A41)&gt;1,"Nombre duplicado","Correcto"))</x:f>
        <x:v>Correcto</x:v>
      </x:c>
    </x:row>
    <x:row r="42" ht="25" customHeight="1">
      <x:c r="A42" s="26" t="str">
        <x:v>Ricardo</x:v>
      </x:c>
      <x:c r="B42" s="22" t="n">
        <x:f>IF(A42="","",COUNTIFS('VENTAS'!$C$5:$C$254,A42))</x:f>
        <x:v>7</x:v>
      </x:c>
      <x:c r="C42" s="28" t="n">
        <x:f>IF(A42="","",SUMIFS('VENTAS'!$H$5:$H$254,'VENTAS'!$C$5:$C$254,A42,'VENTAS'!$F$5:$F$254,"BCV"))</x:f>
        <x:v>0</x:v>
      </x:c>
      <x:c r="D42" s="28" t="n">
        <x:f>IF(A42="","",SUMIFS('VENTAS'!$H$5:$H$254,'VENTAS'!$C$5:$C$254,A42,'VENTAS'!$F$5:$F$254,"USDT"))</x:f>
        <x:v>57</x:v>
      </x:c>
      <x:c r="E42" s="28" t="n">
        <x:f>IF(A42="","",SUMIFS('VENTAS'!$H$5:$H$254,'VENTAS'!$C$5:$C$254,A42,'VENTAS'!$F$5:$F$254,"Divisa"))</x:f>
        <x:v>0</x:v>
      </x:c>
      <x:c r="F42" s="28" t="n">
        <x:f>IF(A42="","",SUMIFS('VENTAS'!$H$5:$H$254,'VENTAS'!$C$5:$C$254,A42,'VENTAS'!$F$5:$F$254,"Sin confirmar"))</x:f>
        <x:v>0</x:v>
      </x:c>
      <x:c r="G42" s="28" t="n">
        <x:f>IF(A42="","",SUMIFS('VENTAS'!$H$5:$H$254,'VENTAS'!$C$5:$C$254,A42,'VENTAS'!$I$5:$I$254,"Moroso"))</x:f>
        <x:v>0</x:v>
      </x:c>
      <x:c r="H42" s="22" t="n">
        <x:f>IF(A42="","",COUNTIFS('VENTAS'!$C$5:$C$254,A42,'VENTAS'!$I$5:$I$254,"Por conciliar"))</x:f>
        <x:v>1</x:v>
      </x:c>
      <x:c r="I42" s="22" t="str">
        <x:f>IF(A42="","",IF(G42&gt;0,IF(H42&gt;0,"Moroso + revisar","Moroso"),IF(H42&gt;0,"Por conciliar",IF(SUM(C42:F42)&gt;0,"Deuda vigente","Sin saldo"))))</x:f>
        <x:v>Por conciliar</x:v>
      </x:c>
      <x:c r="J42" s="22" t="str">
        <x:f>IF(A42="","",IF(COUNTIFS($A$5:$A$154,A42)&gt;1,"Nombre duplicado","Correcto"))</x:f>
        <x:v>Correcto</x:v>
      </x:c>
    </x:row>
    <x:row r="43" ht="25" customHeight="1">
      <x:c r="A43" s="26" t="str">
        <x:v>Ricardo Gomez</x:v>
      </x:c>
      <x:c r="B43" s="22" t="n">
        <x:f>IF(A43="","",COUNTIFS('VENTAS'!$C$5:$C$254,A43))</x:f>
        <x:v>5</x:v>
      </x:c>
      <x:c r="C43" s="28" t="n">
        <x:f>IF(A43="","",SUMIFS('VENTAS'!$H$5:$H$254,'VENTAS'!$C$5:$C$254,A43,'VENTAS'!$F$5:$F$254,"BCV"))</x:f>
        <x:v>0</x:v>
      </x:c>
      <x:c r="D43" s="28" t="n">
        <x:f>IF(A43="","",SUMIFS('VENTAS'!$H$5:$H$254,'VENTAS'!$C$5:$C$254,A43,'VENTAS'!$F$5:$F$254,"USDT"))</x:f>
        <x:v>8.5</x:v>
      </x:c>
      <x:c r="E43" s="28" t="n">
        <x:f>IF(A43="","",SUMIFS('VENTAS'!$H$5:$H$254,'VENTAS'!$C$5:$C$254,A43,'VENTAS'!$F$5:$F$254,"Divisa"))</x:f>
        <x:v>0</x:v>
      </x:c>
      <x:c r="F43" s="28" t="n">
        <x:f>IF(A43="","",SUMIFS('VENTAS'!$H$5:$H$254,'VENTAS'!$C$5:$C$254,A43,'VENTAS'!$F$5:$F$254,"Sin confirmar"))</x:f>
        <x:v>17</x:v>
      </x:c>
      <x:c r="G43" s="28" t="n">
        <x:f>IF(A43="","",SUMIFS('VENTAS'!$H$5:$H$254,'VENTAS'!$C$5:$C$254,A43,'VENTAS'!$I$5:$I$254,"Moroso"))</x:f>
        <x:v>0</x:v>
      </x:c>
      <x:c r="H43" s="22" t="n">
        <x:f>IF(A43="","",COUNTIFS('VENTAS'!$C$5:$C$254,A43,'VENTAS'!$I$5:$I$254,"Por conciliar"))</x:f>
        <x:v>1</x:v>
      </x:c>
      <x:c r="I43" s="22" t="str">
        <x:f>IF(A43="","",IF(G43&gt;0,IF(H43&gt;0,"Moroso + revisar","Moroso"),IF(H43&gt;0,"Por conciliar",IF(SUM(C43:F43)&gt;0,"Deuda vigente","Sin saldo"))))</x:f>
        <x:v>Por conciliar</x:v>
      </x:c>
      <x:c r="J43" s="22" t="str">
        <x:f>IF(A43="","",IF(COUNTIFS($A$5:$A$154,A43)&gt;1,"Nombre duplicado","Correcto"))</x:f>
        <x:v>Correcto</x:v>
      </x:c>
    </x:row>
    <x:row r="44" ht="25" customHeight="1">
      <x:c r="A44" s="26" t="str">
        <x:v>Ricardo Palacios</x:v>
      </x:c>
      <x:c r="B44" s="22" t="n">
        <x:f>IF(A44="","",COUNTIFS('VENTAS'!$C$5:$C$254,A44))</x:f>
        <x:v>2</x:v>
      </x:c>
      <x:c r="C44" s="28" t="n">
        <x:f>IF(A44="","",SUMIFS('VENTAS'!$H$5:$H$254,'VENTAS'!$C$5:$C$254,A44,'VENTAS'!$F$5:$F$254,"BCV"))</x:f>
        <x:v>0</x:v>
      </x:c>
      <x:c r="D44" s="28" t="n">
        <x:f>IF(A44="","",SUMIFS('VENTAS'!$H$5:$H$254,'VENTAS'!$C$5:$C$254,A44,'VENTAS'!$F$5:$F$254,"USDT"))</x:f>
        <x:v>0</x:v>
      </x:c>
      <x:c r="E44" s="28" t="n">
        <x:f>IF(A44="","",SUMIFS('VENTAS'!$H$5:$H$254,'VENTAS'!$C$5:$C$254,A44,'VENTAS'!$F$5:$F$254,"Divisa"))</x:f>
        <x:v>0</x:v>
      </x:c>
      <x:c r="F44" s="28" t="n">
        <x:f>IF(A44="","",SUMIFS('VENTAS'!$H$5:$H$254,'VENTAS'!$C$5:$C$254,A44,'VENTAS'!$F$5:$F$254,"Sin confirmar"))</x:f>
        <x:v>0</x:v>
      </x:c>
      <x:c r="G44" s="28" t="n">
        <x:f>IF(A44="","",SUMIFS('VENTAS'!$H$5:$H$254,'VENTAS'!$C$5:$C$254,A44,'VENTAS'!$I$5:$I$254,"Moroso"))</x:f>
        <x:v>0</x:v>
      </x:c>
      <x:c r="H44" s="22" t="n">
        <x:f>IF(A44="","",COUNTIFS('VENTAS'!$C$5:$C$254,A44,'VENTAS'!$I$5:$I$254,"Por conciliar"))</x:f>
        <x:v>2</x:v>
      </x:c>
      <x:c r="I44" s="22" t="str">
        <x:f>IF(A44="","",IF(G44&gt;0,IF(H44&gt;0,"Moroso + revisar","Moroso"),IF(H44&gt;0,"Por conciliar",IF(SUM(C44:F44)&gt;0,"Deuda vigente","Sin saldo"))))</x:f>
        <x:v>Por conciliar</x:v>
      </x:c>
      <x:c r="J44" s="22" t="str">
        <x:f>IF(A44="","",IF(COUNTIFS($A$5:$A$154,A44)&gt;1,"Nombre duplicado","Correcto"))</x:f>
        <x:v>Correcto</x:v>
      </x:c>
    </x:row>
    <x:row r="45" ht="25" customHeight="1">
      <x:c r="A45" s="26" t="str">
        <x:v>Vargas</x:v>
      </x:c>
      <x:c r="B45" s="22" t="n">
        <x:f>IF(A45="","",COUNTIFS('VENTAS'!$C$5:$C$254,A45))</x:f>
        <x:v>1</x:v>
      </x:c>
      <x:c r="C45" s="28" t="n">
        <x:f>IF(A45="","",SUMIFS('VENTAS'!$H$5:$H$254,'VENTAS'!$C$5:$C$254,A45,'VENTAS'!$F$5:$F$254,"BCV"))</x:f>
        <x:v>0</x:v>
      </x:c>
      <x:c r="D45" s="28" t="n">
        <x:f>IF(A45="","",SUMIFS('VENTAS'!$H$5:$H$254,'VENTAS'!$C$5:$C$254,A45,'VENTAS'!$F$5:$F$254,"USDT"))</x:f>
        <x:v>0</x:v>
      </x:c>
      <x:c r="E45" s="28" t="n">
        <x:f>IF(A45="","",SUMIFS('VENTAS'!$H$5:$H$254,'VENTAS'!$C$5:$C$254,A45,'VENTAS'!$F$5:$F$254,"Divisa"))</x:f>
        <x:v>0</x:v>
      </x:c>
      <x:c r="F45" s="28" t="n">
        <x:f>IF(A45="","",SUMIFS('VENTAS'!$H$5:$H$254,'VENTAS'!$C$5:$C$254,A45,'VENTAS'!$F$5:$F$254,"Sin confirmar"))</x:f>
        <x:v>0</x:v>
      </x:c>
      <x:c r="G45" s="28" t="n">
        <x:f>IF(A45="","",SUMIFS('VENTAS'!$H$5:$H$254,'VENTAS'!$C$5:$C$254,A45,'VENTAS'!$I$5:$I$254,"Moroso"))</x:f>
        <x:v>0</x:v>
      </x:c>
      <x:c r="H45" s="22" t="n">
        <x:f>IF(A45="","",COUNTIFS('VENTAS'!$C$5:$C$254,A45,'VENTAS'!$I$5:$I$254,"Por conciliar"))</x:f>
        <x:v>1</x:v>
      </x:c>
      <x:c r="I45" s="22" t="str">
        <x:f>IF(A45="","",IF(G45&gt;0,IF(H45&gt;0,"Moroso + revisar","Moroso"),IF(H45&gt;0,"Por conciliar",IF(SUM(C45:F45)&gt;0,"Deuda vigente","Sin saldo"))))</x:f>
        <x:v>Por conciliar</x:v>
      </x:c>
      <x:c r="J45" s="22" t="str">
        <x:f>IF(A45="","",IF(COUNTIFS($A$5:$A$154,A45)&gt;1,"Nombre duplicado","Correcto"))</x:f>
        <x:v>Correcto</x:v>
      </x:c>
    </x:row>
    <x:row r="46" ht="25" customHeight="1">
      <x:c r="A46" s="26" t="str">
        <x:v>Ángel</x:v>
      </x:c>
      <x:c r="B46" s="22" t="n">
        <x:f>IF(A46="","",COUNTIFS('VENTAS'!$C$5:$C$254,A46))</x:f>
        <x:v>2</x:v>
      </x:c>
      <x:c r="C46" s="28" t="n">
        <x:f>IF(A46="","",SUMIFS('VENTAS'!$H$5:$H$254,'VENTAS'!$C$5:$C$254,A46,'VENTAS'!$F$5:$F$254,"BCV"))</x:f>
        <x:v>8</x:v>
      </x:c>
      <x:c r="D46" s="28" t="n">
        <x:f>IF(A46="","",SUMIFS('VENTAS'!$H$5:$H$254,'VENTAS'!$C$5:$C$254,A46,'VENTAS'!$F$5:$F$254,"USDT"))</x:f>
        <x:v>0</x:v>
      </x:c>
      <x:c r="E46" s="28" t="n">
        <x:f>IF(A46="","",SUMIFS('VENTAS'!$H$5:$H$254,'VENTAS'!$C$5:$C$254,A46,'VENTAS'!$F$5:$F$254,"Divisa"))</x:f>
        <x:v>0</x:v>
      </x:c>
      <x:c r="F46" s="28" t="n">
        <x:f>IF(A46="","",SUMIFS('VENTAS'!$H$5:$H$254,'VENTAS'!$C$5:$C$254,A46,'VENTAS'!$F$5:$F$254,"Sin confirmar"))</x:f>
        <x:v>0</x:v>
      </x:c>
      <x:c r="G46" s="28" t="n">
        <x:f>IF(A46="","",SUMIFS('VENTAS'!$H$5:$H$254,'VENTAS'!$C$5:$C$254,A46,'VENTAS'!$I$5:$I$254,"Moroso"))</x:f>
        <x:v>0</x:v>
      </x:c>
      <x:c r="H46" s="22" t="n">
        <x:f>IF(A46="","",COUNTIFS('VENTAS'!$C$5:$C$254,A46,'VENTAS'!$I$5:$I$254,"Por conciliar"))</x:f>
        <x:v>0</x:v>
      </x:c>
      <x:c r="I46" s="22" t="str">
        <x:f>IF(A46="","",IF(G46&gt;0,IF(H46&gt;0,"Moroso + revisar","Moroso"),IF(H46&gt;0,"Por conciliar",IF(SUM(C46:F46)&gt;0,"Deuda vigente","Sin saldo"))))</x:f>
        <x:v>Deuda vigente</x:v>
      </x:c>
      <x:c r="J46" s="22" t="str">
        <x:f>IF(A46="","",IF(COUNTIFS($A$5:$A$154,A46)&gt;1,"Nombre duplicado","Correcto"))</x:f>
        <x:v>Correcto</x:v>
      </x:c>
    </x:row>
    <x:row r="47" ht="25" customHeight="1">
      <x:c r="A47" s="26" t="str"/>
      <x:c r="B47" s="22" t="str">
        <x:f>IF(A47="","",COUNTIFS('VENTAS'!$C$5:$C$254,A47))</x:f>
      </x:c>
      <x:c r="C47" s="28" t="str">
        <x:f>IF(A47="","",SUMIFS('VENTAS'!$H$5:$H$254,'VENTAS'!$C$5:$C$254,A47,'VENTAS'!$F$5:$F$254,"BCV"))</x:f>
      </x:c>
      <x:c r="D47" s="28" t="str">
        <x:f>IF(A47="","",SUMIFS('VENTAS'!$H$5:$H$254,'VENTAS'!$C$5:$C$254,A47,'VENTAS'!$F$5:$F$254,"USDT"))</x:f>
      </x:c>
      <x:c r="E47" s="28" t="str">
        <x:f>IF(A47="","",SUMIFS('VENTAS'!$H$5:$H$254,'VENTAS'!$C$5:$C$254,A47,'VENTAS'!$F$5:$F$254,"Divisa"))</x:f>
      </x:c>
      <x:c r="F47" s="28" t="str">
        <x:f>IF(A47="","",SUMIFS('VENTAS'!$H$5:$H$254,'VENTAS'!$C$5:$C$254,A47,'VENTAS'!$F$5:$F$254,"Sin confirmar"))</x:f>
      </x:c>
      <x:c r="G47" s="28" t="str">
        <x:f>IF(A47="","",SUMIFS('VENTAS'!$H$5:$H$254,'VENTAS'!$C$5:$C$254,A47,'VENTAS'!$I$5:$I$254,"Moroso"))</x:f>
      </x:c>
      <x:c r="H47" s="22" t="str">
        <x:f>IF(A47="","",COUNTIFS('VENTAS'!$C$5:$C$254,A47,'VENTAS'!$I$5:$I$254,"Por conciliar"))</x:f>
      </x:c>
      <x:c r="I47" s="22" t="str">
        <x:f>IF(A47="","",IF(G47&gt;0,IF(H47&gt;0,"Moroso + revisar","Moroso"),IF(H47&gt;0,"Por conciliar",IF(SUM(C47:F47)&gt;0,"Deuda vigente","Sin saldo"))))</x:f>
      </x:c>
      <x:c r="J47" s="22" t="str">
        <x:f>IF(A47="","",IF(COUNTIFS($A$5:$A$154,A47)&gt;1,"Nombre duplicado","Correcto"))</x:f>
      </x:c>
    </x:row>
    <x:row r="48" ht="25" customHeight="1">
      <x:c r="A48" s="26" t="str"/>
      <x:c r="B48" s="22" t="str">
        <x:f>IF(A48="","",COUNTIFS('VENTAS'!$C$5:$C$254,A48))</x:f>
      </x:c>
      <x:c r="C48" s="28" t="str">
        <x:f>IF(A48="","",SUMIFS('VENTAS'!$H$5:$H$254,'VENTAS'!$C$5:$C$254,A48,'VENTAS'!$F$5:$F$254,"BCV"))</x:f>
      </x:c>
      <x:c r="D48" s="28" t="str">
        <x:f>IF(A48="","",SUMIFS('VENTAS'!$H$5:$H$254,'VENTAS'!$C$5:$C$254,A48,'VENTAS'!$F$5:$F$254,"USDT"))</x:f>
      </x:c>
      <x:c r="E48" s="28" t="str">
        <x:f>IF(A48="","",SUMIFS('VENTAS'!$H$5:$H$254,'VENTAS'!$C$5:$C$254,A48,'VENTAS'!$F$5:$F$254,"Divisa"))</x:f>
      </x:c>
      <x:c r="F48" s="28" t="str">
        <x:f>IF(A48="","",SUMIFS('VENTAS'!$H$5:$H$254,'VENTAS'!$C$5:$C$254,A48,'VENTAS'!$F$5:$F$254,"Sin confirmar"))</x:f>
      </x:c>
      <x:c r="G48" s="28" t="str">
        <x:f>IF(A48="","",SUMIFS('VENTAS'!$H$5:$H$254,'VENTAS'!$C$5:$C$254,A48,'VENTAS'!$I$5:$I$254,"Moroso"))</x:f>
      </x:c>
      <x:c r="H48" s="22" t="str">
        <x:f>IF(A48="","",COUNTIFS('VENTAS'!$C$5:$C$254,A48,'VENTAS'!$I$5:$I$254,"Por conciliar"))</x:f>
      </x:c>
      <x:c r="I48" s="22" t="str">
        <x:f>IF(A48="","",IF(G48&gt;0,IF(H48&gt;0,"Moroso + revisar","Moroso"),IF(H48&gt;0,"Por conciliar",IF(SUM(C48:F48)&gt;0,"Deuda vigente","Sin saldo"))))</x:f>
      </x:c>
      <x:c r="J48" s="22" t="str">
        <x:f>IF(A48="","",IF(COUNTIFS($A$5:$A$154,A48)&gt;1,"Nombre duplicado","Correcto"))</x:f>
      </x:c>
    </x:row>
    <x:row r="49" ht="25" customHeight="1">
      <x:c r="A49" s="26" t="str"/>
      <x:c r="B49" s="22" t="str">
        <x:f>IF(A49="","",COUNTIFS('VENTAS'!$C$5:$C$254,A49))</x:f>
      </x:c>
      <x:c r="C49" s="28" t="str">
        <x:f>IF(A49="","",SUMIFS('VENTAS'!$H$5:$H$254,'VENTAS'!$C$5:$C$254,A49,'VENTAS'!$F$5:$F$254,"BCV"))</x:f>
      </x:c>
      <x:c r="D49" s="28" t="str">
        <x:f>IF(A49="","",SUMIFS('VENTAS'!$H$5:$H$254,'VENTAS'!$C$5:$C$254,A49,'VENTAS'!$F$5:$F$254,"USDT"))</x:f>
      </x:c>
      <x:c r="E49" s="28" t="str">
        <x:f>IF(A49="","",SUMIFS('VENTAS'!$H$5:$H$254,'VENTAS'!$C$5:$C$254,A49,'VENTAS'!$F$5:$F$254,"Divisa"))</x:f>
      </x:c>
      <x:c r="F49" s="28" t="str">
        <x:f>IF(A49="","",SUMIFS('VENTAS'!$H$5:$H$254,'VENTAS'!$C$5:$C$254,A49,'VENTAS'!$F$5:$F$254,"Sin confirmar"))</x:f>
      </x:c>
      <x:c r="G49" s="28" t="str">
        <x:f>IF(A49="","",SUMIFS('VENTAS'!$H$5:$H$254,'VENTAS'!$C$5:$C$254,A49,'VENTAS'!$I$5:$I$254,"Moroso"))</x:f>
      </x:c>
      <x:c r="H49" s="22" t="str">
        <x:f>IF(A49="","",COUNTIFS('VENTAS'!$C$5:$C$254,A49,'VENTAS'!$I$5:$I$254,"Por conciliar"))</x:f>
      </x:c>
      <x:c r="I49" s="22" t="str">
        <x:f>IF(A49="","",IF(G49&gt;0,IF(H49&gt;0,"Moroso + revisar","Moroso"),IF(H49&gt;0,"Por conciliar",IF(SUM(C49:F49)&gt;0,"Deuda vigente","Sin saldo"))))</x:f>
      </x:c>
      <x:c r="J49" s="22" t="str">
        <x:f>IF(A49="","",IF(COUNTIFS($A$5:$A$154,A49)&gt;1,"Nombre duplicado","Correcto"))</x:f>
      </x:c>
    </x:row>
    <x:row r="50" ht="25" customHeight="1">
      <x:c r="A50" s="26" t="str"/>
      <x:c r="B50" s="22" t="str">
        <x:f>IF(A50="","",COUNTIFS('VENTAS'!$C$5:$C$254,A50))</x:f>
      </x:c>
      <x:c r="C50" s="28" t="str">
        <x:f>IF(A50="","",SUMIFS('VENTAS'!$H$5:$H$254,'VENTAS'!$C$5:$C$254,A50,'VENTAS'!$F$5:$F$254,"BCV"))</x:f>
      </x:c>
      <x:c r="D50" s="28" t="str">
        <x:f>IF(A50="","",SUMIFS('VENTAS'!$H$5:$H$254,'VENTAS'!$C$5:$C$254,A50,'VENTAS'!$F$5:$F$254,"USDT"))</x:f>
      </x:c>
      <x:c r="E50" s="28" t="str">
        <x:f>IF(A50="","",SUMIFS('VENTAS'!$H$5:$H$254,'VENTAS'!$C$5:$C$254,A50,'VENTAS'!$F$5:$F$254,"Divisa"))</x:f>
      </x:c>
      <x:c r="F50" s="28" t="str">
        <x:f>IF(A50="","",SUMIFS('VENTAS'!$H$5:$H$254,'VENTAS'!$C$5:$C$254,A50,'VENTAS'!$F$5:$F$254,"Sin confirmar"))</x:f>
      </x:c>
      <x:c r="G50" s="28" t="str">
        <x:f>IF(A50="","",SUMIFS('VENTAS'!$H$5:$H$254,'VENTAS'!$C$5:$C$254,A50,'VENTAS'!$I$5:$I$254,"Moroso"))</x:f>
      </x:c>
      <x:c r="H50" s="22" t="str">
        <x:f>IF(A50="","",COUNTIFS('VENTAS'!$C$5:$C$254,A50,'VENTAS'!$I$5:$I$254,"Por conciliar"))</x:f>
      </x:c>
      <x:c r="I50" s="22" t="str">
        <x:f>IF(A50="","",IF(G50&gt;0,IF(H50&gt;0,"Moroso + revisar","Moroso"),IF(H50&gt;0,"Por conciliar",IF(SUM(C50:F50)&gt;0,"Deuda vigente","Sin saldo"))))</x:f>
      </x:c>
      <x:c r="J50" s="22" t="str">
        <x:f>IF(A50="","",IF(COUNTIFS($A$5:$A$154,A50)&gt;1,"Nombre duplicado","Correcto"))</x:f>
      </x:c>
    </x:row>
    <x:row r="51" ht="25" customHeight="1">
      <x:c r="A51" s="26" t="str"/>
      <x:c r="B51" s="22" t="str">
        <x:f>IF(A51="","",COUNTIFS('VENTAS'!$C$5:$C$254,A51))</x:f>
      </x:c>
      <x:c r="C51" s="28" t="str">
        <x:f>IF(A51="","",SUMIFS('VENTAS'!$H$5:$H$254,'VENTAS'!$C$5:$C$254,A51,'VENTAS'!$F$5:$F$254,"BCV"))</x:f>
      </x:c>
      <x:c r="D51" s="28" t="str">
        <x:f>IF(A51="","",SUMIFS('VENTAS'!$H$5:$H$254,'VENTAS'!$C$5:$C$254,A51,'VENTAS'!$F$5:$F$254,"USDT"))</x:f>
      </x:c>
      <x:c r="E51" s="28" t="str">
        <x:f>IF(A51="","",SUMIFS('VENTAS'!$H$5:$H$254,'VENTAS'!$C$5:$C$254,A51,'VENTAS'!$F$5:$F$254,"Divisa"))</x:f>
      </x:c>
      <x:c r="F51" s="28" t="str">
        <x:f>IF(A51="","",SUMIFS('VENTAS'!$H$5:$H$254,'VENTAS'!$C$5:$C$254,A51,'VENTAS'!$F$5:$F$254,"Sin confirmar"))</x:f>
      </x:c>
      <x:c r="G51" s="28" t="str">
        <x:f>IF(A51="","",SUMIFS('VENTAS'!$H$5:$H$254,'VENTAS'!$C$5:$C$254,A51,'VENTAS'!$I$5:$I$254,"Moroso"))</x:f>
      </x:c>
      <x:c r="H51" s="22" t="str">
        <x:f>IF(A51="","",COUNTIFS('VENTAS'!$C$5:$C$254,A51,'VENTAS'!$I$5:$I$254,"Por conciliar"))</x:f>
      </x:c>
      <x:c r="I51" s="22" t="str">
        <x:f>IF(A51="","",IF(G51&gt;0,IF(H51&gt;0,"Moroso + revisar","Moroso"),IF(H51&gt;0,"Por conciliar",IF(SUM(C51:F51)&gt;0,"Deuda vigente","Sin saldo"))))</x:f>
      </x:c>
      <x:c r="J51" s="22" t="str">
        <x:f>IF(A51="","",IF(COUNTIFS($A$5:$A$154,A51)&gt;1,"Nombre duplicado","Correcto"))</x:f>
      </x:c>
    </x:row>
    <x:row r="52" ht="25" customHeight="1">
      <x:c r="A52" s="26" t="str"/>
      <x:c r="B52" s="22" t="str">
        <x:f>IF(A52="","",COUNTIFS('VENTAS'!$C$5:$C$254,A52))</x:f>
      </x:c>
      <x:c r="C52" s="28" t="str">
        <x:f>IF(A52="","",SUMIFS('VENTAS'!$H$5:$H$254,'VENTAS'!$C$5:$C$254,A52,'VENTAS'!$F$5:$F$254,"BCV"))</x:f>
      </x:c>
      <x:c r="D52" s="28" t="str">
        <x:f>IF(A52="","",SUMIFS('VENTAS'!$H$5:$H$254,'VENTAS'!$C$5:$C$254,A52,'VENTAS'!$F$5:$F$254,"USDT"))</x:f>
      </x:c>
      <x:c r="E52" s="28" t="str">
        <x:f>IF(A52="","",SUMIFS('VENTAS'!$H$5:$H$254,'VENTAS'!$C$5:$C$254,A52,'VENTAS'!$F$5:$F$254,"Divisa"))</x:f>
      </x:c>
      <x:c r="F52" s="28" t="str">
        <x:f>IF(A52="","",SUMIFS('VENTAS'!$H$5:$H$254,'VENTAS'!$C$5:$C$254,A52,'VENTAS'!$F$5:$F$254,"Sin confirmar"))</x:f>
      </x:c>
      <x:c r="G52" s="28" t="str">
        <x:f>IF(A52="","",SUMIFS('VENTAS'!$H$5:$H$254,'VENTAS'!$C$5:$C$254,A52,'VENTAS'!$I$5:$I$254,"Moroso"))</x:f>
      </x:c>
      <x:c r="H52" s="22" t="str">
        <x:f>IF(A52="","",COUNTIFS('VENTAS'!$C$5:$C$254,A52,'VENTAS'!$I$5:$I$254,"Por conciliar"))</x:f>
      </x:c>
      <x:c r="I52" s="22" t="str">
        <x:f>IF(A52="","",IF(G52&gt;0,IF(H52&gt;0,"Moroso + revisar","Moroso"),IF(H52&gt;0,"Por conciliar",IF(SUM(C52:F52)&gt;0,"Deuda vigente","Sin saldo"))))</x:f>
      </x:c>
      <x:c r="J52" s="22" t="str">
        <x:f>IF(A52="","",IF(COUNTIFS($A$5:$A$154,A52)&gt;1,"Nombre duplicado","Correcto"))</x:f>
      </x:c>
    </x:row>
    <x:row r="53" ht="25" customHeight="1">
      <x:c r="A53" s="26" t="str"/>
      <x:c r="B53" s="22" t="str">
        <x:f>IF(A53="","",COUNTIFS('VENTAS'!$C$5:$C$254,A53))</x:f>
      </x:c>
      <x:c r="C53" s="28" t="str">
        <x:f>IF(A53="","",SUMIFS('VENTAS'!$H$5:$H$254,'VENTAS'!$C$5:$C$254,A53,'VENTAS'!$F$5:$F$254,"BCV"))</x:f>
      </x:c>
      <x:c r="D53" s="28" t="str">
        <x:f>IF(A53="","",SUMIFS('VENTAS'!$H$5:$H$254,'VENTAS'!$C$5:$C$254,A53,'VENTAS'!$F$5:$F$254,"USDT"))</x:f>
      </x:c>
      <x:c r="E53" s="28" t="str">
        <x:f>IF(A53="","",SUMIFS('VENTAS'!$H$5:$H$254,'VENTAS'!$C$5:$C$254,A53,'VENTAS'!$F$5:$F$254,"Divisa"))</x:f>
      </x:c>
      <x:c r="F53" s="28" t="str">
        <x:f>IF(A53="","",SUMIFS('VENTAS'!$H$5:$H$254,'VENTAS'!$C$5:$C$254,A53,'VENTAS'!$F$5:$F$254,"Sin confirmar"))</x:f>
      </x:c>
      <x:c r="G53" s="28" t="str">
        <x:f>IF(A53="","",SUMIFS('VENTAS'!$H$5:$H$254,'VENTAS'!$C$5:$C$254,A53,'VENTAS'!$I$5:$I$254,"Moroso"))</x:f>
      </x:c>
      <x:c r="H53" s="22" t="str">
        <x:f>IF(A53="","",COUNTIFS('VENTAS'!$C$5:$C$254,A53,'VENTAS'!$I$5:$I$254,"Por conciliar"))</x:f>
      </x:c>
      <x:c r="I53" s="22" t="str">
        <x:f>IF(A53="","",IF(G53&gt;0,IF(H53&gt;0,"Moroso + revisar","Moroso"),IF(H53&gt;0,"Por conciliar",IF(SUM(C53:F53)&gt;0,"Deuda vigente","Sin saldo"))))</x:f>
      </x:c>
      <x:c r="J53" s="22" t="str">
        <x:f>IF(A53="","",IF(COUNTIFS($A$5:$A$154,A53)&gt;1,"Nombre duplicado","Correcto"))</x:f>
      </x:c>
    </x:row>
    <x:row r="54" ht="25" customHeight="1">
      <x:c r="A54" s="26" t="str"/>
      <x:c r="B54" s="22" t="str">
        <x:f>IF(A54="","",COUNTIFS('VENTAS'!$C$5:$C$254,A54))</x:f>
      </x:c>
      <x:c r="C54" s="28" t="str">
        <x:f>IF(A54="","",SUMIFS('VENTAS'!$H$5:$H$254,'VENTAS'!$C$5:$C$254,A54,'VENTAS'!$F$5:$F$254,"BCV"))</x:f>
      </x:c>
      <x:c r="D54" s="28" t="str">
        <x:f>IF(A54="","",SUMIFS('VENTAS'!$H$5:$H$254,'VENTAS'!$C$5:$C$254,A54,'VENTAS'!$F$5:$F$254,"USDT"))</x:f>
      </x:c>
      <x:c r="E54" s="28" t="str">
        <x:f>IF(A54="","",SUMIFS('VENTAS'!$H$5:$H$254,'VENTAS'!$C$5:$C$254,A54,'VENTAS'!$F$5:$F$254,"Divisa"))</x:f>
      </x:c>
      <x:c r="F54" s="28" t="str">
        <x:f>IF(A54="","",SUMIFS('VENTAS'!$H$5:$H$254,'VENTAS'!$C$5:$C$254,A54,'VENTAS'!$F$5:$F$254,"Sin confirmar"))</x:f>
      </x:c>
      <x:c r="G54" s="28" t="str">
        <x:f>IF(A54="","",SUMIFS('VENTAS'!$H$5:$H$254,'VENTAS'!$C$5:$C$254,A54,'VENTAS'!$I$5:$I$254,"Moroso"))</x:f>
      </x:c>
      <x:c r="H54" s="22" t="str">
        <x:f>IF(A54="","",COUNTIFS('VENTAS'!$C$5:$C$254,A54,'VENTAS'!$I$5:$I$254,"Por conciliar"))</x:f>
      </x:c>
      <x:c r="I54" s="22" t="str">
        <x:f>IF(A54="","",IF(G54&gt;0,IF(H54&gt;0,"Moroso + revisar","Moroso"),IF(H54&gt;0,"Por conciliar",IF(SUM(C54:F54)&gt;0,"Deuda vigente","Sin saldo"))))</x:f>
      </x:c>
      <x:c r="J54" s="22" t="str">
        <x:f>IF(A54="","",IF(COUNTIFS($A$5:$A$154,A54)&gt;1,"Nombre duplicado","Correcto"))</x:f>
      </x:c>
    </x:row>
    <x:row r="55" ht="25" customHeight="1">
      <x:c r="A55" s="26" t="str"/>
      <x:c r="B55" s="22" t="str">
        <x:f>IF(A55="","",COUNTIFS('VENTAS'!$C$5:$C$254,A55))</x:f>
      </x:c>
      <x:c r="C55" s="28" t="str">
        <x:f>IF(A55="","",SUMIFS('VENTAS'!$H$5:$H$254,'VENTAS'!$C$5:$C$254,A55,'VENTAS'!$F$5:$F$254,"BCV"))</x:f>
      </x:c>
      <x:c r="D55" s="28" t="str">
        <x:f>IF(A55="","",SUMIFS('VENTAS'!$H$5:$H$254,'VENTAS'!$C$5:$C$254,A55,'VENTAS'!$F$5:$F$254,"USDT"))</x:f>
      </x:c>
      <x:c r="E55" s="28" t="str">
        <x:f>IF(A55="","",SUMIFS('VENTAS'!$H$5:$H$254,'VENTAS'!$C$5:$C$254,A55,'VENTAS'!$F$5:$F$254,"Divisa"))</x:f>
      </x:c>
      <x:c r="F55" s="28" t="str">
        <x:f>IF(A55="","",SUMIFS('VENTAS'!$H$5:$H$254,'VENTAS'!$C$5:$C$254,A55,'VENTAS'!$F$5:$F$254,"Sin confirmar"))</x:f>
      </x:c>
      <x:c r="G55" s="28" t="str">
        <x:f>IF(A55="","",SUMIFS('VENTAS'!$H$5:$H$254,'VENTAS'!$C$5:$C$254,A55,'VENTAS'!$I$5:$I$254,"Moroso"))</x:f>
      </x:c>
      <x:c r="H55" s="22" t="str">
        <x:f>IF(A55="","",COUNTIFS('VENTAS'!$C$5:$C$254,A55,'VENTAS'!$I$5:$I$254,"Por conciliar"))</x:f>
      </x:c>
      <x:c r="I55" s="22" t="str">
        <x:f>IF(A55="","",IF(G55&gt;0,IF(H55&gt;0,"Moroso + revisar","Moroso"),IF(H55&gt;0,"Por conciliar",IF(SUM(C55:F55)&gt;0,"Deuda vigente","Sin saldo"))))</x:f>
      </x:c>
      <x:c r="J55" s="22" t="str">
        <x:f>IF(A55="","",IF(COUNTIFS($A$5:$A$154,A55)&gt;1,"Nombre duplicado","Correcto"))</x:f>
      </x:c>
    </x:row>
    <x:row r="56" ht="25" customHeight="1">
      <x:c r="A56" s="26" t="str"/>
      <x:c r="B56" s="22" t="str">
        <x:f>IF(A56="","",COUNTIFS('VENTAS'!$C$5:$C$254,A56))</x:f>
      </x:c>
      <x:c r="C56" s="28" t="str">
        <x:f>IF(A56="","",SUMIFS('VENTAS'!$H$5:$H$254,'VENTAS'!$C$5:$C$254,A56,'VENTAS'!$F$5:$F$254,"BCV"))</x:f>
      </x:c>
      <x:c r="D56" s="28" t="str">
        <x:f>IF(A56="","",SUMIFS('VENTAS'!$H$5:$H$254,'VENTAS'!$C$5:$C$254,A56,'VENTAS'!$F$5:$F$254,"USDT"))</x:f>
      </x:c>
      <x:c r="E56" s="28" t="str">
        <x:f>IF(A56="","",SUMIFS('VENTAS'!$H$5:$H$254,'VENTAS'!$C$5:$C$254,A56,'VENTAS'!$F$5:$F$254,"Divisa"))</x:f>
      </x:c>
      <x:c r="F56" s="28" t="str">
        <x:f>IF(A56="","",SUMIFS('VENTAS'!$H$5:$H$254,'VENTAS'!$C$5:$C$254,A56,'VENTAS'!$F$5:$F$254,"Sin confirmar"))</x:f>
      </x:c>
      <x:c r="G56" s="28" t="str">
        <x:f>IF(A56="","",SUMIFS('VENTAS'!$H$5:$H$254,'VENTAS'!$C$5:$C$254,A56,'VENTAS'!$I$5:$I$254,"Moroso"))</x:f>
      </x:c>
      <x:c r="H56" s="22" t="str">
        <x:f>IF(A56="","",COUNTIFS('VENTAS'!$C$5:$C$254,A56,'VENTAS'!$I$5:$I$254,"Por conciliar"))</x:f>
      </x:c>
      <x:c r="I56" s="22" t="str">
        <x:f>IF(A56="","",IF(G56&gt;0,IF(H56&gt;0,"Moroso + revisar","Moroso"),IF(H56&gt;0,"Por conciliar",IF(SUM(C56:F56)&gt;0,"Deuda vigente","Sin saldo"))))</x:f>
      </x:c>
      <x:c r="J56" s="22" t="str">
        <x:f>IF(A56="","",IF(COUNTIFS($A$5:$A$154,A56)&gt;1,"Nombre duplicado","Correcto"))</x:f>
      </x:c>
    </x:row>
    <x:row r="57" ht="25" customHeight="1">
      <x:c r="A57" s="26" t="str"/>
      <x:c r="B57" s="22" t="str">
        <x:f>IF(A57="","",COUNTIFS('VENTAS'!$C$5:$C$254,A57))</x:f>
      </x:c>
      <x:c r="C57" s="28" t="str">
        <x:f>IF(A57="","",SUMIFS('VENTAS'!$H$5:$H$254,'VENTAS'!$C$5:$C$254,A57,'VENTAS'!$F$5:$F$254,"BCV"))</x:f>
      </x:c>
      <x:c r="D57" s="28" t="str">
        <x:f>IF(A57="","",SUMIFS('VENTAS'!$H$5:$H$254,'VENTAS'!$C$5:$C$254,A57,'VENTAS'!$F$5:$F$254,"USDT"))</x:f>
      </x:c>
      <x:c r="E57" s="28" t="str">
        <x:f>IF(A57="","",SUMIFS('VENTAS'!$H$5:$H$254,'VENTAS'!$C$5:$C$254,A57,'VENTAS'!$F$5:$F$254,"Divisa"))</x:f>
      </x:c>
      <x:c r="F57" s="28" t="str">
        <x:f>IF(A57="","",SUMIFS('VENTAS'!$H$5:$H$254,'VENTAS'!$C$5:$C$254,A57,'VENTAS'!$F$5:$F$254,"Sin confirmar"))</x:f>
      </x:c>
      <x:c r="G57" s="28" t="str">
        <x:f>IF(A57="","",SUMIFS('VENTAS'!$H$5:$H$254,'VENTAS'!$C$5:$C$254,A57,'VENTAS'!$I$5:$I$254,"Moroso"))</x:f>
      </x:c>
      <x:c r="H57" s="22" t="str">
        <x:f>IF(A57="","",COUNTIFS('VENTAS'!$C$5:$C$254,A57,'VENTAS'!$I$5:$I$254,"Por conciliar"))</x:f>
      </x:c>
      <x:c r="I57" s="22" t="str">
        <x:f>IF(A57="","",IF(G57&gt;0,IF(H57&gt;0,"Moroso + revisar","Moroso"),IF(H57&gt;0,"Por conciliar",IF(SUM(C57:F57)&gt;0,"Deuda vigente","Sin saldo"))))</x:f>
      </x:c>
      <x:c r="J57" s="22" t="str">
        <x:f>IF(A57="","",IF(COUNTIFS($A$5:$A$154,A57)&gt;1,"Nombre duplicado","Correcto"))</x:f>
      </x:c>
    </x:row>
    <x:row r="58" ht="25" customHeight="1">
      <x:c r="A58" s="26" t="str"/>
      <x:c r="B58" s="22" t="str">
        <x:f>IF(A58="","",COUNTIFS('VENTAS'!$C$5:$C$254,A58))</x:f>
      </x:c>
      <x:c r="C58" s="28" t="str">
        <x:f>IF(A58="","",SUMIFS('VENTAS'!$H$5:$H$254,'VENTAS'!$C$5:$C$254,A58,'VENTAS'!$F$5:$F$254,"BCV"))</x:f>
      </x:c>
      <x:c r="D58" s="28" t="str">
        <x:f>IF(A58="","",SUMIFS('VENTAS'!$H$5:$H$254,'VENTAS'!$C$5:$C$254,A58,'VENTAS'!$F$5:$F$254,"USDT"))</x:f>
      </x:c>
      <x:c r="E58" s="28" t="str">
        <x:f>IF(A58="","",SUMIFS('VENTAS'!$H$5:$H$254,'VENTAS'!$C$5:$C$254,A58,'VENTAS'!$F$5:$F$254,"Divisa"))</x:f>
      </x:c>
      <x:c r="F58" s="28" t="str">
        <x:f>IF(A58="","",SUMIFS('VENTAS'!$H$5:$H$254,'VENTAS'!$C$5:$C$254,A58,'VENTAS'!$F$5:$F$254,"Sin confirmar"))</x:f>
      </x:c>
      <x:c r="G58" s="28" t="str">
        <x:f>IF(A58="","",SUMIFS('VENTAS'!$H$5:$H$254,'VENTAS'!$C$5:$C$254,A58,'VENTAS'!$I$5:$I$254,"Moroso"))</x:f>
      </x:c>
      <x:c r="H58" s="22" t="str">
        <x:f>IF(A58="","",COUNTIFS('VENTAS'!$C$5:$C$254,A58,'VENTAS'!$I$5:$I$254,"Por conciliar"))</x:f>
      </x:c>
      <x:c r="I58" s="22" t="str">
        <x:f>IF(A58="","",IF(G58&gt;0,IF(H58&gt;0,"Moroso + revisar","Moroso"),IF(H58&gt;0,"Por conciliar",IF(SUM(C58:F58)&gt;0,"Deuda vigente","Sin saldo"))))</x:f>
      </x:c>
      <x:c r="J58" s="22" t="str">
        <x:f>IF(A58="","",IF(COUNTIFS($A$5:$A$154,A58)&gt;1,"Nombre duplicado","Correcto"))</x:f>
      </x:c>
    </x:row>
    <x:row r="59" ht="25" customHeight="1">
      <x:c r="A59" s="26" t="str"/>
      <x:c r="B59" s="22" t="str">
        <x:f>IF(A59="","",COUNTIFS('VENTAS'!$C$5:$C$254,A59))</x:f>
      </x:c>
      <x:c r="C59" s="28" t="str">
        <x:f>IF(A59="","",SUMIFS('VENTAS'!$H$5:$H$254,'VENTAS'!$C$5:$C$254,A59,'VENTAS'!$F$5:$F$254,"BCV"))</x:f>
      </x:c>
      <x:c r="D59" s="28" t="str">
        <x:f>IF(A59="","",SUMIFS('VENTAS'!$H$5:$H$254,'VENTAS'!$C$5:$C$254,A59,'VENTAS'!$F$5:$F$254,"USDT"))</x:f>
      </x:c>
      <x:c r="E59" s="28" t="str">
        <x:f>IF(A59="","",SUMIFS('VENTAS'!$H$5:$H$254,'VENTAS'!$C$5:$C$254,A59,'VENTAS'!$F$5:$F$254,"Divisa"))</x:f>
      </x:c>
      <x:c r="F59" s="28" t="str">
        <x:f>IF(A59="","",SUMIFS('VENTAS'!$H$5:$H$254,'VENTAS'!$C$5:$C$254,A59,'VENTAS'!$F$5:$F$254,"Sin confirmar"))</x:f>
      </x:c>
      <x:c r="G59" s="28" t="str">
        <x:f>IF(A59="","",SUMIFS('VENTAS'!$H$5:$H$254,'VENTAS'!$C$5:$C$254,A59,'VENTAS'!$I$5:$I$254,"Moroso"))</x:f>
      </x:c>
      <x:c r="H59" s="22" t="str">
        <x:f>IF(A59="","",COUNTIFS('VENTAS'!$C$5:$C$254,A59,'VENTAS'!$I$5:$I$254,"Por conciliar"))</x:f>
      </x:c>
      <x:c r="I59" s="22" t="str">
        <x:f>IF(A59="","",IF(G59&gt;0,IF(H59&gt;0,"Moroso + revisar","Moroso"),IF(H59&gt;0,"Por conciliar",IF(SUM(C59:F59)&gt;0,"Deuda vigente","Sin saldo"))))</x:f>
      </x:c>
      <x:c r="J59" s="22" t="str">
        <x:f>IF(A59="","",IF(COUNTIFS($A$5:$A$154,A59)&gt;1,"Nombre duplicado","Correcto"))</x:f>
      </x:c>
    </x:row>
    <x:row r="60" ht="25" customHeight="1">
      <x:c r="A60" s="26" t="str"/>
      <x:c r="B60" s="22" t="str">
        <x:f>IF(A60="","",COUNTIFS('VENTAS'!$C$5:$C$254,A60))</x:f>
      </x:c>
      <x:c r="C60" s="28" t="str">
        <x:f>IF(A60="","",SUMIFS('VENTAS'!$H$5:$H$254,'VENTAS'!$C$5:$C$254,A60,'VENTAS'!$F$5:$F$254,"BCV"))</x:f>
      </x:c>
      <x:c r="D60" s="28" t="str">
        <x:f>IF(A60="","",SUMIFS('VENTAS'!$H$5:$H$254,'VENTAS'!$C$5:$C$254,A60,'VENTAS'!$F$5:$F$254,"USDT"))</x:f>
      </x:c>
      <x:c r="E60" s="28" t="str">
        <x:f>IF(A60="","",SUMIFS('VENTAS'!$H$5:$H$254,'VENTAS'!$C$5:$C$254,A60,'VENTAS'!$F$5:$F$254,"Divisa"))</x:f>
      </x:c>
      <x:c r="F60" s="28" t="str">
        <x:f>IF(A60="","",SUMIFS('VENTAS'!$H$5:$H$254,'VENTAS'!$C$5:$C$254,A60,'VENTAS'!$F$5:$F$254,"Sin confirmar"))</x:f>
      </x:c>
      <x:c r="G60" s="28" t="str">
        <x:f>IF(A60="","",SUMIFS('VENTAS'!$H$5:$H$254,'VENTAS'!$C$5:$C$254,A60,'VENTAS'!$I$5:$I$254,"Moroso"))</x:f>
      </x:c>
      <x:c r="H60" s="22" t="str">
        <x:f>IF(A60="","",COUNTIFS('VENTAS'!$C$5:$C$254,A60,'VENTAS'!$I$5:$I$254,"Por conciliar"))</x:f>
      </x:c>
      <x:c r="I60" s="22" t="str">
        <x:f>IF(A60="","",IF(G60&gt;0,IF(H60&gt;0,"Moroso + revisar","Moroso"),IF(H60&gt;0,"Por conciliar",IF(SUM(C60:F60)&gt;0,"Deuda vigente","Sin saldo"))))</x:f>
      </x:c>
      <x:c r="J60" s="22" t="str">
        <x:f>IF(A60="","",IF(COUNTIFS($A$5:$A$154,A60)&gt;1,"Nombre duplicado","Correcto"))</x:f>
      </x:c>
    </x:row>
    <x:row r="61" ht="25" customHeight="1">
      <x:c r="A61" s="26" t="str"/>
      <x:c r="B61" s="22" t="str">
        <x:f>IF(A61="","",COUNTIFS('VENTAS'!$C$5:$C$254,A61))</x:f>
      </x:c>
      <x:c r="C61" s="28" t="str">
        <x:f>IF(A61="","",SUMIFS('VENTAS'!$H$5:$H$254,'VENTAS'!$C$5:$C$254,A61,'VENTAS'!$F$5:$F$254,"BCV"))</x:f>
      </x:c>
      <x:c r="D61" s="28" t="str">
        <x:f>IF(A61="","",SUMIFS('VENTAS'!$H$5:$H$254,'VENTAS'!$C$5:$C$254,A61,'VENTAS'!$F$5:$F$254,"USDT"))</x:f>
      </x:c>
      <x:c r="E61" s="28" t="str">
        <x:f>IF(A61="","",SUMIFS('VENTAS'!$H$5:$H$254,'VENTAS'!$C$5:$C$254,A61,'VENTAS'!$F$5:$F$254,"Divisa"))</x:f>
      </x:c>
      <x:c r="F61" s="28" t="str">
        <x:f>IF(A61="","",SUMIFS('VENTAS'!$H$5:$H$254,'VENTAS'!$C$5:$C$254,A61,'VENTAS'!$F$5:$F$254,"Sin confirmar"))</x:f>
      </x:c>
      <x:c r="G61" s="28" t="str">
        <x:f>IF(A61="","",SUMIFS('VENTAS'!$H$5:$H$254,'VENTAS'!$C$5:$C$254,A61,'VENTAS'!$I$5:$I$254,"Moroso"))</x:f>
      </x:c>
      <x:c r="H61" s="22" t="str">
        <x:f>IF(A61="","",COUNTIFS('VENTAS'!$C$5:$C$254,A61,'VENTAS'!$I$5:$I$254,"Por conciliar"))</x:f>
      </x:c>
      <x:c r="I61" s="22" t="str">
        <x:f>IF(A61="","",IF(G61&gt;0,IF(H61&gt;0,"Moroso + revisar","Moroso"),IF(H61&gt;0,"Por conciliar",IF(SUM(C61:F61)&gt;0,"Deuda vigente","Sin saldo"))))</x:f>
      </x:c>
      <x:c r="J61" s="22" t="str">
        <x:f>IF(A61="","",IF(COUNTIFS($A$5:$A$154,A61)&gt;1,"Nombre duplicado","Correcto"))</x:f>
      </x:c>
    </x:row>
    <x:row r="62" ht="25" customHeight="1">
      <x:c r="A62" s="26" t="str"/>
      <x:c r="B62" s="22" t="str">
        <x:f>IF(A62="","",COUNTIFS('VENTAS'!$C$5:$C$254,A62))</x:f>
      </x:c>
      <x:c r="C62" s="28" t="str">
        <x:f>IF(A62="","",SUMIFS('VENTAS'!$H$5:$H$254,'VENTAS'!$C$5:$C$254,A62,'VENTAS'!$F$5:$F$254,"BCV"))</x:f>
      </x:c>
      <x:c r="D62" s="28" t="str">
        <x:f>IF(A62="","",SUMIFS('VENTAS'!$H$5:$H$254,'VENTAS'!$C$5:$C$254,A62,'VENTAS'!$F$5:$F$254,"USDT"))</x:f>
      </x:c>
      <x:c r="E62" s="28" t="str">
        <x:f>IF(A62="","",SUMIFS('VENTAS'!$H$5:$H$254,'VENTAS'!$C$5:$C$254,A62,'VENTAS'!$F$5:$F$254,"Divisa"))</x:f>
      </x:c>
      <x:c r="F62" s="28" t="str">
        <x:f>IF(A62="","",SUMIFS('VENTAS'!$H$5:$H$254,'VENTAS'!$C$5:$C$254,A62,'VENTAS'!$F$5:$F$254,"Sin confirmar"))</x:f>
      </x:c>
      <x:c r="G62" s="28" t="str">
        <x:f>IF(A62="","",SUMIFS('VENTAS'!$H$5:$H$254,'VENTAS'!$C$5:$C$254,A62,'VENTAS'!$I$5:$I$254,"Moroso"))</x:f>
      </x:c>
      <x:c r="H62" s="22" t="str">
        <x:f>IF(A62="","",COUNTIFS('VENTAS'!$C$5:$C$254,A62,'VENTAS'!$I$5:$I$254,"Por conciliar"))</x:f>
      </x:c>
      <x:c r="I62" s="22" t="str">
        <x:f>IF(A62="","",IF(G62&gt;0,IF(H62&gt;0,"Moroso + revisar","Moroso"),IF(H62&gt;0,"Por conciliar",IF(SUM(C62:F62)&gt;0,"Deuda vigente","Sin saldo"))))</x:f>
      </x:c>
      <x:c r="J62" s="22" t="str">
        <x:f>IF(A62="","",IF(COUNTIFS($A$5:$A$154,A62)&gt;1,"Nombre duplicado","Correcto"))</x:f>
      </x:c>
    </x:row>
    <x:row r="63" ht="25" customHeight="1">
      <x:c r="A63" s="26" t="str"/>
      <x:c r="B63" s="22" t="str">
        <x:f>IF(A63="","",COUNTIFS('VENTAS'!$C$5:$C$254,A63))</x:f>
      </x:c>
      <x:c r="C63" s="28" t="str">
        <x:f>IF(A63="","",SUMIFS('VENTAS'!$H$5:$H$254,'VENTAS'!$C$5:$C$254,A63,'VENTAS'!$F$5:$F$254,"BCV"))</x:f>
      </x:c>
      <x:c r="D63" s="28" t="str">
        <x:f>IF(A63="","",SUMIFS('VENTAS'!$H$5:$H$254,'VENTAS'!$C$5:$C$254,A63,'VENTAS'!$F$5:$F$254,"USDT"))</x:f>
      </x:c>
      <x:c r="E63" s="28" t="str">
        <x:f>IF(A63="","",SUMIFS('VENTAS'!$H$5:$H$254,'VENTAS'!$C$5:$C$254,A63,'VENTAS'!$F$5:$F$254,"Divisa"))</x:f>
      </x:c>
      <x:c r="F63" s="28" t="str">
        <x:f>IF(A63="","",SUMIFS('VENTAS'!$H$5:$H$254,'VENTAS'!$C$5:$C$254,A63,'VENTAS'!$F$5:$F$254,"Sin confirmar"))</x:f>
      </x:c>
      <x:c r="G63" s="28" t="str">
        <x:f>IF(A63="","",SUMIFS('VENTAS'!$H$5:$H$254,'VENTAS'!$C$5:$C$254,A63,'VENTAS'!$I$5:$I$254,"Moroso"))</x:f>
      </x:c>
      <x:c r="H63" s="22" t="str">
        <x:f>IF(A63="","",COUNTIFS('VENTAS'!$C$5:$C$254,A63,'VENTAS'!$I$5:$I$254,"Por conciliar"))</x:f>
      </x:c>
      <x:c r="I63" s="22" t="str">
        <x:f>IF(A63="","",IF(G63&gt;0,IF(H63&gt;0,"Moroso + revisar","Moroso"),IF(H63&gt;0,"Por conciliar",IF(SUM(C63:F63)&gt;0,"Deuda vigente","Sin saldo"))))</x:f>
      </x:c>
      <x:c r="J63" s="22" t="str">
        <x:f>IF(A63="","",IF(COUNTIFS($A$5:$A$154,A63)&gt;1,"Nombre duplicado","Correcto"))</x:f>
      </x:c>
    </x:row>
    <x:row r="64" ht="25" customHeight="1">
      <x:c r="A64" s="26" t="str"/>
      <x:c r="B64" s="22" t="str">
        <x:f>IF(A64="","",COUNTIFS('VENTAS'!$C$5:$C$254,A64))</x:f>
      </x:c>
      <x:c r="C64" s="28" t="str">
        <x:f>IF(A64="","",SUMIFS('VENTAS'!$H$5:$H$254,'VENTAS'!$C$5:$C$254,A64,'VENTAS'!$F$5:$F$254,"BCV"))</x:f>
      </x:c>
      <x:c r="D64" s="28" t="str">
        <x:f>IF(A64="","",SUMIFS('VENTAS'!$H$5:$H$254,'VENTAS'!$C$5:$C$254,A64,'VENTAS'!$F$5:$F$254,"USDT"))</x:f>
      </x:c>
      <x:c r="E64" s="28" t="str">
        <x:f>IF(A64="","",SUMIFS('VENTAS'!$H$5:$H$254,'VENTAS'!$C$5:$C$254,A64,'VENTAS'!$F$5:$F$254,"Divisa"))</x:f>
      </x:c>
      <x:c r="F64" s="28" t="str">
        <x:f>IF(A64="","",SUMIFS('VENTAS'!$H$5:$H$254,'VENTAS'!$C$5:$C$254,A64,'VENTAS'!$F$5:$F$254,"Sin confirmar"))</x:f>
      </x:c>
      <x:c r="G64" s="28" t="str">
        <x:f>IF(A64="","",SUMIFS('VENTAS'!$H$5:$H$254,'VENTAS'!$C$5:$C$254,A64,'VENTAS'!$I$5:$I$254,"Moroso"))</x:f>
      </x:c>
      <x:c r="H64" s="22" t="str">
        <x:f>IF(A64="","",COUNTIFS('VENTAS'!$C$5:$C$254,A64,'VENTAS'!$I$5:$I$254,"Por conciliar"))</x:f>
      </x:c>
      <x:c r="I64" s="22" t="str">
        <x:f>IF(A64="","",IF(G64&gt;0,IF(H64&gt;0,"Moroso + revisar","Moroso"),IF(H64&gt;0,"Por conciliar",IF(SUM(C64:F64)&gt;0,"Deuda vigente","Sin saldo"))))</x:f>
      </x:c>
      <x:c r="J64" s="22" t="str">
        <x:f>IF(A64="","",IF(COUNTIFS($A$5:$A$154,A64)&gt;1,"Nombre duplicado","Correcto"))</x:f>
      </x:c>
    </x:row>
    <x:row r="65" ht="25" customHeight="1">
      <x:c r="A65" s="26" t="str"/>
      <x:c r="B65" s="22" t="str">
        <x:f>IF(A65="","",COUNTIFS('VENTAS'!$C$5:$C$254,A65))</x:f>
      </x:c>
      <x:c r="C65" s="28" t="str">
        <x:f>IF(A65="","",SUMIFS('VENTAS'!$H$5:$H$254,'VENTAS'!$C$5:$C$254,A65,'VENTAS'!$F$5:$F$254,"BCV"))</x:f>
      </x:c>
      <x:c r="D65" s="28" t="str">
        <x:f>IF(A65="","",SUMIFS('VENTAS'!$H$5:$H$254,'VENTAS'!$C$5:$C$254,A65,'VENTAS'!$F$5:$F$254,"USDT"))</x:f>
      </x:c>
      <x:c r="E65" s="28" t="str">
        <x:f>IF(A65="","",SUMIFS('VENTAS'!$H$5:$H$254,'VENTAS'!$C$5:$C$254,A65,'VENTAS'!$F$5:$F$254,"Divisa"))</x:f>
      </x:c>
      <x:c r="F65" s="28" t="str">
        <x:f>IF(A65="","",SUMIFS('VENTAS'!$H$5:$H$254,'VENTAS'!$C$5:$C$254,A65,'VENTAS'!$F$5:$F$254,"Sin confirmar"))</x:f>
      </x:c>
      <x:c r="G65" s="28" t="str">
        <x:f>IF(A65="","",SUMIFS('VENTAS'!$H$5:$H$254,'VENTAS'!$C$5:$C$254,A65,'VENTAS'!$I$5:$I$254,"Moroso"))</x:f>
      </x:c>
      <x:c r="H65" s="22" t="str">
        <x:f>IF(A65="","",COUNTIFS('VENTAS'!$C$5:$C$254,A65,'VENTAS'!$I$5:$I$254,"Por conciliar"))</x:f>
      </x:c>
      <x:c r="I65" s="22" t="str">
        <x:f>IF(A65="","",IF(G65&gt;0,IF(H65&gt;0,"Moroso + revisar","Moroso"),IF(H65&gt;0,"Por conciliar",IF(SUM(C65:F65)&gt;0,"Deuda vigente","Sin saldo"))))</x:f>
      </x:c>
      <x:c r="J65" s="22" t="str">
        <x:f>IF(A65="","",IF(COUNTIFS($A$5:$A$154,A65)&gt;1,"Nombre duplicado","Correcto"))</x:f>
      </x:c>
    </x:row>
    <x:row r="66" ht="25" customHeight="1">
      <x:c r="A66" s="26" t="str"/>
      <x:c r="B66" s="22" t="str">
        <x:f>IF(A66="","",COUNTIFS('VENTAS'!$C$5:$C$254,A66))</x:f>
      </x:c>
      <x:c r="C66" s="28" t="str">
        <x:f>IF(A66="","",SUMIFS('VENTAS'!$H$5:$H$254,'VENTAS'!$C$5:$C$254,A66,'VENTAS'!$F$5:$F$254,"BCV"))</x:f>
      </x:c>
      <x:c r="D66" s="28" t="str">
        <x:f>IF(A66="","",SUMIFS('VENTAS'!$H$5:$H$254,'VENTAS'!$C$5:$C$254,A66,'VENTAS'!$F$5:$F$254,"USDT"))</x:f>
      </x:c>
      <x:c r="E66" s="28" t="str">
        <x:f>IF(A66="","",SUMIFS('VENTAS'!$H$5:$H$254,'VENTAS'!$C$5:$C$254,A66,'VENTAS'!$F$5:$F$254,"Divisa"))</x:f>
      </x:c>
      <x:c r="F66" s="28" t="str">
        <x:f>IF(A66="","",SUMIFS('VENTAS'!$H$5:$H$254,'VENTAS'!$C$5:$C$254,A66,'VENTAS'!$F$5:$F$254,"Sin confirmar"))</x:f>
      </x:c>
      <x:c r="G66" s="28" t="str">
        <x:f>IF(A66="","",SUMIFS('VENTAS'!$H$5:$H$254,'VENTAS'!$C$5:$C$254,A66,'VENTAS'!$I$5:$I$254,"Moroso"))</x:f>
      </x:c>
      <x:c r="H66" s="22" t="str">
        <x:f>IF(A66="","",COUNTIFS('VENTAS'!$C$5:$C$254,A66,'VENTAS'!$I$5:$I$254,"Por conciliar"))</x:f>
      </x:c>
      <x:c r="I66" s="22" t="str">
        <x:f>IF(A66="","",IF(G66&gt;0,IF(H66&gt;0,"Moroso + revisar","Moroso"),IF(H66&gt;0,"Por conciliar",IF(SUM(C66:F66)&gt;0,"Deuda vigente","Sin saldo"))))</x:f>
      </x:c>
      <x:c r="J66" s="22" t="str">
        <x:f>IF(A66="","",IF(COUNTIFS($A$5:$A$154,A66)&gt;1,"Nombre duplicado","Correcto"))</x:f>
      </x:c>
    </x:row>
    <x:row r="67" ht="25" customHeight="1">
      <x:c r="A67" s="26" t="str"/>
      <x:c r="B67" s="22" t="str">
        <x:f>IF(A67="","",COUNTIFS('VENTAS'!$C$5:$C$254,A67))</x:f>
      </x:c>
      <x:c r="C67" s="28" t="str">
        <x:f>IF(A67="","",SUMIFS('VENTAS'!$H$5:$H$254,'VENTAS'!$C$5:$C$254,A67,'VENTAS'!$F$5:$F$254,"BCV"))</x:f>
      </x:c>
      <x:c r="D67" s="28" t="str">
        <x:f>IF(A67="","",SUMIFS('VENTAS'!$H$5:$H$254,'VENTAS'!$C$5:$C$254,A67,'VENTAS'!$F$5:$F$254,"USDT"))</x:f>
      </x:c>
      <x:c r="E67" s="28" t="str">
        <x:f>IF(A67="","",SUMIFS('VENTAS'!$H$5:$H$254,'VENTAS'!$C$5:$C$254,A67,'VENTAS'!$F$5:$F$254,"Divisa"))</x:f>
      </x:c>
      <x:c r="F67" s="28" t="str">
        <x:f>IF(A67="","",SUMIFS('VENTAS'!$H$5:$H$254,'VENTAS'!$C$5:$C$254,A67,'VENTAS'!$F$5:$F$254,"Sin confirmar"))</x:f>
      </x:c>
      <x:c r="G67" s="28" t="str">
        <x:f>IF(A67="","",SUMIFS('VENTAS'!$H$5:$H$254,'VENTAS'!$C$5:$C$254,A67,'VENTAS'!$I$5:$I$254,"Moroso"))</x:f>
      </x:c>
      <x:c r="H67" s="22" t="str">
        <x:f>IF(A67="","",COUNTIFS('VENTAS'!$C$5:$C$254,A67,'VENTAS'!$I$5:$I$254,"Por conciliar"))</x:f>
      </x:c>
      <x:c r="I67" s="22" t="str">
        <x:f>IF(A67="","",IF(G67&gt;0,IF(H67&gt;0,"Moroso + revisar","Moroso"),IF(H67&gt;0,"Por conciliar",IF(SUM(C67:F67)&gt;0,"Deuda vigente","Sin saldo"))))</x:f>
      </x:c>
      <x:c r="J67" s="22" t="str">
        <x:f>IF(A67="","",IF(COUNTIFS($A$5:$A$154,A67)&gt;1,"Nombre duplicado","Correcto"))</x:f>
      </x:c>
    </x:row>
    <x:row r="68" ht="25" customHeight="1">
      <x:c r="A68" s="26" t="str"/>
      <x:c r="B68" s="22" t="str">
        <x:f>IF(A68="","",COUNTIFS('VENTAS'!$C$5:$C$254,A68))</x:f>
      </x:c>
      <x:c r="C68" s="28" t="str">
        <x:f>IF(A68="","",SUMIFS('VENTAS'!$H$5:$H$254,'VENTAS'!$C$5:$C$254,A68,'VENTAS'!$F$5:$F$254,"BCV"))</x:f>
      </x:c>
      <x:c r="D68" s="28" t="str">
        <x:f>IF(A68="","",SUMIFS('VENTAS'!$H$5:$H$254,'VENTAS'!$C$5:$C$254,A68,'VENTAS'!$F$5:$F$254,"USDT"))</x:f>
      </x:c>
      <x:c r="E68" s="28" t="str">
        <x:f>IF(A68="","",SUMIFS('VENTAS'!$H$5:$H$254,'VENTAS'!$C$5:$C$254,A68,'VENTAS'!$F$5:$F$254,"Divisa"))</x:f>
      </x:c>
      <x:c r="F68" s="28" t="str">
        <x:f>IF(A68="","",SUMIFS('VENTAS'!$H$5:$H$254,'VENTAS'!$C$5:$C$254,A68,'VENTAS'!$F$5:$F$254,"Sin confirmar"))</x:f>
      </x:c>
      <x:c r="G68" s="28" t="str">
        <x:f>IF(A68="","",SUMIFS('VENTAS'!$H$5:$H$254,'VENTAS'!$C$5:$C$254,A68,'VENTAS'!$I$5:$I$254,"Moroso"))</x:f>
      </x:c>
      <x:c r="H68" s="22" t="str">
        <x:f>IF(A68="","",COUNTIFS('VENTAS'!$C$5:$C$254,A68,'VENTAS'!$I$5:$I$254,"Por conciliar"))</x:f>
      </x:c>
      <x:c r="I68" s="22" t="str">
        <x:f>IF(A68="","",IF(G68&gt;0,IF(H68&gt;0,"Moroso + revisar","Moroso"),IF(H68&gt;0,"Por conciliar",IF(SUM(C68:F68)&gt;0,"Deuda vigente","Sin saldo"))))</x:f>
      </x:c>
      <x:c r="J68" s="22" t="str">
        <x:f>IF(A68="","",IF(COUNTIFS($A$5:$A$154,A68)&gt;1,"Nombre duplicado","Correcto"))</x:f>
      </x:c>
    </x:row>
    <x:row r="69" ht="25" customHeight="1">
      <x:c r="A69" s="26" t="str"/>
      <x:c r="B69" s="22" t="str">
        <x:f>IF(A69="","",COUNTIFS('VENTAS'!$C$5:$C$254,A69))</x:f>
      </x:c>
      <x:c r="C69" s="28" t="str">
        <x:f>IF(A69="","",SUMIFS('VENTAS'!$H$5:$H$254,'VENTAS'!$C$5:$C$254,A69,'VENTAS'!$F$5:$F$254,"BCV"))</x:f>
      </x:c>
      <x:c r="D69" s="28" t="str">
        <x:f>IF(A69="","",SUMIFS('VENTAS'!$H$5:$H$254,'VENTAS'!$C$5:$C$254,A69,'VENTAS'!$F$5:$F$254,"USDT"))</x:f>
      </x:c>
      <x:c r="E69" s="28" t="str">
        <x:f>IF(A69="","",SUMIFS('VENTAS'!$H$5:$H$254,'VENTAS'!$C$5:$C$254,A69,'VENTAS'!$F$5:$F$254,"Divisa"))</x:f>
      </x:c>
      <x:c r="F69" s="28" t="str">
        <x:f>IF(A69="","",SUMIFS('VENTAS'!$H$5:$H$254,'VENTAS'!$C$5:$C$254,A69,'VENTAS'!$F$5:$F$254,"Sin confirmar"))</x:f>
      </x:c>
      <x:c r="G69" s="28" t="str">
        <x:f>IF(A69="","",SUMIFS('VENTAS'!$H$5:$H$254,'VENTAS'!$C$5:$C$254,A69,'VENTAS'!$I$5:$I$254,"Moroso"))</x:f>
      </x:c>
      <x:c r="H69" s="22" t="str">
        <x:f>IF(A69="","",COUNTIFS('VENTAS'!$C$5:$C$254,A69,'VENTAS'!$I$5:$I$254,"Por conciliar"))</x:f>
      </x:c>
      <x:c r="I69" s="22" t="str">
        <x:f>IF(A69="","",IF(G69&gt;0,IF(H69&gt;0,"Moroso + revisar","Moroso"),IF(H69&gt;0,"Por conciliar",IF(SUM(C69:F69)&gt;0,"Deuda vigente","Sin saldo"))))</x:f>
      </x:c>
      <x:c r="J69" s="22" t="str">
        <x:f>IF(A69="","",IF(COUNTIFS($A$5:$A$154,A69)&gt;1,"Nombre duplicado","Correcto"))</x:f>
      </x:c>
    </x:row>
    <x:row r="70" ht="25" customHeight="1">
      <x:c r="A70" s="26" t="str"/>
      <x:c r="B70" s="22" t="str">
        <x:f>IF(A70="","",COUNTIFS('VENTAS'!$C$5:$C$254,A70))</x:f>
      </x:c>
      <x:c r="C70" s="28" t="str">
        <x:f>IF(A70="","",SUMIFS('VENTAS'!$H$5:$H$254,'VENTAS'!$C$5:$C$254,A70,'VENTAS'!$F$5:$F$254,"BCV"))</x:f>
      </x:c>
      <x:c r="D70" s="28" t="str">
        <x:f>IF(A70="","",SUMIFS('VENTAS'!$H$5:$H$254,'VENTAS'!$C$5:$C$254,A70,'VENTAS'!$F$5:$F$254,"USDT"))</x:f>
      </x:c>
      <x:c r="E70" s="28" t="str">
        <x:f>IF(A70="","",SUMIFS('VENTAS'!$H$5:$H$254,'VENTAS'!$C$5:$C$254,A70,'VENTAS'!$F$5:$F$254,"Divisa"))</x:f>
      </x:c>
      <x:c r="F70" s="28" t="str">
        <x:f>IF(A70="","",SUMIFS('VENTAS'!$H$5:$H$254,'VENTAS'!$C$5:$C$254,A70,'VENTAS'!$F$5:$F$254,"Sin confirmar"))</x:f>
      </x:c>
      <x:c r="G70" s="28" t="str">
        <x:f>IF(A70="","",SUMIFS('VENTAS'!$H$5:$H$254,'VENTAS'!$C$5:$C$254,A70,'VENTAS'!$I$5:$I$254,"Moroso"))</x:f>
      </x:c>
      <x:c r="H70" s="22" t="str">
        <x:f>IF(A70="","",COUNTIFS('VENTAS'!$C$5:$C$254,A70,'VENTAS'!$I$5:$I$254,"Por conciliar"))</x:f>
      </x:c>
      <x:c r="I70" s="22" t="str">
        <x:f>IF(A70="","",IF(G70&gt;0,IF(H70&gt;0,"Moroso + revisar","Moroso"),IF(H70&gt;0,"Por conciliar",IF(SUM(C70:F70)&gt;0,"Deuda vigente","Sin saldo"))))</x:f>
      </x:c>
      <x:c r="J70" s="22" t="str">
        <x:f>IF(A70="","",IF(COUNTIFS($A$5:$A$154,A70)&gt;1,"Nombre duplicado","Correcto"))</x:f>
      </x:c>
    </x:row>
    <x:row r="71" ht="25" customHeight="1">
      <x:c r="A71" s="26" t="str"/>
      <x:c r="B71" s="22" t="str">
        <x:f>IF(A71="","",COUNTIFS('VENTAS'!$C$5:$C$254,A71))</x:f>
      </x:c>
      <x:c r="C71" s="28" t="str">
        <x:f>IF(A71="","",SUMIFS('VENTAS'!$H$5:$H$254,'VENTAS'!$C$5:$C$254,A71,'VENTAS'!$F$5:$F$254,"BCV"))</x:f>
      </x:c>
      <x:c r="D71" s="28" t="str">
        <x:f>IF(A71="","",SUMIFS('VENTAS'!$H$5:$H$254,'VENTAS'!$C$5:$C$254,A71,'VENTAS'!$F$5:$F$254,"USDT"))</x:f>
      </x:c>
      <x:c r="E71" s="28" t="str">
        <x:f>IF(A71="","",SUMIFS('VENTAS'!$H$5:$H$254,'VENTAS'!$C$5:$C$254,A71,'VENTAS'!$F$5:$F$254,"Divisa"))</x:f>
      </x:c>
      <x:c r="F71" s="28" t="str">
        <x:f>IF(A71="","",SUMIFS('VENTAS'!$H$5:$H$254,'VENTAS'!$C$5:$C$254,A71,'VENTAS'!$F$5:$F$254,"Sin confirmar"))</x:f>
      </x:c>
      <x:c r="G71" s="28" t="str">
        <x:f>IF(A71="","",SUMIFS('VENTAS'!$H$5:$H$254,'VENTAS'!$C$5:$C$254,A71,'VENTAS'!$I$5:$I$254,"Moroso"))</x:f>
      </x:c>
      <x:c r="H71" s="22" t="str">
        <x:f>IF(A71="","",COUNTIFS('VENTAS'!$C$5:$C$254,A71,'VENTAS'!$I$5:$I$254,"Por conciliar"))</x:f>
      </x:c>
      <x:c r="I71" s="22" t="str">
        <x:f>IF(A71="","",IF(G71&gt;0,IF(H71&gt;0,"Moroso + revisar","Moroso"),IF(H71&gt;0,"Por conciliar",IF(SUM(C71:F71)&gt;0,"Deuda vigente","Sin saldo"))))</x:f>
      </x:c>
      <x:c r="J71" s="22" t="str">
        <x:f>IF(A71="","",IF(COUNTIFS($A$5:$A$154,A71)&gt;1,"Nombre duplicado","Correcto"))</x:f>
      </x:c>
    </x:row>
    <x:row r="72" ht="25" customHeight="1">
      <x:c r="A72" s="26" t="str"/>
      <x:c r="B72" s="22" t="str">
        <x:f>IF(A72="","",COUNTIFS('VENTAS'!$C$5:$C$254,A72))</x:f>
      </x:c>
      <x:c r="C72" s="28" t="str">
        <x:f>IF(A72="","",SUMIFS('VENTAS'!$H$5:$H$254,'VENTAS'!$C$5:$C$254,A72,'VENTAS'!$F$5:$F$254,"BCV"))</x:f>
      </x:c>
      <x:c r="D72" s="28" t="str">
        <x:f>IF(A72="","",SUMIFS('VENTAS'!$H$5:$H$254,'VENTAS'!$C$5:$C$254,A72,'VENTAS'!$F$5:$F$254,"USDT"))</x:f>
      </x:c>
      <x:c r="E72" s="28" t="str">
        <x:f>IF(A72="","",SUMIFS('VENTAS'!$H$5:$H$254,'VENTAS'!$C$5:$C$254,A72,'VENTAS'!$F$5:$F$254,"Divisa"))</x:f>
      </x:c>
      <x:c r="F72" s="28" t="str">
        <x:f>IF(A72="","",SUMIFS('VENTAS'!$H$5:$H$254,'VENTAS'!$C$5:$C$254,A72,'VENTAS'!$F$5:$F$254,"Sin confirmar"))</x:f>
      </x:c>
      <x:c r="G72" s="28" t="str">
        <x:f>IF(A72="","",SUMIFS('VENTAS'!$H$5:$H$254,'VENTAS'!$C$5:$C$254,A72,'VENTAS'!$I$5:$I$254,"Moroso"))</x:f>
      </x:c>
      <x:c r="H72" s="22" t="str">
        <x:f>IF(A72="","",COUNTIFS('VENTAS'!$C$5:$C$254,A72,'VENTAS'!$I$5:$I$254,"Por conciliar"))</x:f>
      </x:c>
      <x:c r="I72" s="22" t="str">
        <x:f>IF(A72="","",IF(G72&gt;0,IF(H72&gt;0,"Moroso + revisar","Moroso"),IF(H72&gt;0,"Por conciliar",IF(SUM(C72:F72)&gt;0,"Deuda vigente","Sin saldo"))))</x:f>
      </x:c>
      <x:c r="J72" s="22" t="str">
        <x:f>IF(A72="","",IF(COUNTIFS($A$5:$A$154,A72)&gt;1,"Nombre duplicado","Correcto"))</x:f>
      </x:c>
    </x:row>
    <x:row r="73" ht="25" customHeight="1">
      <x:c r="A73" s="26" t="str"/>
      <x:c r="B73" s="22" t="str">
        <x:f>IF(A73="","",COUNTIFS('VENTAS'!$C$5:$C$254,A73))</x:f>
      </x:c>
      <x:c r="C73" s="28" t="str">
        <x:f>IF(A73="","",SUMIFS('VENTAS'!$H$5:$H$254,'VENTAS'!$C$5:$C$254,A73,'VENTAS'!$F$5:$F$254,"BCV"))</x:f>
      </x:c>
      <x:c r="D73" s="28" t="str">
        <x:f>IF(A73="","",SUMIFS('VENTAS'!$H$5:$H$254,'VENTAS'!$C$5:$C$254,A73,'VENTAS'!$F$5:$F$254,"USDT"))</x:f>
      </x:c>
      <x:c r="E73" s="28" t="str">
        <x:f>IF(A73="","",SUMIFS('VENTAS'!$H$5:$H$254,'VENTAS'!$C$5:$C$254,A73,'VENTAS'!$F$5:$F$254,"Divisa"))</x:f>
      </x:c>
      <x:c r="F73" s="28" t="str">
        <x:f>IF(A73="","",SUMIFS('VENTAS'!$H$5:$H$254,'VENTAS'!$C$5:$C$254,A73,'VENTAS'!$F$5:$F$254,"Sin confirmar"))</x:f>
      </x:c>
      <x:c r="G73" s="28" t="str">
        <x:f>IF(A73="","",SUMIFS('VENTAS'!$H$5:$H$254,'VENTAS'!$C$5:$C$254,A73,'VENTAS'!$I$5:$I$254,"Moroso"))</x:f>
      </x:c>
      <x:c r="H73" s="22" t="str">
        <x:f>IF(A73="","",COUNTIFS('VENTAS'!$C$5:$C$254,A73,'VENTAS'!$I$5:$I$254,"Por conciliar"))</x:f>
      </x:c>
      <x:c r="I73" s="22" t="str">
        <x:f>IF(A73="","",IF(G73&gt;0,IF(H73&gt;0,"Moroso + revisar","Moroso"),IF(H73&gt;0,"Por conciliar",IF(SUM(C73:F73)&gt;0,"Deuda vigente","Sin saldo"))))</x:f>
      </x:c>
      <x:c r="J73" s="22" t="str">
        <x:f>IF(A73="","",IF(COUNTIFS($A$5:$A$154,A73)&gt;1,"Nombre duplicado","Correcto"))</x:f>
      </x:c>
    </x:row>
    <x:row r="74" ht="25" customHeight="1">
      <x:c r="A74" s="26" t="str"/>
      <x:c r="B74" s="22" t="str">
        <x:f>IF(A74="","",COUNTIFS('VENTAS'!$C$5:$C$254,A74))</x:f>
      </x:c>
      <x:c r="C74" s="28" t="str">
        <x:f>IF(A74="","",SUMIFS('VENTAS'!$H$5:$H$254,'VENTAS'!$C$5:$C$254,A74,'VENTAS'!$F$5:$F$254,"BCV"))</x:f>
      </x:c>
      <x:c r="D74" s="28" t="str">
        <x:f>IF(A74="","",SUMIFS('VENTAS'!$H$5:$H$254,'VENTAS'!$C$5:$C$254,A74,'VENTAS'!$F$5:$F$254,"USDT"))</x:f>
      </x:c>
      <x:c r="E74" s="28" t="str">
        <x:f>IF(A74="","",SUMIFS('VENTAS'!$H$5:$H$254,'VENTAS'!$C$5:$C$254,A74,'VENTAS'!$F$5:$F$254,"Divisa"))</x:f>
      </x:c>
      <x:c r="F74" s="28" t="str">
        <x:f>IF(A74="","",SUMIFS('VENTAS'!$H$5:$H$254,'VENTAS'!$C$5:$C$254,A74,'VENTAS'!$F$5:$F$254,"Sin confirmar"))</x:f>
      </x:c>
      <x:c r="G74" s="28" t="str">
        <x:f>IF(A74="","",SUMIFS('VENTAS'!$H$5:$H$254,'VENTAS'!$C$5:$C$254,A74,'VENTAS'!$I$5:$I$254,"Moroso"))</x:f>
      </x:c>
      <x:c r="H74" s="22" t="str">
        <x:f>IF(A74="","",COUNTIFS('VENTAS'!$C$5:$C$254,A74,'VENTAS'!$I$5:$I$254,"Por conciliar"))</x:f>
      </x:c>
      <x:c r="I74" s="22" t="str">
        <x:f>IF(A74="","",IF(G74&gt;0,IF(H74&gt;0,"Moroso + revisar","Moroso"),IF(H74&gt;0,"Por conciliar",IF(SUM(C74:F74)&gt;0,"Deuda vigente","Sin saldo"))))</x:f>
      </x:c>
      <x:c r="J74" s="22" t="str">
        <x:f>IF(A74="","",IF(COUNTIFS($A$5:$A$154,A74)&gt;1,"Nombre duplicado","Correcto"))</x:f>
      </x:c>
    </x:row>
    <x:row r="75" ht="25" customHeight="1">
      <x:c r="A75" s="26" t="str"/>
      <x:c r="B75" s="22" t="str">
        <x:f>IF(A75="","",COUNTIFS('VENTAS'!$C$5:$C$254,A75))</x:f>
      </x:c>
      <x:c r="C75" s="28" t="str">
        <x:f>IF(A75="","",SUMIFS('VENTAS'!$H$5:$H$254,'VENTAS'!$C$5:$C$254,A75,'VENTAS'!$F$5:$F$254,"BCV"))</x:f>
      </x:c>
      <x:c r="D75" s="28" t="str">
        <x:f>IF(A75="","",SUMIFS('VENTAS'!$H$5:$H$254,'VENTAS'!$C$5:$C$254,A75,'VENTAS'!$F$5:$F$254,"USDT"))</x:f>
      </x:c>
      <x:c r="E75" s="28" t="str">
        <x:f>IF(A75="","",SUMIFS('VENTAS'!$H$5:$H$254,'VENTAS'!$C$5:$C$254,A75,'VENTAS'!$F$5:$F$254,"Divisa"))</x:f>
      </x:c>
      <x:c r="F75" s="28" t="str">
        <x:f>IF(A75="","",SUMIFS('VENTAS'!$H$5:$H$254,'VENTAS'!$C$5:$C$254,A75,'VENTAS'!$F$5:$F$254,"Sin confirmar"))</x:f>
      </x:c>
      <x:c r="G75" s="28" t="str">
        <x:f>IF(A75="","",SUMIFS('VENTAS'!$H$5:$H$254,'VENTAS'!$C$5:$C$254,A75,'VENTAS'!$I$5:$I$254,"Moroso"))</x:f>
      </x:c>
      <x:c r="H75" s="22" t="str">
        <x:f>IF(A75="","",COUNTIFS('VENTAS'!$C$5:$C$254,A75,'VENTAS'!$I$5:$I$254,"Por conciliar"))</x:f>
      </x:c>
      <x:c r="I75" s="22" t="str">
        <x:f>IF(A75="","",IF(G75&gt;0,IF(H75&gt;0,"Moroso + revisar","Moroso"),IF(H75&gt;0,"Por conciliar",IF(SUM(C75:F75)&gt;0,"Deuda vigente","Sin saldo"))))</x:f>
      </x:c>
      <x:c r="J75" s="22" t="str">
        <x:f>IF(A75="","",IF(COUNTIFS($A$5:$A$154,A75)&gt;1,"Nombre duplicado","Correcto"))</x:f>
      </x:c>
    </x:row>
    <x:row r="76" ht="25" customHeight="1">
      <x:c r="A76" s="26" t="str"/>
      <x:c r="B76" s="22" t="str">
        <x:f>IF(A76="","",COUNTIFS('VENTAS'!$C$5:$C$254,A76))</x:f>
      </x:c>
      <x:c r="C76" s="28" t="str">
        <x:f>IF(A76="","",SUMIFS('VENTAS'!$H$5:$H$254,'VENTAS'!$C$5:$C$254,A76,'VENTAS'!$F$5:$F$254,"BCV"))</x:f>
      </x:c>
      <x:c r="D76" s="28" t="str">
        <x:f>IF(A76="","",SUMIFS('VENTAS'!$H$5:$H$254,'VENTAS'!$C$5:$C$254,A76,'VENTAS'!$F$5:$F$254,"USDT"))</x:f>
      </x:c>
      <x:c r="E76" s="28" t="str">
        <x:f>IF(A76="","",SUMIFS('VENTAS'!$H$5:$H$254,'VENTAS'!$C$5:$C$254,A76,'VENTAS'!$F$5:$F$254,"Divisa"))</x:f>
      </x:c>
      <x:c r="F76" s="28" t="str">
        <x:f>IF(A76="","",SUMIFS('VENTAS'!$H$5:$H$254,'VENTAS'!$C$5:$C$254,A76,'VENTAS'!$F$5:$F$254,"Sin confirmar"))</x:f>
      </x:c>
      <x:c r="G76" s="28" t="str">
        <x:f>IF(A76="","",SUMIFS('VENTAS'!$H$5:$H$254,'VENTAS'!$C$5:$C$254,A76,'VENTAS'!$I$5:$I$254,"Moroso"))</x:f>
      </x:c>
      <x:c r="H76" s="22" t="str">
        <x:f>IF(A76="","",COUNTIFS('VENTAS'!$C$5:$C$254,A76,'VENTAS'!$I$5:$I$254,"Por conciliar"))</x:f>
      </x:c>
      <x:c r="I76" s="22" t="str">
        <x:f>IF(A76="","",IF(G76&gt;0,IF(H76&gt;0,"Moroso + revisar","Moroso"),IF(H76&gt;0,"Por conciliar",IF(SUM(C76:F76)&gt;0,"Deuda vigente","Sin saldo"))))</x:f>
      </x:c>
      <x:c r="J76" s="22" t="str">
        <x:f>IF(A76="","",IF(COUNTIFS($A$5:$A$154,A76)&gt;1,"Nombre duplicado","Correcto"))</x:f>
      </x:c>
    </x:row>
    <x:row r="77" ht="25" customHeight="1">
      <x:c r="A77" s="26" t="str"/>
      <x:c r="B77" s="22" t="str">
        <x:f>IF(A77="","",COUNTIFS('VENTAS'!$C$5:$C$254,A77))</x:f>
      </x:c>
      <x:c r="C77" s="28" t="str">
        <x:f>IF(A77="","",SUMIFS('VENTAS'!$H$5:$H$254,'VENTAS'!$C$5:$C$254,A77,'VENTAS'!$F$5:$F$254,"BCV"))</x:f>
      </x:c>
      <x:c r="D77" s="28" t="str">
        <x:f>IF(A77="","",SUMIFS('VENTAS'!$H$5:$H$254,'VENTAS'!$C$5:$C$254,A77,'VENTAS'!$F$5:$F$254,"USDT"))</x:f>
      </x:c>
      <x:c r="E77" s="28" t="str">
        <x:f>IF(A77="","",SUMIFS('VENTAS'!$H$5:$H$254,'VENTAS'!$C$5:$C$254,A77,'VENTAS'!$F$5:$F$254,"Divisa"))</x:f>
      </x:c>
      <x:c r="F77" s="28" t="str">
        <x:f>IF(A77="","",SUMIFS('VENTAS'!$H$5:$H$254,'VENTAS'!$C$5:$C$254,A77,'VENTAS'!$F$5:$F$254,"Sin confirmar"))</x:f>
      </x:c>
      <x:c r="G77" s="28" t="str">
        <x:f>IF(A77="","",SUMIFS('VENTAS'!$H$5:$H$254,'VENTAS'!$C$5:$C$254,A77,'VENTAS'!$I$5:$I$254,"Moroso"))</x:f>
      </x:c>
      <x:c r="H77" s="22" t="str">
        <x:f>IF(A77="","",COUNTIFS('VENTAS'!$C$5:$C$254,A77,'VENTAS'!$I$5:$I$254,"Por conciliar"))</x:f>
      </x:c>
      <x:c r="I77" s="22" t="str">
        <x:f>IF(A77="","",IF(G77&gt;0,IF(H77&gt;0,"Moroso + revisar","Moroso"),IF(H77&gt;0,"Por conciliar",IF(SUM(C77:F77)&gt;0,"Deuda vigente","Sin saldo"))))</x:f>
      </x:c>
      <x:c r="J77" s="22" t="str">
        <x:f>IF(A77="","",IF(COUNTIFS($A$5:$A$154,A77)&gt;1,"Nombre duplicado","Correcto"))</x:f>
      </x:c>
    </x:row>
    <x:row r="78" ht="25" customHeight="1">
      <x:c r="A78" s="26" t="str"/>
      <x:c r="B78" s="22" t="str">
        <x:f>IF(A78="","",COUNTIFS('VENTAS'!$C$5:$C$254,A78))</x:f>
      </x:c>
      <x:c r="C78" s="28" t="str">
        <x:f>IF(A78="","",SUMIFS('VENTAS'!$H$5:$H$254,'VENTAS'!$C$5:$C$254,A78,'VENTAS'!$F$5:$F$254,"BCV"))</x:f>
      </x:c>
      <x:c r="D78" s="28" t="str">
        <x:f>IF(A78="","",SUMIFS('VENTAS'!$H$5:$H$254,'VENTAS'!$C$5:$C$254,A78,'VENTAS'!$F$5:$F$254,"USDT"))</x:f>
      </x:c>
      <x:c r="E78" s="28" t="str">
        <x:f>IF(A78="","",SUMIFS('VENTAS'!$H$5:$H$254,'VENTAS'!$C$5:$C$254,A78,'VENTAS'!$F$5:$F$254,"Divisa"))</x:f>
      </x:c>
      <x:c r="F78" s="28" t="str">
        <x:f>IF(A78="","",SUMIFS('VENTAS'!$H$5:$H$254,'VENTAS'!$C$5:$C$254,A78,'VENTAS'!$F$5:$F$254,"Sin confirmar"))</x:f>
      </x:c>
      <x:c r="G78" s="28" t="str">
        <x:f>IF(A78="","",SUMIFS('VENTAS'!$H$5:$H$254,'VENTAS'!$C$5:$C$254,A78,'VENTAS'!$I$5:$I$254,"Moroso"))</x:f>
      </x:c>
      <x:c r="H78" s="22" t="str">
        <x:f>IF(A78="","",COUNTIFS('VENTAS'!$C$5:$C$254,A78,'VENTAS'!$I$5:$I$254,"Por conciliar"))</x:f>
      </x:c>
      <x:c r="I78" s="22" t="str">
        <x:f>IF(A78="","",IF(G78&gt;0,IF(H78&gt;0,"Moroso + revisar","Moroso"),IF(H78&gt;0,"Por conciliar",IF(SUM(C78:F78)&gt;0,"Deuda vigente","Sin saldo"))))</x:f>
      </x:c>
      <x:c r="J78" s="22" t="str">
        <x:f>IF(A78="","",IF(COUNTIFS($A$5:$A$154,A78)&gt;1,"Nombre duplicado","Correcto"))</x:f>
      </x:c>
    </x:row>
    <x:row r="79" ht="25" customHeight="1">
      <x:c r="A79" s="26" t="str"/>
      <x:c r="B79" s="22" t="str">
        <x:f>IF(A79="","",COUNTIFS('VENTAS'!$C$5:$C$254,A79))</x:f>
      </x:c>
      <x:c r="C79" s="28" t="str">
        <x:f>IF(A79="","",SUMIFS('VENTAS'!$H$5:$H$254,'VENTAS'!$C$5:$C$254,A79,'VENTAS'!$F$5:$F$254,"BCV"))</x:f>
      </x:c>
      <x:c r="D79" s="28" t="str">
        <x:f>IF(A79="","",SUMIFS('VENTAS'!$H$5:$H$254,'VENTAS'!$C$5:$C$254,A79,'VENTAS'!$F$5:$F$254,"USDT"))</x:f>
      </x:c>
      <x:c r="E79" s="28" t="str">
        <x:f>IF(A79="","",SUMIFS('VENTAS'!$H$5:$H$254,'VENTAS'!$C$5:$C$254,A79,'VENTAS'!$F$5:$F$254,"Divisa"))</x:f>
      </x:c>
      <x:c r="F79" s="28" t="str">
        <x:f>IF(A79="","",SUMIFS('VENTAS'!$H$5:$H$254,'VENTAS'!$C$5:$C$254,A79,'VENTAS'!$F$5:$F$254,"Sin confirmar"))</x:f>
      </x:c>
      <x:c r="G79" s="28" t="str">
        <x:f>IF(A79="","",SUMIFS('VENTAS'!$H$5:$H$254,'VENTAS'!$C$5:$C$254,A79,'VENTAS'!$I$5:$I$254,"Moroso"))</x:f>
      </x:c>
      <x:c r="H79" s="22" t="str">
        <x:f>IF(A79="","",COUNTIFS('VENTAS'!$C$5:$C$254,A79,'VENTAS'!$I$5:$I$254,"Por conciliar"))</x:f>
      </x:c>
      <x:c r="I79" s="22" t="str">
        <x:f>IF(A79="","",IF(G79&gt;0,IF(H79&gt;0,"Moroso + revisar","Moroso"),IF(H79&gt;0,"Por conciliar",IF(SUM(C79:F79)&gt;0,"Deuda vigente","Sin saldo"))))</x:f>
      </x:c>
      <x:c r="J79" s="22" t="str">
        <x:f>IF(A79="","",IF(COUNTIFS($A$5:$A$154,A79)&gt;1,"Nombre duplicado","Correcto"))</x:f>
      </x:c>
    </x:row>
    <x:row r="80" ht="25" customHeight="1">
      <x:c r="A80" s="26" t="str"/>
      <x:c r="B80" s="22" t="str">
        <x:f>IF(A80="","",COUNTIFS('VENTAS'!$C$5:$C$254,A80))</x:f>
      </x:c>
      <x:c r="C80" s="28" t="str">
        <x:f>IF(A80="","",SUMIFS('VENTAS'!$H$5:$H$254,'VENTAS'!$C$5:$C$254,A80,'VENTAS'!$F$5:$F$254,"BCV"))</x:f>
      </x:c>
      <x:c r="D80" s="28" t="str">
        <x:f>IF(A80="","",SUMIFS('VENTAS'!$H$5:$H$254,'VENTAS'!$C$5:$C$254,A80,'VENTAS'!$F$5:$F$254,"USDT"))</x:f>
      </x:c>
      <x:c r="E80" s="28" t="str">
        <x:f>IF(A80="","",SUMIFS('VENTAS'!$H$5:$H$254,'VENTAS'!$C$5:$C$254,A80,'VENTAS'!$F$5:$F$254,"Divisa"))</x:f>
      </x:c>
      <x:c r="F80" s="28" t="str">
        <x:f>IF(A80="","",SUMIFS('VENTAS'!$H$5:$H$254,'VENTAS'!$C$5:$C$254,A80,'VENTAS'!$F$5:$F$254,"Sin confirmar"))</x:f>
      </x:c>
      <x:c r="G80" s="28" t="str">
        <x:f>IF(A80="","",SUMIFS('VENTAS'!$H$5:$H$254,'VENTAS'!$C$5:$C$254,A80,'VENTAS'!$I$5:$I$254,"Moroso"))</x:f>
      </x:c>
      <x:c r="H80" s="22" t="str">
        <x:f>IF(A80="","",COUNTIFS('VENTAS'!$C$5:$C$254,A80,'VENTAS'!$I$5:$I$254,"Por conciliar"))</x:f>
      </x:c>
      <x:c r="I80" s="22" t="str">
        <x:f>IF(A80="","",IF(G80&gt;0,IF(H80&gt;0,"Moroso + revisar","Moroso"),IF(H80&gt;0,"Por conciliar",IF(SUM(C80:F80)&gt;0,"Deuda vigente","Sin saldo"))))</x:f>
      </x:c>
      <x:c r="J80" s="22" t="str">
        <x:f>IF(A80="","",IF(COUNTIFS($A$5:$A$154,A80)&gt;1,"Nombre duplicado","Correcto"))</x:f>
      </x:c>
    </x:row>
    <x:row r="81" ht="25" customHeight="1">
      <x:c r="A81" s="26" t="str"/>
      <x:c r="B81" s="22" t="str">
        <x:f>IF(A81="","",COUNTIFS('VENTAS'!$C$5:$C$254,A81))</x:f>
      </x:c>
      <x:c r="C81" s="28" t="str">
        <x:f>IF(A81="","",SUMIFS('VENTAS'!$H$5:$H$254,'VENTAS'!$C$5:$C$254,A81,'VENTAS'!$F$5:$F$254,"BCV"))</x:f>
      </x:c>
      <x:c r="D81" s="28" t="str">
        <x:f>IF(A81="","",SUMIFS('VENTAS'!$H$5:$H$254,'VENTAS'!$C$5:$C$254,A81,'VENTAS'!$F$5:$F$254,"USDT"))</x:f>
      </x:c>
      <x:c r="E81" s="28" t="str">
        <x:f>IF(A81="","",SUMIFS('VENTAS'!$H$5:$H$254,'VENTAS'!$C$5:$C$254,A81,'VENTAS'!$F$5:$F$254,"Divisa"))</x:f>
      </x:c>
      <x:c r="F81" s="28" t="str">
        <x:f>IF(A81="","",SUMIFS('VENTAS'!$H$5:$H$254,'VENTAS'!$C$5:$C$254,A81,'VENTAS'!$F$5:$F$254,"Sin confirmar"))</x:f>
      </x:c>
      <x:c r="G81" s="28" t="str">
        <x:f>IF(A81="","",SUMIFS('VENTAS'!$H$5:$H$254,'VENTAS'!$C$5:$C$254,A81,'VENTAS'!$I$5:$I$254,"Moroso"))</x:f>
      </x:c>
      <x:c r="H81" s="22" t="str">
        <x:f>IF(A81="","",COUNTIFS('VENTAS'!$C$5:$C$254,A81,'VENTAS'!$I$5:$I$254,"Por conciliar"))</x:f>
      </x:c>
      <x:c r="I81" s="22" t="str">
        <x:f>IF(A81="","",IF(G81&gt;0,IF(H81&gt;0,"Moroso + revisar","Moroso"),IF(H81&gt;0,"Por conciliar",IF(SUM(C81:F81)&gt;0,"Deuda vigente","Sin saldo"))))</x:f>
      </x:c>
      <x:c r="J81" s="22" t="str">
        <x:f>IF(A81="","",IF(COUNTIFS($A$5:$A$154,A81)&gt;1,"Nombre duplicado","Correcto"))</x:f>
      </x:c>
    </x:row>
    <x:row r="82" ht="25" customHeight="1">
      <x:c r="A82" s="26" t="str"/>
      <x:c r="B82" s="22" t="str">
        <x:f>IF(A82="","",COUNTIFS('VENTAS'!$C$5:$C$254,A82))</x:f>
      </x:c>
      <x:c r="C82" s="28" t="str">
        <x:f>IF(A82="","",SUMIFS('VENTAS'!$H$5:$H$254,'VENTAS'!$C$5:$C$254,A82,'VENTAS'!$F$5:$F$254,"BCV"))</x:f>
      </x:c>
      <x:c r="D82" s="28" t="str">
        <x:f>IF(A82="","",SUMIFS('VENTAS'!$H$5:$H$254,'VENTAS'!$C$5:$C$254,A82,'VENTAS'!$F$5:$F$254,"USDT"))</x:f>
      </x:c>
      <x:c r="E82" s="28" t="str">
        <x:f>IF(A82="","",SUMIFS('VENTAS'!$H$5:$H$254,'VENTAS'!$C$5:$C$254,A82,'VENTAS'!$F$5:$F$254,"Divisa"))</x:f>
      </x:c>
      <x:c r="F82" s="28" t="str">
        <x:f>IF(A82="","",SUMIFS('VENTAS'!$H$5:$H$254,'VENTAS'!$C$5:$C$254,A82,'VENTAS'!$F$5:$F$254,"Sin confirmar"))</x:f>
      </x:c>
      <x:c r="G82" s="28" t="str">
        <x:f>IF(A82="","",SUMIFS('VENTAS'!$H$5:$H$254,'VENTAS'!$C$5:$C$254,A82,'VENTAS'!$I$5:$I$254,"Moroso"))</x:f>
      </x:c>
      <x:c r="H82" s="22" t="str">
        <x:f>IF(A82="","",COUNTIFS('VENTAS'!$C$5:$C$254,A82,'VENTAS'!$I$5:$I$254,"Por conciliar"))</x:f>
      </x:c>
      <x:c r="I82" s="22" t="str">
        <x:f>IF(A82="","",IF(G82&gt;0,IF(H82&gt;0,"Moroso + revisar","Moroso"),IF(H82&gt;0,"Por conciliar",IF(SUM(C82:F82)&gt;0,"Deuda vigente","Sin saldo"))))</x:f>
      </x:c>
      <x:c r="J82" s="22" t="str">
        <x:f>IF(A82="","",IF(COUNTIFS($A$5:$A$154,A82)&gt;1,"Nombre duplicado","Correcto"))</x:f>
      </x:c>
    </x:row>
    <x:row r="83" ht="25" customHeight="1">
      <x:c r="A83" s="26" t="str"/>
      <x:c r="B83" s="22" t="str">
        <x:f>IF(A83="","",COUNTIFS('VENTAS'!$C$5:$C$254,A83))</x:f>
      </x:c>
      <x:c r="C83" s="28" t="str">
        <x:f>IF(A83="","",SUMIFS('VENTAS'!$H$5:$H$254,'VENTAS'!$C$5:$C$254,A83,'VENTAS'!$F$5:$F$254,"BCV"))</x:f>
      </x:c>
      <x:c r="D83" s="28" t="str">
        <x:f>IF(A83="","",SUMIFS('VENTAS'!$H$5:$H$254,'VENTAS'!$C$5:$C$254,A83,'VENTAS'!$F$5:$F$254,"USDT"))</x:f>
      </x:c>
      <x:c r="E83" s="28" t="str">
        <x:f>IF(A83="","",SUMIFS('VENTAS'!$H$5:$H$254,'VENTAS'!$C$5:$C$254,A83,'VENTAS'!$F$5:$F$254,"Divisa"))</x:f>
      </x:c>
      <x:c r="F83" s="28" t="str">
        <x:f>IF(A83="","",SUMIFS('VENTAS'!$H$5:$H$254,'VENTAS'!$C$5:$C$254,A83,'VENTAS'!$F$5:$F$254,"Sin confirmar"))</x:f>
      </x:c>
      <x:c r="G83" s="28" t="str">
        <x:f>IF(A83="","",SUMIFS('VENTAS'!$H$5:$H$254,'VENTAS'!$C$5:$C$254,A83,'VENTAS'!$I$5:$I$254,"Moroso"))</x:f>
      </x:c>
      <x:c r="H83" s="22" t="str">
        <x:f>IF(A83="","",COUNTIFS('VENTAS'!$C$5:$C$254,A83,'VENTAS'!$I$5:$I$254,"Por conciliar"))</x:f>
      </x:c>
      <x:c r="I83" s="22" t="str">
        <x:f>IF(A83="","",IF(G83&gt;0,IF(H83&gt;0,"Moroso + revisar","Moroso"),IF(H83&gt;0,"Por conciliar",IF(SUM(C83:F83)&gt;0,"Deuda vigente","Sin saldo"))))</x:f>
      </x:c>
      <x:c r="J83" s="22" t="str">
        <x:f>IF(A83="","",IF(COUNTIFS($A$5:$A$154,A83)&gt;1,"Nombre duplicado","Correcto"))</x:f>
      </x:c>
    </x:row>
    <x:row r="84" ht="25" customHeight="1">
      <x:c r="A84" s="26" t="str"/>
      <x:c r="B84" s="22" t="str">
        <x:f>IF(A84="","",COUNTIFS('VENTAS'!$C$5:$C$254,A84))</x:f>
      </x:c>
      <x:c r="C84" s="28" t="str">
        <x:f>IF(A84="","",SUMIFS('VENTAS'!$H$5:$H$254,'VENTAS'!$C$5:$C$254,A84,'VENTAS'!$F$5:$F$254,"BCV"))</x:f>
      </x:c>
      <x:c r="D84" s="28" t="str">
        <x:f>IF(A84="","",SUMIFS('VENTAS'!$H$5:$H$254,'VENTAS'!$C$5:$C$254,A84,'VENTAS'!$F$5:$F$254,"USDT"))</x:f>
      </x:c>
      <x:c r="E84" s="28" t="str">
        <x:f>IF(A84="","",SUMIFS('VENTAS'!$H$5:$H$254,'VENTAS'!$C$5:$C$254,A84,'VENTAS'!$F$5:$F$254,"Divisa"))</x:f>
      </x:c>
      <x:c r="F84" s="28" t="str">
        <x:f>IF(A84="","",SUMIFS('VENTAS'!$H$5:$H$254,'VENTAS'!$C$5:$C$254,A84,'VENTAS'!$F$5:$F$254,"Sin confirmar"))</x:f>
      </x:c>
      <x:c r="G84" s="28" t="str">
        <x:f>IF(A84="","",SUMIFS('VENTAS'!$H$5:$H$254,'VENTAS'!$C$5:$C$254,A84,'VENTAS'!$I$5:$I$254,"Moroso"))</x:f>
      </x:c>
      <x:c r="H84" s="22" t="str">
        <x:f>IF(A84="","",COUNTIFS('VENTAS'!$C$5:$C$254,A84,'VENTAS'!$I$5:$I$254,"Por conciliar"))</x:f>
      </x:c>
      <x:c r="I84" s="22" t="str">
        <x:f>IF(A84="","",IF(G84&gt;0,IF(H84&gt;0,"Moroso + revisar","Moroso"),IF(H84&gt;0,"Por conciliar",IF(SUM(C84:F84)&gt;0,"Deuda vigente","Sin saldo"))))</x:f>
      </x:c>
      <x:c r="J84" s="22" t="str">
        <x:f>IF(A84="","",IF(COUNTIFS($A$5:$A$154,A84)&gt;1,"Nombre duplicado","Correcto"))</x:f>
      </x:c>
    </x:row>
    <x:row r="85" ht="25" customHeight="1">
      <x:c r="A85" s="26" t="str"/>
      <x:c r="B85" s="22" t="str">
        <x:f>IF(A85="","",COUNTIFS('VENTAS'!$C$5:$C$254,A85))</x:f>
      </x:c>
      <x:c r="C85" s="28" t="str">
        <x:f>IF(A85="","",SUMIFS('VENTAS'!$H$5:$H$254,'VENTAS'!$C$5:$C$254,A85,'VENTAS'!$F$5:$F$254,"BCV"))</x:f>
      </x:c>
      <x:c r="D85" s="28" t="str">
        <x:f>IF(A85="","",SUMIFS('VENTAS'!$H$5:$H$254,'VENTAS'!$C$5:$C$254,A85,'VENTAS'!$F$5:$F$254,"USDT"))</x:f>
      </x:c>
      <x:c r="E85" s="28" t="str">
        <x:f>IF(A85="","",SUMIFS('VENTAS'!$H$5:$H$254,'VENTAS'!$C$5:$C$254,A85,'VENTAS'!$F$5:$F$254,"Divisa"))</x:f>
      </x:c>
      <x:c r="F85" s="28" t="str">
        <x:f>IF(A85="","",SUMIFS('VENTAS'!$H$5:$H$254,'VENTAS'!$C$5:$C$254,A85,'VENTAS'!$F$5:$F$254,"Sin confirmar"))</x:f>
      </x:c>
      <x:c r="G85" s="28" t="str">
        <x:f>IF(A85="","",SUMIFS('VENTAS'!$H$5:$H$254,'VENTAS'!$C$5:$C$254,A85,'VENTAS'!$I$5:$I$254,"Moroso"))</x:f>
      </x:c>
      <x:c r="H85" s="22" t="str">
        <x:f>IF(A85="","",COUNTIFS('VENTAS'!$C$5:$C$254,A85,'VENTAS'!$I$5:$I$254,"Por conciliar"))</x:f>
      </x:c>
      <x:c r="I85" s="22" t="str">
        <x:f>IF(A85="","",IF(G85&gt;0,IF(H85&gt;0,"Moroso + revisar","Moroso"),IF(H85&gt;0,"Por conciliar",IF(SUM(C85:F85)&gt;0,"Deuda vigente","Sin saldo"))))</x:f>
      </x:c>
      <x:c r="J85" s="22" t="str">
        <x:f>IF(A85="","",IF(COUNTIFS($A$5:$A$154,A85)&gt;1,"Nombre duplicado","Correcto"))</x:f>
      </x:c>
    </x:row>
    <x:row r="86" ht="25" customHeight="1">
      <x:c r="A86" s="26" t="str"/>
      <x:c r="B86" s="22" t="str">
        <x:f>IF(A86="","",COUNTIFS('VENTAS'!$C$5:$C$254,A86))</x:f>
      </x:c>
      <x:c r="C86" s="28" t="str">
        <x:f>IF(A86="","",SUMIFS('VENTAS'!$H$5:$H$254,'VENTAS'!$C$5:$C$254,A86,'VENTAS'!$F$5:$F$254,"BCV"))</x:f>
      </x:c>
      <x:c r="D86" s="28" t="str">
        <x:f>IF(A86="","",SUMIFS('VENTAS'!$H$5:$H$254,'VENTAS'!$C$5:$C$254,A86,'VENTAS'!$F$5:$F$254,"USDT"))</x:f>
      </x:c>
      <x:c r="E86" s="28" t="str">
        <x:f>IF(A86="","",SUMIFS('VENTAS'!$H$5:$H$254,'VENTAS'!$C$5:$C$254,A86,'VENTAS'!$F$5:$F$254,"Divisa"))</x:f>
      </x:c>
      <x:c r="F86" s="28" t="str">
        <x:f>IF(A86="","",SUMIFS('VENTAS'!$H$5:$H$254,'VENTAS'!$C$5:$C$254,A86,'VENTAS'!$F$5:$F$254,"Sin confirmar"))</x:f>
      </x:c>
      <x:c r="G86" s="28" t="str">
        <x:f>IF(A86="","",SUMIFS('VENTAS'!$H$5:$H$254,'VENTAS'!$C$5:$C$254,A86,'VENTAS'!$I$5:$I$254,"Moroso"))</x:f>
      </x:c>
      <x:c r="H86" s="22" t="str">
        <x:f>IF(A86="","",COUNTIFS('VENTAS'!$C$5:$C$254,A86,'VENTAS'!$I$5:$I$254,"Por conciliar"))</x:f>
      </x:c>
      <x:c r="I86" s="22" t="str">
        <x:f>IF(A86="","",IF(G86&gt;0,IF(H86&gt;0,"Moroso + revisar","Moroso"),IF(H86&gt;0,"Por conciliar",IF(SUM(C86:F86)&gt;0,"Deuda vigente","Sin saldo"))))</x:f>
      </x:c>
      <x:c r="J86" s="22" t="str">
        <x:f>IF(A86="","",IF(COUNTIFS($A$5:$A$154,A86)&gt;1,"Nombre duplicado","Correcto"))</x:f>
      </x:c>
    </x:row>
    <x:row r="87" ht="25" customHeight="1">
      <x:c r="A87" s="26" t="str"/>
      <x:c r="B87" s="22" t="str">
        <x:f>IF(A87="","",COUNTIFS('VENTAS'!$C$5:$C$254,A87))</x:f>
      </x:c>
      <x:c r="C87" s="28" t="str">
        <x:f>IF(A87="","",SUMIFS('VENTAS'!$H$5:$H$254,'VENTAS'!$C$5:$C$254,A87,'VENTAS'!$F$5:$F$254,"BCV"))</x:f>
      </x:c>
      <x:c r="D87" s="28" t="str">
        <x:f>IF(A87="","",SUMIFS('VENTAS'!$H$5:$H$254,'VENTAS'!$C$5:$C$254,A87,'VENTAS'!$F$5:$F$254,"USDT"))</x:f>
      </x:c>
      <x:c r="E87" s="28" t="str">
        <x:f>IF(A87="","",SUMIFS('VENTAS'!$H$5:$H$254,'VENTAS'!$C$5:$C$254,A87,'VENTAS'!$F$5:$F$254,"Divisa"))</x:f>
      </x:c>
      <x:c r="F87" s="28" t="str">
        <x:f>IF(A87="","",SUMIFS('VENTAS'!$H$5:$H$254,'VENTAS'!$C$5:$C$254,A87,'VENTAS'!$F$5:$F$254,"Sin confirmar"))</x:f>
      </x:c>
      <x:c r="G87" s="28" t="str">
        <x:f>IF(A87="","",SUMIFS('VENTAS'!$H$5:$H$254,'VENTAS'!$C$5:$C$254,A87,'VENTAS'!$I$5:$I$254,"Moroso"))</x:f>
      </x:c>
      <x:c r="H87" s="22" t="str">
        <x:f>IF(A87="","",COUNTIFS('VENTAS'!$C$5:$C$254,A87,'VENTAS'!$I$5:$I$254,"Por conciliar"))</x:f>
      </x:c>
      <x:c r="I87" s="22" t="str">
        <x:f>IF(A87="","",IF(G87&gt;0,IF(H87&gt;0,"Moroso + revisar","Moroso"),IF(H87&gt;0,"Por conciliar",IF(SUM(C87:F87)&gt;0,"Deuda vigente","Sin saldo"))))</x:f>
      </x:c>
      <x:c r="J87" s="22" t="str">
        <x:f>IF(A87="","",IF(COUNTIFS($A$5:$A$154,A87)&gt;1,"Nombre duplicado","Correcto"))</x:f>
      </x:c>
    </x:row>
    <x:row r="88" ht="25" customHeight="1">
      <x:c r="A88" s="26" t="str"/>
      <x:c r="B88" s="22" t="str">
        <x:f>IF(A88="","",COUNTIFS('VENTAS'!$C$5:$C$254,A88))</x:f>
      </x:c>
      <x:c r="C88" s="28" t="str">
        <x:f>IF(A88="","",SUMIFS('VENTAS'!$H$5:$H$254,'VENTAS'!$C$5:$C$254,A88,'VENTAS'!$F$5:$F$254,"BCV"))</x:f>
      </x:c>
      <x:c r="D88" s="28" t="str">
        <x:f>IF(A88="","",SUMIFS('VENTAS'!$H$5:$H$254,'VENTAS'!$C$5:$C$254,A88,'VENTAS'!$F$5:$F$254,"USDT"))</x:f>
      </x:c>
      <x:c r="E88" s="28" t="str">
        <x:f>IF(A88="","",SUMIFS('VENTAS'!$H$5:$H$254,'VENTAS'!$C$5:$C$254,A88,'VENTAS'!$F$5:$F$254,"Divisa"))</x:f>
      </x:c>
      <x:c r="F88" s="28" t="str">
        <x:f>IF(A88="","",SUMIFS('VENTAS'!$H$5:$H$254,'VENTAS'!$C$5:$C$254,A88,'VENTAS'!$F$5:$F$254,"Sin confirmar"))</x:f>
      </x:c>
      <x:c r="G88" s="28" t="str">
        <x:f>IF(A88="","",SUMIFS('VENTAS'!$H$5:$H$254,'VENTAS'!$C$5:$C$254,A88,'VENTAS'!$I$5:$I$254,"Moroso"))</x:f>
      </x:c>
      <x:c r="H88" s="22" t="str">
        <x:f>IF(A88="","",COUNTIFS('VENTAS'!$C$5:$C$254,A88,'VENTAS'!$I$5:$I$254,"Por conciliar"))</x:f>
      </x:c>
      <x:c r="I88" s="22" t="str">
        <x:f>IF(A88="","",IF(G88&gt;0,IF(H88&gt;0,"Moroso + revisar","Moroso"),IF(H88&gt;0,"Por conciliar",IF(SUM(C88:F88)&gt;0,"Deuda vigente","Sin saldo"))))</x:f>
      </x:c>
      <x:c r="J88" s="22" t="str">
        <x:f>IF(A88="","",IF(COUNTIFS($A$5:$A$154,A88)&gt;1,"Nombre duplicado","Correcto"))</x:f>
      </x:c>
    </x:row>
    <x:row r="89" ht="25" customHeight="1">
      <x:c r="A89" s="26" t="str"/>
      <x:c r="B89" s="22" t="str">
        <x:f>IF(A89="","",COUNTIFS('VENTAS'!$C$5:$C$254,A89))</x:f>
      </x:c>
      <x:c r="C89" s="28" t="str">
        <x:f>IF(A89="","",SUMIFS('VENTAS'!$H$5:$H$254,'VENTAS'!$C$5:$C$254,A89,'VENTAS'!$F$5:$F$254,"BCV"))</x:f>
      </x:c>
      <x:c r="D89" s="28" t="str">
        <x:f>IF(A89="","",SUMIFS('VENTAS'!$H$5:$H$254,'VENTAS'!$C$5:$C$254,A89,'VENTAS'!$F$5:$F$254,"USDT"))</x:f>
      </x:c>
      <x:c r="E89" s="28" t="str">
        <x:f>IF(A89="","",SUMIFS('VENTAS'!$H$5:$H$254,'VENTAS'!$C$5:$C$254,A89,'VENTAS'!$F$5:$F$254,"Divisa"))</x:f>
      </x:c>
      <x:c r="F89" s="28" t="str">
        <x:f>IF(A89="","",SUMIFS('VENTAS'!$H$5:$H$254,'VENTAS'!$C$5:$C$254,A89,'VENTAS'!$F$5:$F$254,"Sin confirmar"))</x:f>
      </x:c>
      <x:c r="G89" s="28" t="str">
        <x:f>IF(A89="","",SUMIFS('VENTAS'!$H$5:$H$254,'VENTAS'!$C$5:$C$254,A89,'VENTAS'!$I$5:$I$254,"Moroso"))</x:f>
      </x:c>
      <x:c r="H89" s="22" t="str">
        <x:f>IF(A89="","",COUNTIFS('VENTAS'!$C$5:$C$254,A89,'VENTAS'!$I$5:$I$254,"Por conciliar"))</x:f>
      </x:c>
      <x:c r="I89" s="22" t="str">
        <x:f>IF(A89="","",IF(G89&gt;0,IF(H89&gt;0,"Moroso + revisar","Moroso"),IF(H89&gt;0,"Por conciliar",IF(SUM(C89:F89)&gt;0,"Deuda vigente","Sin saldo"))))</x:f>
      </x:c>
      <x:c r="J89" s="22" t="str">
        <x:f>IF(A89="","",IF(COUNTIFS($A$5:$A$154,A89)&gt;1,"Nombre duplicado","Correcto"))</x:f>
      </x:c>
    </x:row>
    <x:row r="90" ht="25" customHeight="1">
      <x:c r="A90" s="26" t="str"/>
      <x:c r="B90" s="22" t="str">
        <x:f>IF(A90="","",COUNTIFS('VENTAS'!$C$5:$C$254,A90))</x:f>
      </x:c>
      <x:c r="C90" s="28" t="str">
        <x:f>IF(A90="","",SUMIFS('VENTAS'!$H$5:$H$254,'VENTAS'!$C$5:$C$254,A90,'VENTAS'!$F$5:$F$254,"BCV"))</x:f>
      </x:c>
      <x:c r="D90" s="28" t="str">
        <x:f>IF(A90="","",SUMIFS('VENTAS'!$H$5:$H$254,'VENTAS'!$C$5:$C$254,A90,'VENTAS'!$F$5:$F$254,"USDT"))</x:f>
      </x:c>
      <x:c r="E90" s="28" t="str">
        <x:f>IF(A90="","",SUMIFS('VENTAS'!$H$5:$H$254,'VENTAS'!$C$5:$C$254,A90,'VENTAS'!$F$5:$F$254,"Divisa"))</x:f>
      </x:c>
      <x:c r="F90" s="28" t="str">
        <x:f>IF(A90="","",SUMIFS('VENTAS'!$H$5:$H$254,'VENTAS'!$C$5:$C$254,A90,'VENTAS'!$F$5:$F$254,"Sin confirmar"))</x:f>
      </x:c>
      <x:c r="G90" s="28" t="str">
        <x:f>IF(A90="","",SUMIFS('VENTAS'!$H$5:$H$254,'VENTAS'!$C$5:$C$254,A90,'VENTAS'!$I$5:$I$254,"Moroso"))</x:f>
      </x:c>
      <x:c r="H90" s="22" t="str">
        <x:f>IF(A90="","",COUNTIFS('VENTAS'!$C$5:$C$254,A90,'VENTAS'!$I$5:$I$254,"Por conciliar"))</x:f>
      </x:c>
      <x:c r="I90" s="22" t="str">
        <x:f>IF(A90="","",IF(G90&gt;0,IF(H90&gt;0,"Moroso + revisar","Moroso"),IF(H90&gt;0,"Por conciliar",IF(SUM(C90:F90)&gt;0,"Deuda vigente","Sin saldo"))))</x:f>
      </x:c>
      <x:c r="J90" s="22" t="str">
        <x:f>IF(A90="","",IF(COUNTIFS($A$5:$A$154,A90)&gt;1,"Nombre duplicado","Correcto"))</x:f>
      </x:c>
    </x:row>
    <x:row r="91" ht="25" customHeight="1">
      <x:c r="A91" s="26" t="str"/>
      <x:c r="B91" s="22" t="str">
        <x:f>IF(A91="","",COUNTIFS('VENTAS'!$C$5:$C$254,A91))</x:f>
      </x:c>
      <x:c r="C91" s="28" t="str">
        <x:f>IF(A91="","",SUMIFS('VENTAS'!$H$5:$H$254,'VENTAS'!$C$5:$C$254,A91,'VENTAS'!$F$5:$F$254,"BCV"))</x:f>
      </x:c>
      <x:c r="D91" s="28" t="str">
        <x:f>IF(A91="","",SUMIFS('VENTAS'!$H$5:$H$254,'VENTAS'!$C$5:$C$254,A91,'VENTAS'!$F$5:$F$254,"USDT"))</x:f>
      </x:c>
      <x:c r="E91" s="28" t="str">
        <x:f>IF(A91="","",SUMIFS('VENTAS'!$H$5:$H$254,'VENTAS'!$C$5:$C$254,A91,'VENTAS'!$F$5:$F$254,"Divisa"))</x:f>
      </x:c>
      <x:c r="F91" s="28" t="str">
        <x:f>IF(A91="","",SUMIFS('VENTAS'!$H$5:$H$254,'VENTAS'!$C$5:$C$254,A91,'VENTAS'!$F$5:$F$254,"Sin confirmar"))</x:f>
      </x:c>
      <x:c r="G91" s="28" t="str">
        <x:f>IF(A91="","",SUMIFS('VENTAS'!$H$5:$H$254,'VENTAS'!$C$5:$C$254,A91,'VENTAS'!$I$5:$I$254,"Moroso"))</x:f>
      </x:c>
      <x:c r="H91" s="22" t="str">
        <x:f>IF(A91="","",COUNTIFS('VENTAS'!$C$5:$C$254,A91,'VENTAS'!$I$5:$I$254,"Por conciliar"))</x:f>
      </x:c>
      <x:c r="I91" s="22" t="str">
        <x:f>IF(A91="","",IF(G91&gt;0,IF(H91&gt;0,"Moroso + revisar","Moroso"),IF(H91&gt;0,"Por conciliar",IF(SUM(C91:F91)&gt;0,"Deuda vigente","Sin saldo"))))</x:f>
      </x:c>
      <x:c r="J91" s="22" t="str">
        <x:f>IF(A91="","",IF(COUNTIFS($A$5:$A$154,A91)&gt;1,"Nombre duplicado","Correcto"))</x:f>
      </x:c>
    </x:row>
    <x:row r="92" ht="25" customHeight="1">
      <x:c r="A92" s="26" t="str"/>
      <x:c r="B92" s="22" t="str">
        <x:f>IF(A92="","",COUNTIFS('VENTAS'!$C$5:$C$254,A92))</x:f>
      </x:c>
      <x:c r="C92" s="28" t="str">
        <x:f>IF(A92="","",SUMIFS('VENTAS'!$H$5:$H$254,'VENTAS'!$C$5:$C$254,A92,'VENTAS'!$F$5:$F$254,"BCV"))</x:f>
      </x:c>
      <x:c r="D92" s="28" t="str">
        <x:f>IF(A92="","",SUMIFS('VENTAS'!$H$5:$H$254,'VENTAS'!$C$5:$C$254,A92,'VENTAS'!$F$5:$F$254,"USDT"))</x:f>
      </x:c>
      <x:c r="E92" s="28" t="str">
        <x:f>IF(A92="","",SUMIFS('VENTAS'!$H$5:$H$254,'VENTAS'!$C$5:$C$254,A92,'VENTAS'!$F$5:$F$254,"Divisa"))</x:f>
      </x:c>
      <x:c r="F92" s="28" t="str">
        <x:f>IF(A92="","",SUMIFS('VENTAS'!$H$5:$H$254,'VENTAS'!$C$5:$C$254,A92,'VENTAS'!$F$5:$F$254,"Sin confirmar"))</x:f>
      </x:c>
      <x:c r="G92" s="28" t="str">
        <x:f>IF(A92="","",SUMIFS('VENTAS'!$H$5:$H$254,'VENTAS'!$C$5:$C$254,A92,'VENTAS'!$I$5:$I$254,"Moroso"))</x:f>
      </x:c>
      <x:c r="H92" s="22" t="str">
        <x:f>IF(A92="","",COUNTIFS('VENTAS'!$C$5:$C$254,A92,'VENTAS'!$I$5:$I$254,"Por conciliar"))</x:f>
      </x:c>
      <x:c r="I92" s="22" t="str">
        <x:f>IF(A92="","",IF(G92&gt;0,IF(H92&gt;0,"Moroso + revisar","Moroso"),IF(H92&gt;0,"Por conciliar",IF(SUM(C92:F92)&gt;0,"Deuda vigente","Sin saldo"))))</x:f>
      </x:c>
      <x:c r="J92" s="22" t="str">
        <x:f>IF(A92="","",IF(COUNTIFS($A$5:$A$154,A92)&gt;1,"Nombre duplicado","Correcto"))</x:f>
      </x:c>
    </x:row>
    <x:row r="93" ht="25" customHeight="1">
      <x:c r="A93" s="26" t="str"/>
      <x:c r="B93" s="22" t="str">
        <x:f>IF(A93="","",COUNTIFS('VENTAS'!$C$5:$C$254,A93))</x:f>
      </x:c>
      <x:c r="C93" s="28" t="str">
        <x:f>IF(A93="","",SUMIFS('VENTAS'!$H$5:$H$254,'VENTAS'!$C$5:$C$254,A93,'VENTAS'!$F$5:$F$254,"BCV"))</x:f>
      </x:c>
      <x:c r="D93" s="28" t="str">
        <x:f>IF(A93="","",SUMIFS('VENTAS'!$H$5:$H$254,'VENTAS'!$C$5:$C$254,A93,'VENTAS'!$F$5:$F$254,"USDT"))</x:f>
      </x:c>
      <x:c r="E93" s="28" t="str">
        <x:f>IF(A93="","",SUMIFS('VENTAS'!$H$5:$H$254,'VENTAS'!$C$5:$C$254,A93,'VENTAS'!$F$5:$F$254,"Divisa"))</x:f>
      </x:c>
      <x:c r="F93" s="28" t="str">
        <x:f>IF(A93="","",SUMIFS('VENTAS'!$H$5:$H$254,'VENTAS'!$C$5:$C$254,A93,'VENTAS'!$F$5:$F$254,"Sin confirmar"))</x:f>
      </x:c>
      <x:c r="G93" s="28" t="str">
        <x:f>IF(A93="","",SUMIFS('VENTAS'!$H$5:$H$254,'VENTAS'!$C$5:$C$254,A93,'VENTAS'!$I$5:$I$254,"Moroso"))</x:f>
      </x:c>
      <x:c r="H93" s="22" t="str">
        <x:f>IF(A93="","",COUNTIFS('VENTAS'!$C$5:$C$254,A93,'VENTAS'!$I$5:$I$254,"Por conciliar"))</x:f>
      </x:c>
      <x:c r="I93" s="22" t="str">
        <x:f>IF(A93="","",IF(G93&gt;0,IF(H93&gt;0,"Moroso + revisar","Moroso"),IF(H93&gt;0,"Por conciliar",IF(SUM(C93:F93)&gt;0,"Deuda vigente","Sin saldo"))))</x:f>
      </x:c>
      <x:c r="J93" s="22" t="str">
        <x:f>IF(A93="","",IF(COUNTIFS($A$5:$A$154,A93)&gt;1,"Nombre duplicado","Correcto"))</x:f>
      </x:c>
    </x:row>
    <x:row r="94" ht="25" customHeight="1">
      <x:c r="A94" s="26" t="str"/>
      <x:c r="B94" s="22" t="str">
        <x:f>IF(A94="","",COUNTIFS('VENTAS'!$C$5:$C$254,A94))</x:f>
      </x:c>
      <x:c r="C94" s="28" t="str">
        <x:f>IF(A94="","",SUMIFS('VENTAS'!$H$5:$H$254,'VENTAS'!$C$5:$C$254,A94,'VENTAS'!$F$5:$F$254,"BCV"))</x:f>
      </x:c>
      <x:c r="D94" s="28" t="str">
        <x:f>IF(A94="","",SUMIFS('VENTAS'!$H$5:$H$254,'VENTAS'!$C$5:$C$254,A94,'VENTAS'!$F$5:$F$254,"USDT"))</x:f>
      </x:c>
      <x:c r="E94" s="28" t="str">
        <x:f>IF(A94="","",SUMIFS('VENTAS'!$H$5:$H$254,'VENTAS'!$C$5:$C$254,A94,'VENTAS'!$F$5:$F$254,"Divisa"))</x:f>
      </x:c>
      <x:c r="F94" s="28" t="str">
        <x:f>IF(A94="","",SUMIFS('VENTAS'!$H$5:$H$254,'VENTAS'!$C$5:$C$254,A94,'VENTAS'!$F$5:$F$254,"Sin confirmar"))</x:f>
      </x:c>
      <x:c r="G94" s="28" t="str">
        <x:f>IF(A94="","",SUMIFS('VENTAS'!$H$5:$H$254,'VENTAS'!$C$5:$C$254,A94,'VENTAS'!$I$5:$I$254,"Moroso"))</x:f>
      </x:c>
      <x:c r="H94" s="22" t="str">
        <x:f>IF(A94="","",COUNTIFS('VENTAS'!$C$5:$C$254,A94,'VENTAS'!$I$5:$I$254,"Por conciliar"))</x:f>
      </x:c>
      <x:c r="I94" s="22" t="str">
        <x:f>IF(A94="","",IF(G94&gt;0,IF(H94&gt;0,"Moroso + revisar","Moroso"),IF(H94&gt;0,"Por conciliar",IF(SUM(C94:F94)&gt;0,"Deuda vigente","Sin saldo"))))</x:f>
      </x:c>
      <x:c r="J94" s="22" t="str">
        <x:f>IF(A94="","",IF(COUNTIFS($A$5:$A$154,A94)&gt;1,"Nombre duplicado","Correcto"))</x:f>
      </x:c>
    </x:row>
    <x:row r="95" ht="25" customHeight="1">
      <x:c r="A95" s="26" t="str"/>
      <x:c r="B95" s="22" t="str">
        <x:f>IF(A95="","",COUNTIFS('VENTAS'!$C$5:$C$254,A95))</x:f>
      </x:c>
      <x:c r="C95" s="28" t="str">
        <x:f>IF(A95="","",SUMIFS('VENTAS'!$H$5:$H$254,'VENTAS'!$C$5:$C$254,A95,'VENTAS'!$F$5:$F$254,"BCV"))</x:f>
      </x:c>
      <x:c r="D95" s="28" t="str">
        <x:f>IF(A95="","",SUMIFS('VENTAS'!$H$5:$H$254,'VENTAS'!$C$5:$C$254,A95,'VENTAS'!$F$5:$F$254,"USDT"))</x:f>
      </x:c>
      <x:c r="E95" s="28" t="str">
        <x:f>IF(A95="","",SUMIFS('VENTAS'!$H$5:$H$254,'VENTAS'!$C$5:$C$254,A95,'VENTAS'!$F$5:$F$254,"Divisa"))</x:f>
      </x:c>
      <x:c r="F95" s="28" t="str">
        <x:f>IF(A95="","",SUMIFS('VENTAS'!$H$5:$H$254,'VENTAS'!$C$5:$C$254,A95,'VENTAS'!$F$5:$F$254,"Sin confirmar"))</x:f>
      </x:c>
      <x:c r="G95" s="28" t="str">
        <x:f>IF(A95="","",SUMIFS('VENTAS'!$H$5:$H$254,'VENTAS'!$C$5:$C$254,A95,'VENTAS'!$I$5:$I$254,"Moroso"))</x:f>
      </x:c>
      <x:c r="H95" s="22" t="str">
        <x:f>IF(A95="","",COUNTIFS('VENTAS'!$C$5:$C$254,A95,'VENTAS'!$I$5:$I$254,"Por conciliar"))</x:f>
      </x:c>
      <x:c r="I95" s="22" t="str">
        <x:f>IF(A95="","",IF(G95&gt;0,IF(H95&gt;0,"Moroso + revisar","Moroso"),IF(H95&gt;0,"Por conciliar",IF(SUM(C95:F95)&gt;0,"Deuda vigente","Sin saldo"))))</x:f>
      </x:c>
      <x:c r="J95" s="22" t="str">
        <x:f>IF(A95="","",IF(COUNTIFS($A$5:$A$154,A95)&gt;1,"Nombre duplicado","Correcto"))</x:f>
      </x:c>
    </x:row>
    <x:row r="96" ht="25" customHeight="1">
      <x:c r="A96" s="26" t="str"/>
      <x:c r="B96" s="22" t="str">
        <x:f>IF(A96="","",COUNTIFS('VENTAS'!$C$5:$C$254,A96))</x:f>
      </x:c>
      <x:c r="C96" s="28" t="str">
        <x:f>IF(A96="","",SUMIFS('VENTAS'!$H$5:$H$254,'VENTAS'!$C$5:$C$254,A96,'VENTAS'!$F$5:$F$254,"BCV"))</x:f>
      </x:c>
      <x:c r="D96" s="28" t="str">
        <x:f>IF(A96="","",SUMIFS('VENTAS'!$H$5:$H$254,'VENTAS'!$C$5:$C$254,A96,'VENTAS'!$F$5:$F$254,"USDT"))</x:f>
      </x:c>
      <x:c r="E96" s="28" t="str">
        <x:f>IF(A96="","",SUMIFS('VENTAS'!$H$5:$H$254,'VENTAS'!$C$5:$C$254,A96,'VENTAS'!$F$5:$F$254,"Divisa"))</x:f>
      </x:c>
      <x:c r="F96" s="28" t="str">
        <x:f>IF(A96="","",SUMIFS('VENTAS'!$H$5:$H$254,'VENTAS'!$C$5:$C$254,A96,'VENTAS'!$F$5:$F$254,"Sin confirmar"))</x:f>
      </x:c>
      <x:c r="G96" s="28" t="str">
        <x:f>IF(A96="","",SUMIFS('VENTAS'!$H$5:$H$254,'VENTAS'!$C$5:$C$254,A96,'VENTAS'!$I$5:$I$254,"Moroso"))</x:f>
      </x:c>
      <x:c r="H96" s="22" t="str">
        <x:f>IF(A96="","",COUNTIFS('VENTAS'!$C$5:$C$254,A96,'VENTAS'!$I$5:$I$254,"Por conciliar"))</x:f>
      </x:c>
      <x:c r="I96" s="22" t="str">
        <x:f>IF(A96="","",IF(G96&gt;0,IF(H96&gt;0,"Moroso + revisar","Moroso"),IF(H96&gt;0,"Por conciliar",IF(SUM(C96:F96)&gt;0,"Deuda vigente","Sin saldo"))))</x:f>
      </x:c>
      <x:c r="J96" s="22" t="str">
        <x:f>IF(A96="","",IF(COUNTIFS($A$5:$A$154,A96)&gt;1,"Nombre duplicado","Correcto"))</x:f>
      </x:c>
    </x:row>
    <x:row r="97" ht="25" customHeight="1">
      <x:c r="A97" s="26" t="str"/>
      <x:c r="B97" s="22" t="str">
        <x:f>IF(A97="","",COUNTIFS('VENTAS'!$C$5:$C$254,A97))</x:f>
      </x:c>
      <x:c r="C97" s="28" t="str">
        <x:f>IF(A97="","",SUMIFS('VENTAS'!$H$5:$H$254,'VENTAS'!$C$5:$C$254,A97,'VENTAS'!$F$5:$F$254,"BCV"))</x:f>
      </x:c>
      <x:c r="D97" s="28" t="str">
        <x:f>IF(A97="","",SUMIFS('VENTAS'!$H$5:$H$254,'VENTAS'!$C$5:$C$254,A97,'VENTAS'!$F$5:$F$254,"USDT"))</x:f>
      </x:c>
      <x:c r="E97" s="28" t="str">
        <x:f>IF(A97="","",SUMIFS('VENTAS'!$H$5:$H$254,'VENTAS'!$C$5:$C$254,A97,'VENTAS'!$F$5:$F$254,"Divisa"))</x:f>
      </x:c>
      <x:c r="F97" s="28" t="str">
        <x:f>IF(A97="","",SUMIFS('VENTAS'!$H$5:$H$254,'VENTAS'!$C$5:$C$254,A97,'VENTAS'!$F$5:$F$254,"Sin confirmar"))</x:f>
      </x:c>
      <x:c r="G97" s="28" t="str">
        <x:f>IF(A97="","",SUMIFS('VENTAS'!$H$5:$H$254,'VENTAS'!$C$5:$C$254,A97,'VENTAS'!$I$5:$I$254,"Moroso"))</x:f>
      </x:c>
      <x:c r="H97" s="22" t="str">
        <x:f>IF(A97="","",COUNTIFS('VENTAS'!$C$5:$C$254,A97,'VENTAS'!$I$5:$I$254,"Por conciliar"))</x:f>
      </x:c>
      <x:c r="I97" s="22" t="str">
        <x:f>IF(A97="","",IF(G97&gt;0,IF(H97&gt;0,"Moroso + revisar","Moroso"),IF(H97&gt;0,"Por conciliar",IF(SUM(C97:F97)&gt;0,"Deuda vigente","Sin saldo"))))</x:f>
      </x:c>
      <x:c r="J97" s="22" t="str">
        <x:f>IF(A97="","",IF(COUNTIFS($A$5:$A$154,A97)&gt;1,"Nombre duplicado","Correcto"))</x:f>
      </x:c>
    </x:row>
    <x:row r="98" ht="25" customHeight="1">
      <x:c r="A98" s="26" t="str"/>
      <x:c r="B98" s="22" t="str">
        <x:f>IF(A98="","",COUNTIFS('VENTAS'!$C$5:$C$254,A98))</x:f>
      </x:c>
      <x:c r="C98" s="28" t="str">
        <x:f>IF(A98="","",SUMIFS('VENTAS'!$H$5:$H$254,'VENTAS'!$C$5:$C$254,A98,'VENTAS'!$F$5:$F$254,"BCV"))</x:f>
      </x:c>
      <x:c r="D98" s="28" t="str">
        <x:f>IF(A98="","",SUMIFS('VENTAS'!$H$5:$H$254,'VENTAS'!$C$5:$C$254,A98,'VENTAS'!$F$5:$F$254,"USDT"))</x:f>
      </x:c>
      <x:c r="E98" s="28" t="str">
        <x:f>IF(A98="","",SUMIFS('VENTAS'!$H$5:$H$254,'VENTAS'!$C$5:$C$254,A98,'VENTAS'!$F$5:$F$254,"Divisa"))</x:f>
      </x:c>
      <x:c r="F98" s="28" t="str">
        <x:f>IF(A98="","",SUMIFS('VENTAS'!$H$5:$H$254,'VENTAS'!$C$5:$C$254,A98,'VENTAS'!$F$5:$F$254,"Sin confirmar"))</x:f>
      </x:c>
      <x:c r="G98" s="28" t="str">
        <x:f>IF(A98="","",SUMIFS('VENTAS'!$H$5:$H$254,'VENTAS'!$C$5:$C$254,A98,'VENTAS'!$I$5:$I$254,"Moroso"))</x:f>
      </x:c>
      <x:c r="H98" s="22" t="str">
        <x:f>IF(A98="","",COUNTIFS('VENTAS'!$C$5:$C$254,A98,'VENTAS'!$I$5:$I$254,"Por conciliar"))</x:f>
      </x:c>
      <x:c r="I98" s="22" t="str">
        <x:f>IF(A98="","",IF(G98&gt;0,IF(H98&gt;0,"Moroso + revisar","Moroso"),IF(H98&gt;0,"Por conciliar",IF(SUM(C98:F98)&gt;0,"Deuda vigente","Sin saldo"))))</x:f>
      </x:c>
      <x:c r="J98" s="22" t="str">
        <x:f>IF(A98="","",IF(COUNTIFS($A$5:$A$154,A98)&gt;1,"Nombre duplicado","Correcto"))</x:f>
      </x:c>
    </x:row>
    <x:row r="99" ht="25" customHeight="1">
      <x:c r="A99" s="26" t="str"/>
      <x:c r="B99" s="22" t="str">
        <x:f>IF(A99="","",COUNTIFS('VENTAS'!$C$5:$C$254,A99))</x:f>
      </x:c>
      <x:c r="C99" s="28" t="str">
        <x:f>IF(A99="","",SUMIFS('VENTAS'!$H$5:$H$254,'VENTAS'!$C$5:$C$254,A99,'VENTAS'!$F$5:$F$254,"BCV"))</x:f>
      </x:c>
      <x:c r="D99" s="28" t="str">
        <x:f>IF(A99="","",SUMIFS('VENTAS'!$H$5:$H$254,'VENTAS'!$C$5:$C$254,A99,'VENTAS'!$F$5:$F$254,"USDT"))</x:f>
      </x:c>
      <x:c r="E99" s="28" t="str">
        <x:f>IF(A99="","",SUMIFS('VENTAS'!$H$5:$H$254,'VENTAS'!$C$5:$C$254,A99,'VENTAS'!$F$5:$F$254,"Divisa"))</x:f>
      </x:c>
      <x:c r="F99" s="28" t="str">
        <x:f>IF(A99="","",SUMIFS('VENTAS'!$H$5:$H$254,'VENTAS'!$C$5:$C$254,A99,'VENTAS'!$F$5:$F$254,"Sin confirmar"))</x:f>
      </x:c>
      <x:c r="G99" s="28" t="str">
        <x:f>IF(A99="","",SUMIFS('VENTAS'!$H$5:$H$254,'VENTAS'!$C$5:$C$254,A99,'VENTAS'!$I$5:$I$254,"Moroso"))</x:f>
      </x:c>
      <x:c r="H99" s="22" t="str">
        <x:f>IF(A99="","",COUNTIFS('VENTAS'!$C$5:$C$254,A99,'VENTAS'!$I$5:$I$254,"Por conciliar"))</x:f>
      </x:c>
      <x:c r="I99" s="22" t="str">
        <x:f>IF(A99="","",IF(G99&gt;0,IF(H99&gt;0,"Moroso + revisar","Moroso"),IF(H99&gt;0,"Por conciliar",IF(SUM(C99:F99)&gt;0,"Deuda vigente","Sin saldo"))))</x:f>
      </x:c>
      <x:c r="J99" s="22" t="str">
        <x:f>IF(A99="","",IF(COUNTIFS($A$5:$A$154,A99)&gt;1,"Nombre duplicado","Correcto"))</x:f>
      </x:c>
    </x:row>
    <x:row r="100" ht="25" customHeight="1">
      <x:c r="A100" s="26" t="str"/>
      <x:c r="B100" s="22" t="str">
        <x:f>IF(A100="","",COUNTIFS('VENTAS'!$C$5:$C$254,A100))</x:f>
      </x:c>
      <x:c r="C100" s="28" t="str">
        <x:f>IF(A100="","",SUMIFS('VENTAS'!$H$5:$H$254,'VENTAS'!$C$5:$C$254,A100,'VENTAS'!$F$5:$F$254,"BCV"))</x:f>
      </x:c>
      <x:c r="D100" s="28" t="str">
        <x:f>IF(A100="","",SUMIFS('VENTAS'!$H$5:$H$254,'VENTAS'!$C$5:$C$254,A100,'VENTAS'!$F$5:$F$254,"USDT"))</x:f>
      </x:c>
      <x:c r="E100" s="28" t="str">
        <x:f>IF(A100="","",SUMIFS('VENTAS'!$H$5:$H$254,'VENTAS'!$C$5:$C$254,A100,'VENTAS'!$F$5:$F$254,"Divisa"))</x:f>
      </x:c>
      <x:c r="F100" s="28" t="str">
        <x:f>IF(A100="","",SUMIFS('VENTAS'!$H$5:$H$254,'VENTAS'!$C$5:$C$254,A100,'VENTAS'!$F$5:$F$254,"Sin confirmar"))</x:f>
      </x:c>
      <x:c r="G100" s="28" t="str">
        <x:f>IF(A100="","",SUMIFS('VENTAS'!$H$5:$H$254,'VENTAS'!$C$5:$C$254,A100,'VENTAS'!$I$5:$I$254,"Moroso"))</x:f>
      </x:c>
      <x:c r="H100" s="22" t="str">
        <x:f>IF(A100="","",COUNTIFS('VENTAS'!$C$5:$C$254,A100,'VENTAS'!$I$5:$I$254,"Por conciliar"))</x:f>
      </x:c>
      <x:c r="I100" s="22" t="str">
        <x:f>IF(A100="","",IF(G100&gt;0,IF(H100&gt;0,"Moroso + revisar","Moroso"),IF(H100&gt;0,"Por conciliar",IF(SUM(C100:F100)&gt;0,"Deuda vigente","Sin saldo"))))</x:f>
      </x:c>
      <x:c r="J100" s="22" t="str">
        <x:f>IF(A100="","",IF(COUNTIFS($A$5:$A$154,A100)&gt;1,"Nombre duplicado","Correcto"))</x:f>
      </x:c>
    </x:row>
    <x:row r="101" ht="25" customHeight="1">
      <x:c r="A101" s="26" t="str"/>
      <x:c r="B101" s="22" t="str">
        <x:f>IF(A101="","",COUNTIFS('VENTAS'!$C$5:$C$254,A101))</x:f>
      </x:c>
      <x:c r="C101" s="28" t="str">
        <x:f>IF(A101="","",SUMIFS('VENTAS'!$H$5:$H$254,'VENTAS'!$C$5:$C$254,A101,'VENTAS'!$F$5:$F$254,"BCV"))</x:f>
      </x:c>
      <x:c r="D101" s="28" t="str">
        <x:f>IF(A101="","",SUMIFS('VENTAS'!$H$5:$H$254,'VENTAS'!$C$5:$C$254,A101,'VENTAS'!$F$5:$F$254,"USDT"))</x:f>
      </x:c>
      <x:c r="E101" s="28" t="str">
        <x:f>IF(A101="","",SUMIFS('VENTAS'!$H$5:$H$254,'VENTAS'!$C$5:$C$254,A101,'VENTAS'!$F$5:$F$254,"Divisa"))</x:f>
      </x:c>
      <x:c r="F101" s="28" t="str">
        <x:f>IF(A101="","",SUMIFS('VENTAS'!$H$5:$H$254,'VENTAS'!$C$5:$C$254,A101,'VENTAS'!$F$5:$F$254,"Sin confirmar"))</x:f>
      </x:c>
      <x:c r="G101" s="28" t="str">
        <x:f>IF(A101="","",SUMIFS('VENTAS'!$H$5:$H$254,'VENTAS'!$C$5:$C$254,A101,'VENTAS'!$I$5:$I$254,"Moroso"))</x:f>
      </x:c>
      <x:c r="H101" s="22" t="str">
        <x:f>IF(A101="","",COUNTIFS('VENTAS'!$C$5:$C$254,A101,'VENTAS'!$I$5:$I$254,"Por conciliar"))</x:f>
      </x:c>
      <x:c r="I101" s="22" t="str">
        <x:f>IF(A101="","",IF(G101&gt;0,IF(H101&gt;0,"Moroso + revisar","Moroso"),IF(H101&gt;0,"Por conciliar",IF(SUM(C101:F101)&gt;0,"Deuda vigente","Sin saldo"))))</x:f>
      </x:c>
      <x:c r="J101" s="22" t="str">
        <x:f>IF(A101="","",IF(COUNTIFS($A$5:$A$154,A101)&gt;1,"Nombre duplicado","Correcto"))</x:f>
      </x:c>
    </x:row>
    <x:row r="102" ht="25" customHeight="1">
      <x:c r="A102" s="26" t="str"/>
      <x:c r="B102" s="22" t="str">
        <x:f>IF(A102="","",COUNTIFS('VENTAS'!$C$5:$C$254,A102))</x:f>
      </x:c>
      <x:c r="C102" s="28" t="str">
        <x:f>IF(A102="","",SUMIFS('VENTAS'!$H$5:$H$254,'VENTAS'!$C$5:$C$254,A102,'VENTAS'!$F$5:$F$254,"BCV"))</x:f>
      </x:c>
      <x:c r="D102" s="28" t="str">
        <x:f>IF(A102="","",SUMIFS('VENTAS'!$H$5:$H$254,'VENTAS'!$C$5:$C$254,A102,'VENTAS'!$F$5:$F$254,"USDT"))</x:f>
      </x:c>
      <x:c r="E102" s="28" t="str">
        <x:f>IF(A102="","",SUMIFS('VENTAS'!$H$5:$H$254,'VENTAS'!$C$5:$C$254,A102,'VENTAS'!$F$5:$F$254,"Divisa"))</x:f>
      </x:c>
      <x:c r="F102" s="28" t="str">
        <x:f>IF(A102="","",SUMIFS('VENTAS'!$H$5:$H$254,'VENTAS'!$C$5:$C$254,A102,'VENTAS'!$F$5:$F$254,"Sin confirmar"))</x:f>
      </x:c>
      <x:c r="G102" s="28" t="str">
        <x:f>IF(A102="","",SUMIFS('VENTAS'!$H$5:$H$254,'VENTAS'!$C$5:$C$254,A102,'VENTAS'!$I$5:$I$254,"Moroso"))</x:f>
      </x:c>
      <x:c r="H102" s="22" t="str">
        <x:f>IF(A102="","",COUNTIFS('VENTAS'!$C$5:$C$254,A102,'VENTAS'!$I$5:$I$254,"Por conciliar"))</x:f>
      </x:c>
      <x:c r="I102" s="22" t="str">
        <x:f>IF(A102="","",IF(G102&gt;0,IF(H102&gt;0,"Moroso + revisar","Moroso"),IF(H102&gt;0,"Por conciliar",IF(SUM(C102:F102)&gt;0,"Deuda vigente","Sin saldo"))))</x:f>
      </x:c>
      <x:c r="J102" s="22" t="str">
        <x:f>IF(A102="","",IF(COUNTIFS($A$5:$A$154,A102)&gt;1,"Nombre duplicado","Correcto"))</x:f>
      </x:c>
    </x:row>
    <x:row r="103" ht="25" customHeight="1">
      <x:c r="A103" s="26" t="str"/>
      <x:c r="B103" s="22" t="str">
        <x:f>IF(A103="","",COUNTIFS('VENTAS'!$C$5:$C$254,A103))</x:f>
      </x:c>
      <x:c r="C103" s="28" t="str">
        <x:f>IF(A103="","",SUMIFS('VENTAS'!$H$5:$H$254,'VENTAS'!$C$5:$C$254,A103,'VENTAS'!$F$5:$F$254,"BCV"))</x:f>
      </x:c>
      <x:c r="D103" s="28" t="str">
        <x:f>IF(A103="","",SUMIFS('VENTAS'!$H$5:$H$254,'VENTAS'!$C$5:$C$254,A103,'VENTAS'!$F$5:$F$254,"USDT"))</x:f>
      </x:c>
      <x:c r="E103" s="28" t="str">
        <x:f>IF(A103="","",SUMIFS('VENTAS'!$H$5:$H$254,'VENTAS'!$C$5:$C$254,A103,'VENTAS'!$F$5:$F$254,"Divisa"))</x:f>
      </x:c>
      <x:c r="F103" s="28" t="str">
        <x:f>IF(A103="","",SUMIFS('VENTAS'!$H$5:$H$254,'VENTAS'!$C$5:$C$254,A103,'VENTAS'!$F$5:$F$254,"Sin confirmar"))</x:f>
      </x:c>
      <x:c r="G103" s="28" t="str">
        <x:f>IF(A103="","",SUMIFS('VENTAS'!$H$5:$H$254,'VENTAS'!$C$5:$C$254,A103,'VENTAS'!$I$5:$I$254,"Moroso"))</x:f>
      </x:c>
      <x:c r="H103" s="22" t="str">
        <x:f>IF(A103="","",COUNTIFS('VENTAS'!$C$5:$C$254,A103,'VENTAS'!$I$5:$I$254,"Por conciliar"))</x:f>
      </x:c>
      <x:c r="I103" s="22" t="str">
        <x:f>IF(A103="","",IF(G103&gt;0,IF(H103&gt;0,"Moroso + revisar","Moroso"),IF(H103&gt;0,"Por conciliar",IF(SUM(C103:F103)&gt;0,"Deuda vigente","Sin saldo"))))</x:f>
      </x:c>
      <x:c r="J103" s="22" t="str">
        <x:f>IF(A103="","",IF(COUNTIFS($A$5:$A$154,A103)&gt;1,"Nombre duplicado","Correcto"))</x:f>
      </x:c>
    </x:row>
    <x:row r="104" ht="25" customHeight="1">
      <x:c r="A104" s="26" t="str"/>
      <x:c r="B104" s="22" t="str">
        <x:f>IF(A104="","",COUNTIFS('VENTAS'!$C$5:$C$254,A104))</x:f>
      </x:c>
      <x:c r="C104" s="28" t="str">
        <x:f>IF(A104="","",SUMIFS('VENTAS'!$H$5:$H$254,'VENTAS'!$C$5:$C$254,A104,'VENTAS'!$F$5:$F$254,"BCV"))</x:f>
      </x:c>
      <x:c r="D104" s="28" t="str">
        <x:f>IF(A104="","",SUMIFS('VENTAS'!$H$5:$H$254,'VENTAS'!$C$5:$C$254,A104,'VENTAS'!$F$5:$F$254,"USDT"))</x:f>
      </x:c>
      <x:c r="E104" s="28" t="str">
        <x:f>IF(A104="","",SUMIFS('VENTAS'!$H$5:$H$254,'VENTAS'!$C$5:$C$254,A104,'VENTAS'!$F$5:$F$254,"Divisa"))</x:f>
      </x:c>
      <x:c r="F104" s="28" t="str">
        <x:f>IF(A104="","",SUMIFS('VENTAS'!$H$5:$H$254,'VENTAS'!$C$5:$C$254,A104,'VENTAS'!$F$5:$F$254,"Sin confirmar"))</x:f>
      </x:c>
      <x:c r="G104" s="28" t="str">
        <x:f>IF(A104="","",SUMIFS('VENTAS'!$H$5:$H$254,'VENTAS'!$C$5:$C$254,A104,'VENTAS'!$I$5:$I$254,"Moroso"))</x:f>
      </x:c>
      <x:c r="H104" s="22" t="str">
        <x:f>IF(A104="","",COUNTIFS('VENTAS'!$C$5:$C$254,A104,'VENTAS'!$I$5:$I$254,"Por conciliar"))</x:f>
      </x:c>
      <x:c r="I104" s="22" t="str">
        <x:f>IF(A104="","",IF(G104&gt;0,IF(H104&gt;0,"Moroso + revisar","Moroso"),IF(H104&gt;0,"Por conciliar",IF(SUM(C104:F104)&gt;0,"Deuda vigente","Sin saldo"))))</x:f>
      </x:c>
      <x:c r="J104" s="22" t="str">
        <x:f>IF(A104="","",IF(COUNTIFS($A$5:$A$154,A104)&gt;1,"Nombre duplicado","Correcto"))</x:f>
      </x:c>
    </x:row>
    <x:row r="105" ht="25" customHeight="1">
      <x:c r="A105" s="26" t="str"/>
      <x:c r="B105" s="22" t="str">
        <x:f>IF(A105="","",COUNTIFS('VENTAS'!$C$5:$C$254,A105))</x:f>
      </x:c>
      <x:c r="C105" s="28" t="str">
        <x:f>IF(A105="","",SUMIFS('VENTAS'!$H$5:$H$254,'VENTAS'!$C$5:$C$254,A105,'VENTAS'!$F$5:$F$254,"BCV"))</x:f>
      </x:c>
      <x:c r="D105" s="28" t="str">
        <x:f>IF(A105="","",SUMIFS('VENTAS'!$H$5:$H$254,'VENTAS'!$C$5:$C$254,A105,'VENTAS'!$F$5:$F$254,"USDT"))</x:f>
      </x:c>
      <x:c r="E105" s="28" t="str">
        <x:f>IF(A105="","",SUMIFS('VENTAS'!$H$5:$H$254,'VENTAS'!$C$5:$C$254,A105,'VENTAS'!$F$5:$F$254,"Divisa"))</x:f>
      </x:c>
      <x:c r="F105" s="28" t="str">
        <x:f>IF(A105="","",SUMIFS('VENTAS'!$H$5:$H$254,'VENTAS'!$C$5:$C$254,A105,'VENTAS'!$F$5:$F$254,"Sin confirmar"))</x:f>
      </x:c>
      <x:c r="G105" s="28" t="str">
        <x:f>IF(A105="","",SUMIFS('VENTAS'!$H$5:$H$254,'VENTAS'!$C$5:$C$254,A105,'VENTAS'!$I$5:$I$254,"Moroso"))</x:f>
      </x:c>
      <x:c r="H105" s="22" t="str">
        <x:f>IF(A105="","",COUNTIFS('VENTAS'!$C$5:$C$254,A105,'VENTAS'!$I$5:$I$254,"Por conciliar"))</x:f>
      </x:c>
      <x:c r="I105" s="22" t="str">
        <x:f>IF(A105="","",IF(G105&gt;0,IF(H105&gt;0,"Moroso + revisar","Moroso"),IF(H105&gt;0,"Por conciliar",IF(SUM(C105:F105)&gt;0,"Deuda vigente","Sin saldo"))))</x:f>
      </x:c>
      <x:c r="J105" s="22" t="str">
        <x:f>IF(A105="","",IF(COUNTIFS($A$5:$A$154,A105)&gt;1,"Nombre duplicado","Correcto"))</x:f>
      </x:c>
    </x:row>
    <x:row r="106" ht="25" customHeight="1">
      <x:c r="A106" s="26" t="str"/>
      <x:c r="B106" s="22" t="str">
        <x:f>IF(A106="","",COUNTIFS('VENTAS'!$C$5:$C$254,A106))</x:f>
      </x:c>
      <x:c r="C106" s="28" t="str">
        <x:f>IF(A106="","",SUMIFS('VENTAS'!$H$5:$H$254,'VENTAS'!$C$5:$C$254,A106,'VENTAS'!$F$5:$F$254,"BCV"))</x:f>
      </x:c>
      <x:c r="D106" s="28" t="str">
        <x:f>IF(A106="","",SUMIFS('VENTAS'!$H$5:$H$254,'VENTAS'!$C$5:$C$254,A106,'VENTAS'!$F$5:$F$254,"USDT"))</x:f>
      </x:c>
      <x:c r="E106" s="28" t="str">
        <x:f>IF(A106="","",SUMIFS('VENTAS'!$H$5:$H$254,'VENTAS'!$C$5:$C$254,A106,'VENTAS'!$F$5:$F$254,"Divisa"))</x:f>
      </x:c>
      <x:c r="F106" s="28" t="str">
        <x:f>IF(A106="","",SUMIFS('VENTAS'!$H$5:$H$254,'VENTAS'!$C$5:$C$254,A106,'VENTAS'!$F$5:$F$254,"Sin confirmar"))</x:f>
      </x:c>
      <x:c r="G106" s="28" t="str">
        <x:f>IF(A106="","",SUMIFS('VENTAS'!$H$5:$H$254,'VENTAS'!$C$5:$C$254,A106,'VENTAS'!$I$5:$I$254,"Moroso"))</x:f>
      </x:c>
      <x:c r="H106" s="22" t="str">
        <x:f>IF(A106="","",COUNTIFS('VENTAS'!$C$5:$C$254,A106,'VENTAS'!$I$5:$I$254,"Por conciliar"))</x:f>
      </x:c>
      <x:c r="I106" s="22" t="str">
        <x:f>IF(A106="","",IF(G106&gt;0,IF(H106&gt;0,"Moroso + revisar","Moroso"),IF(H106&gt;0,"Por conciliar",IF(SUM(C106:F106)&gt;0,"Deuda vigente","Sin saldo"))))</x:f>
      </x:c>
      <x:c r="J106" s="22" t="str">
        <x:f>IF(A106="","",IF(COUNTIFS($A$5:$A$154,A106)&gt;1,"Nombre duplicado","Correcto"))</x:f>
      </x:c>
    </x:row>
    <x:row r="107" ht="25" customHeight="1">
      <x:c r="A107" s="26" t="str"/>
      <x:c r="B107" s="22" t="str">
        <x:f>IF(A107="","",COUNTIFS('VENTAS'!$C$5:$C$254,A107))</x:f>
      </x:c>
      <x:c r="C107" s="28" t="str">
        <x:f>IF(A107="","",SUMIFS('VENTAS'!$H$5:$H$254,'VENTAS'!$C$5:$C$254,A107,'VENTAS'!$F$5:$F$254,"BCV"))</x:f>
      </x:c>
      <x:c r="D107" s="28" t="str">
        <x:f>IF(A107="","",SUMIFS('VENTAS'!$H$5:$H$254,'VENTAS'!$C$5:$C$254,A107,'VENTAS'!$F$5:$F$254,"USDT"))</x:f>
      </x:c>
      <x:c r="E107" s="28" t="str">
        <x:f>IF(A107="","",SUMIFS('VENTAS'!$H$5:$H$254,'VENTAS'!$C$5:$C$254,A107,'VENTAS'!$F$5:$F$254,"Divisa"))</x:f>
      </x:c>
      <x:c r="F107" s="28" t="str">
        <x:f>IF(A107="","",SUMIFS('VENTAS'!$H$5:$H$254,'VENTAS'!$C$5:$C$254,A107,'VENTAS'!$F$5:$F$254,"Sin confirmar"))</x:f>
      </x:c>
      <x:c r="G107" s="28" t="str">
        <x:f>IF(A107="","",SUMIFS('VENTAS'!$H$5:$H$254,'VENTAS'!$C$5:$C$254,A107,'VENTAS'!$I$5:$I$254,"Moroso"))</x:f>
      </x:c>
      <x:c r="H107" s="22" t="str">
        <x:f>IF(A107="","",COUNTIFS('VENTAS'!$C$5:$C$254,A107,'VENTAS'!$I$5:$I$254,"Por conciliar"))</x:f>
      </x:c>
      <x:c r="I107" s="22" t="str">
        <x:f>IF(A107="","",IF(G107&gt;0,IF(H107&gt;0,"Moroso + revisar","Moroso"),IF(H107&gt;0,"Por conciliar",IF(SUM(C107:F107)&gt;0,"Deuda vigente","Sin saldo"))))</x:f>
      </x:c>
      <x:c r="J107" s="22" t="str">
        <x:f>IF(A107="","",IF(COUNTIFS($A$5:$A$154,A107)&gt;1,"Nombre duplicado","Correcto"))</x:f>
      </x:c>
    </x:row>
    <x:row r="108" ht="25" customHeight="1">
      <x:c r="A108" s="26" t="str"/>
      <x:c r="B108" s="22" t="str">
        <x:f>IF(A108="","",COUNTIFS('VENTAS'!$C$5:$C$254,A108))</x:f>
      </x:c>
      <x:c r="C108" s="28" t="str">
        <x:f>IF(A108="","",SUMIFS('VENTAS'!$H$5:$H$254,'VENTAS'!$C$5:$C$254,A108,'VENTAS'!$F$5:$F$254,"BCV"))</x:f>
      </x:c>
      <x:c r="D108" s="28" t="str">
        <x:f>IF(A108="","",SUMIFS('VENTAS'!$H$5:$H$254,'VENTAS'!$C$5:$C$254,A108,'VENTAS'!$F$5:$F$254,"USDT"))</x:f>
      </x:c>
      <x:c r="E108" s="28" t="str">
        <x:f>IF(A108="","",SUMIFS('VENTAS'!$H$5:$H$254,'VENTAS'!$C$5:$C$254,A108,'VENTAS'!$F$5:$F$254,"Divisa"))</x:f>
      </x:c>
      <x:c r="F108" s="28" t="str">
        <x:f>IF(A108="","",SUMIFS('VENTAS'!$H$5:$H$254,'VENTAS'!$C$5:$C$254,A108,'VENTAS'!$F$5:$F$254,"Sin confirmar"))</x:f>
      </x:c>
      <x:c r="G108" s="28" t="str">
        <x:f>IF(A108="","",SUMIFS('VENTAS'!$H$5:$H$254,'VENTAS'!$C$5:$C$254,A108,'VENTAS'!$I$5:$I$254,"Moroso"))</x:f>
      </x:c>
      <x:c r="H108" s="22" t="str">
        <x:f>IF(A108="","",COUNTIFS('VENTAS'!$C$5:$C$254,A108,'VENTAS'!$I$5:$I$254,"Por conciliar"))</x:f>
      </x:c>
      <x:c r="I108" s="22" t="str">
        <x:f>IF(A108="","",IF(G108&gt;0,IF(H108&gt;0,"Moroso + revisar","Moroso"),IF(H108&gt;0,"Por conciliar",IF(SUM(C108:F108)&gt;0,"Deuda vigente","Sin saldo"))))</x:f>
      </x:c>
      <x:c r="J108" s="22" t="str">
        <x:f>IF(A108="","",IF(COUNTIFS($A$5:$A$154,A108)&gt;1,"Nombre duplicado","Correcto"))</x:f>
      </x:c>
    </x:row>
    <x:row r="109" ht="25" customHeight="1">
      <x:c r="A109" s="26" t="str"/>
      <x:c r="B109" s="22" t="str">
        <x:f>IF(A109="","",COUNTIFS('VENTAS'!$C$5:$C$254,A109))</x:f>
      </x:c>
      <x:c r="C109" s="28" t="str">
        <x:f>IF(A109="","",SUMIFS('VENTAS'!$H$5:$H$254,'VENTAS'!$C$5:$C$254,A109,'VENTAS'!$F$5:$F$254,"BCV"))</x:f>
      </x:c>
      <x:c r="D109" s="28" t="str">
        <x:f>IF(A109="","",SUMIFS('VENTAS'!$H$5:$H$254,'VENTAS'!$C$5:$C$254,A109,'VENTAS'!$F$5:$F$254,"USDT"))</x:f>
      </x:c>
      <x:c r="E109" s="28" t="str">
        <x:f>IF(A109="","",SUMIFS('VENTAS'!$H$5:$H$254,'VENTAS'!$C$5:$C$254,A109,'VENTAS'!$F$5:$F$254,"Divisa"))</x:f>
      </x:c>
      <x:c r="F109" s="28" t="str">
        <x:f>IF(A109="","",SUMIFS('VENTAS'!$H$5:$H$254,'VENTAS'!$C$5:$C$254,A109,'VENTAS'!$F$5:$F$254,"Sin confirmar"))</x:f>
      </x:c>
      <x:c r="G109" s="28" t="str">
        <x:f>IF(A109="","",SUMIFS('VENTAS'!$H$5:$H$254,'VENTAS'!$C$5:$C$254,A109,'VENTAS'!$I$5:$I$254,"Moroso"))</x:f>
      </x:c>
      <x:c r="H109" s="22" t="str">
        <x:f>IF(A109="","",COUNTIFS('VENTAS'!$C$5:$C$254,A109,'VENTAS'!$I$5:$I$254,"Por conciliar"))</x:f>
      </x:c>
      <x:c r="I109" s="22" t="str">
        <x:f>IF(A109="","",IF(G109&gt;0,IF(H109&gt;0,"Moroso + revisar","Moroso"),IF(H109&gt;0,"Por conciliar",IF(SUM(C109:F109)&gt;0,"Deuda vigente","Sin saldo"))))</x:f>
      </x:c>
      <x:c r="J109" s="22" t="str">
        <x:f>IF(A109="","",IF(COUNTIFS($A$5:$A$154,A109)&gt;1,"Nombre duplicado","Correcto"))</x:f>
      </x:c>
    </x:row>
    <x:row r="110" ht="25" customHeight="1">
      <x:c r="A110" s="26" t="str"/>
      <x:c r="B110" s="22" t="str">
        <x:f>IF(A110="","",COUNTIFS('VENTAS'!$C$5:$C$254,A110))</x:f>
      </x:c>
      <x:c r="C110" s="28" t="str">
        <x:f>IF(A110="","",SUMIFS('VENTAS'!$H$5:$H$254,'VENTAS'!$C$5:$C$254,A110,'VENTAS'!$F$5:$F$254,"BCV"))</x:f>
      </x:c>
      <x:c r="D110" s="28" t="str">
        <x:f>IF(A110="","",SUMIFS('VENTAS'!$H$5:$H$254,'VENTAS'!$C$5:$C$254,A110,'VENTAS'!$F$5:$F$254,"USDT"))</x:f>
      </x:c>
      <x:c r="E110" s="28" t="str">
        <x:f>IF(A110="","",SUMIFS('VENTAS'!$H$5:$H$254,'VENTAS'!$C$5:$C$254,A110,'VENTAS'!$F$5:$F$254,"Divisa"))</x:f>
      </x:c>
      <x:c r="F110" s="28" t="str">
        <x:f>IF(A110="","",SUMIFS('VENTAS'!$H$5:$H$254,'VENTAS'!$C$5:$C$254,A110,'VENTAS'!$F$5:$F$254,"Sin confirmar"))</x:f>
      </x:c>
      <x:c r="G110" s="28" t="str">
        <x:f>IF(A110="","",SUMIFS('VENTAS'!$H$5:$H$254,'VENTAS'!$C$5:$C$254,A110,'VENTAS'!$I$5:$I$254,"Moroso"))</x:f>
      </x:c>
      <x:c r="H110" s="22" t="str">
        <x:f>IF(A110="","",COUNTIFS('VENTAS'!$C$5:$C$254,A110,'VENTAS'!$I$5:$I$254,"Por conciliar"))</x:f>
      </x:c>
      <x:c r="I110" s="22" t="str">
        <x:f>IF(A110="","",IF(G110&gt;0,IF(H110&gt;0,"Moroso + revisar","Moroso"),IF(H110&gt;0,"Por conciliar",IF(SUM(C110:F110)&gt;0,"Deuda vigente","Sin saldo"))))</x:f>
      </x:c>
      <x:c r="J110" s="22" t="str">
        <x:f>IF(A110="","",IF(COUNTIFS($A$5:$A$154,A110)&gt;1,"Nombre duplicado","Correcto"))</x:f>
      </x:c>
    </x:row>
    <x:row r="111" ht="25" customHeight="1">
      <x:c r="A111" s="26" t="str"/>
      <x:c r="B111" s="22" t="str">
        <x:f>IF(A111="","",COUNTIFS('VENTAS'!$C$5:$C$254,A111))</x:f>
      </x:c>
      <x:c r="C111" s="28" t="str">
        <x:f>IF(A111="","",SUMIFS('VENTAS'!$H$5:$H$254,'VENTAS'!$C$5:$C$254,A111,'VENTAS'!$F$5:$F$254,"BCV"))</x:f>
      </x:c>
      <x:c r="D111" s="28" t="str">
        <x:f>IF(A111="","",SUMIFS('VENTAS'!$H$5:$H$254,'VENTAS'!$C$5:$C$254,A111,'VENTAS'!$F$5:$F$254,"USDT"))</x:f>
      </x:c>
      <x:c r="E111" s="28" t="str">
        <x:f>IF(A111="","",SUMIFS('VENTAS'!$H$5:$H$254,'VENTAS'!$C$5:$C$254,A111,'VENTAS'!$F$5:$F$254,"Divisa"))</x:f>
      </x:c>
      <x:c r="F111" s="28" t="str">
        <x:f>IF(A111="","",SUMIFS('VENTAS'!$H$5:$H$254,'VENTAS'!$C$5:$C$254,A111,'VENTAS'!$F$5:$F$254,"Sin confirmar"))</x:f>
      </x:c>
      <x:c r="G111" s="28" t="str">
        <x:f>IF(A111="","",SUMIFS('VENTAS'!$H$5:$H$254,'VENTAS'!$C$5:$C$254,A111,'VENTAS'!$I$5:$I$254,"Moroso"))</x:f>
      </x:c>
      <x:c r="H111" s="22" t="str">
        <x:f>IF(A111="","",COUNTIFS('VENTAS'!$C$5:$C$254,A111,'VENTAS'!$I$5:$I$254,"Por conciliar"))</x:f>
      </x:c>
      <x:c r="I111" s="22" t="str">
        <x:f>IF(A111="","",IF(G111&gt;0,IF(H111&gt;0,"Moroso + revisar","Moroso"),IF(H111&gt;0,"Por conciliar",IF(SUM(C111:F111)&gt;0,"Deuda vigente","Sin saldo"))))</x:f>
      </x:c>
      <x:c r="J111" s="22" t="str">
        <x:f>IF(A111="","",IF(COUNTIFS($A$5:$A$154,A111)&gt;1,"Nombre duplicado","Correcto"))</x:f>
      </x:c>
    </x:row>
    <x:row r="112" ht="25" customHeight="1">
      <x:c r="A112" s="26" t="str"/>
      <x:c r="B112" s="22" t="str">
        <x:f>IF(A112="","",COUNTIFS('VENTAS'!$C$5:$C$254,A112))</x:f>
      </x:c>
      <x:c r="C112" s="28" t="str">
        <x:f>IF(A112="","",SUMIFS('VENTAS'!$H$5:$H$254,'VENTAS'!$C$5:$C$254,A112,'VENTAS'!$F$5:$F$254,"BCV"))</x:f>
      </x:c>
      <x:c r="D112" s="28" t="str">
        <x:f>IF(A112="","",SUMIFS('VENTAS'!$H$5:$H$254,'VENTAS'!$C$5:$C$254,A112,'VENTAS'!$F$5:$F$254,"USDT"))</x:f>
      </x:c>
      <x:c r="E112" s="28" t="str">
        <x:f>IF(A112="","",SUMIFS('VENTAS'!$H$5:$H$254,'VENTAS'!$C$5:$C$254,A112,'VENTAS'!$F$5:$F$254,"Divisa"))</x:f>
      </x:c>
      <x:c r="F112" s="28" t="str">
        <x:f>IF(A112="","",SUMIFS('VENTAS'!$H$5:$H$254,'VENTAS'!$C$5:$C$254,A112,'VENTAS'!$F$5:$F$254,"Sin confirmar"))</x:f>
      </x:c>
      <x:c r="G112" s="28" t="str">
        <x:f>IF(A112="","",SUMIFS('VENTAS'!$H$5:$H$254,'VENTAS'!$C$5:$C$254,A112,'VENTAS'!$I$5:$I$254,"Moroso"))</x:f>
      </x:c>
      <x:c r="H112" s="22" t="str">
        <x:f>IF(A112="","",COUNTIFS('VENTAS'!$C$5:$C$254,A112,'VENTAS'!$I$5:$I$254,"Por conciliar"))</x:f>
      </x:c>
      <x:c r="I112" s="22" t="str">
        <x:f>IF(A112="","",IF(G112&gt;0,IF(H112&gt;0,"Moroso + revisar","Moroso"),IF(H112&gt;0,"Por conciliar",IF(SUM(C112:F112)&gt;0,"Deuda vigente","Sin saldo"))))</x:f>
      </x:c>
      <x:c r="J112" s="22" t="str">
        <x:f>IF(A112="","",IF(COUNTIFS($A$5:$A$154,A112)&gt;1,"Nombre duplicado","Correcto"))</x:f>
      </x:c>
    </x:row>
    <x:row r="113" ht="25" customHeight="1">
      <x:c r="A113" s="26" t="str"/>
      <x:c r="B113" s="22" t="str">
        <x:f>IF(A113="","",COUNTIFS('VENTAS'!$C$5:$C$254,A113))</x:f>
      </x:c>
      <x:c r="C113" s="28" t="str">
        <x:f>IF(A113="","",SUMIFS('VENTAS'!$H$5:$H$254,'VENTAS'!$C$5:$C$254,A113,'VENTAS'!$F$5:$F$254,"BCV"))</x:f>
      </x:c>
      <x:c r="D113" s="28" t="str">
        <x:f>IF(A113="","",SUMIFS('VENTAS'!$H$5:$H$254,'VENTAS'!$C$5:$C$254,A113,'VENTAS'!$F$5:$F$254,"USDT"))</x:f>
      </x:c>
      <x:c r="E113" s="28" t="str">
        <x:f>IF(A113="","",SUMIFS('VENTAS'!$H$5:$H$254,'VENTAS'!$C$5:$C$254,A113,'VENTAS'!$F$5:$F$254,"Divisa"))</x:f>
      </x:c>
      <x:c r="F113" s="28" t="str">
        <x:f>IF(A113="","",SUMIFS('VENTAS'!$H$5:$H$254,'VENTAS'!$C$5:$C$254,A113,'VENTAS'!$F$5:$F$254,"Sin confirmar"))</x:f>
      </x:c>
      <x:c r="G113" s="28" t="str">
        <x:f>IF(A113="","",SUMIFS('VENTAS'!$H$5:$H$254,'VENTAS'!$C$5:$C$254,A113,'VENTAS'!$I$5:$I$254,"Moroso"))</x:f>
      </x:c>
      <x:c r="H113" s="22" t="str">
        <x:f>IF(A113="","",COUNTIFS('VENTAS'!$C$5:$C$254,A113,'VENTAS'!$I$5:$I$254,"Por conciliar"))</x:f>
      </x:c>
      <x:c r="I113" s="22" t="str">
        <x:f>IF(A113="","",IF(G113&gt;0,IF(H113&gt;0,"Moroso + revisar","Moroso"),IF(H113&gt;0,"Por conciliar",IF(SUM(C113:F113)&gt;0,"Deuda vigente","Sin saldo"))))</x:f>
      </x:c>
      <x:c r="J113" s="22" t="str">
        <x:f>IF(A113="","",IF(COUNTIFS($A$5:$A$154,A113)&gt;1,"Nombre duplicado","Correcto"))</x:f>
      </x:c>
    </x:row>
    <x:row r="114" ht="25" customHeight="1">
      <x:c r="A114" s="26" t="str"/>
      <x:c r="B114" s="22" t="str">
        <x:f>IF(A114="","",COUNTIFS('VENTAS'!$C$5:$C$254,A114))</x:f>
      </x:c>
      <x:c r="C114" s="28" t="str">
        <x:f>IF(A114="","",SUMIFS('VENTAS'!$H$5:$H$254,'VENTAS'!$C$5:$C$254,A114,'VENTAS'!$F$5:$F$254,"BCV"))</x:f>
      </x:c>
      <x:c r="D114" s="28" t="str">
        <x:f>IF(A114="","",SUMIFS('VENTAS'!$H$5:$H$254,'VENTAS'!$C$5:$C$254,A114,'VENTAS'!$F$5:$F$254,"USDT"))</x:f>
      </x:c>
      <x:c r="E114" s="28" t="str">
        <x:f>IF(A114="","",SUMIFS('VENTAS'!$H$5:$H$254,'VENTAS'!$C$5:$C$254,A114,'VENTAS'!$F$5:$F$254,"Divisa"))</x:f>
      </x:c>
      <x:c r="F114" s="28" t="str">
        <x:f>IF(A114="","",SUMIFS('VENTAS'!$H$5:$H$254,'VENTAS'!$C$5:$C$254,A114,'VENTAS'!$F$5:$F$254,"Sin confirmar"))</x:f>
      </x:c>
      <x:c r="G114" s="28" t="str">
        <x:f>IF(A114="","",SUMIFS('VENTAS'!$H$5:$H$254,'VENTAS'!$C$5:$C$254,A114,'VENTAS'!$I$5:$I$254,"Moroso"))</x:f>
      </x:c>
      <x:c r="H114" s="22" t="str">
        <x:f>IF(A114="","",COUNTIFS('VENTAS'!$C$5:$C$254,A114,'VENTAS'!$I$5:$I$254,"Por conciliar"))</x:f>
      </x:c>
      <x:c r="I114" s="22" t="str">
        <x:f>IF(A114="","",IF(G114&gt;0,IF(H114&gt;0,"Moroso + revisar","Moroso"),IF(H114&gt;0,"Por conciliar",IF(SUM(C114:F114)&gt;0,"Deuda vigente","Sin saldo"))))</x:f>
      </x:c>
      <x:c r="J114" s="22" t="str">
        <x:f>IF(A114="","",IF(COUNTIFS($A$5:$A$154,A114)&gt;1,"Nombre duplicado","Correcto"))</x:f>
      </x:c>
    </x:row>
    <x:row r="115" ht="25" customHeight="1">
      <x:c r="A115" s="26" t="str"/>
      <x:c r="B115" s="22" t="str">
        <x:f>IF(A115="","",COUNTIFS('VENTAS'!$C$5:$C$254,A115))</x:f>
      </x:c>
      <x:c r="C115" s="28" t="str">
        <x:f>IF(A115="","",SUMIFS('VENTAS'!$H$5:$H$254,'VENTAS'!$C$5:$C$254,A115,'VENTAS'!$F$5:$F$254,"BCV"))</x:f>
      </x:c>
      <x:c r="D115" s="28" t="str">
        <x:f>IF(A115="","",SUMIFS('VENTAS'!$H$5:$H$254,'VENTAS'!$C$5:$C$254,A115,'VENTAS'!$F$5:$F$254,"USDT"))</x:f>
      </x:c>
      <x:c r="E115" s="28" t="str">
        <x:f>IF(A115="","",SUMIFS('VENTAS'!$H$5:$H$254,'VENTAS'!$C$5:$C$254,A115,'VENTAS'!$F$5:$F$254,"Divisa"))</x:f>
      </x:c>
      <x:c r="F115" s="28" t="str">
        <x:f>IF(A115="","",SUMIFS('VENTAS'!$H$5:$H$254,'VENTAS'!$C$5:$C$254,A115,'VENTAS'!$F$5:$F$254,"Sin confirmar"))</x:f>
      </x:c>
      <x:c r="G115" s="28" t="str">
        <x:f>IF(A115="","",SUMIFS('VENTAS'!$H$5:$H$254,'VENTAS'!$C$5:$C$254,A115,'VENTAS'!$I$5:$I$254,"Moroso"))</x:f>
      </x:c>
      <x:c r="H115" s="22" t="str">
        <x:f>IF(A115="","",COUNTIFS('VENTAS'!$C$5:$C$254,A115,'VENTAS'!$I$5:$I$254,"Por conciliar"))</x:f>
      </x:c>
      <x:c r="I115" s="22" t="str">
        <x:f>IF(A115="","",IF(G115&gt;0,IF(H115&gt;0,"Moroso + revisar","Moroso"),IF(H115&gt;0,"Por conciliar",IF(SUM(C115:F115)&gt;0,"Deuda vigente","Sin saldo"))))</x:f>
      </x:c>
      <x:c r="J115" s="22" t="str">
        <x:f>IF(A115="","",IF(COUNTIFS($A$5:$A$154,A115)&gt;1,"Nombre duplicado","Correcto"))</x:f>
      </x:c>
    </x:row>
    <x:row r="116" ht="25" customHeight="1">
      <x:c r="A116" s="26" t="str"/>
      <x:c r="B116" s="22" t="str">
        <x:f>IF(A116="","",COUNTIFS('VENTAS'!$C$5:$C$254,A116))</x:f>
      </x:c>
      <x:c r="C116" s="28" t="str">
        <x:f>IF(A116="","",SUMIFS('VENTAS'!$H$5:$H$254,'VENTAS'!$C$5:$C$254,A116,'VENTAS'!$F$5:$F$254,"BCV"))</x:f>
      </x:c>
      <x:c r="D116" s="28" t="str">
        <x:f>IF(A116="","",SUMIFS('VENTAS'!$H$5:$H$254,'VENTAS'!$C$5:$C$254,A116,'VENTAS'!$F$5:$F$254,"USDT"))</x:f>
      </x:c>
      <x:c r="E116" s="28" t="str">
        <x:f>IF(A116="","",SUMIFS('VENTAS'!$H$5:$H$254,'VENTAS'!$C$5:$C$254,A116,'VENTAS'!$F$5:$F$254,"Divisa"))</x:f>
      </x:c>
      <x:c r="F116" s="28" t="str">
        <x:f>IF(A116="","",SUMIFS('VENTAS'!$H$5:$H$254,'VENTAS'!$C$5:$C$254,A116,'VENTAS'!$F$5:$F$254,"Sin confirmar"))</x:f>
      </x:c>
      <x:c r="G116" s="28" t="str">
        <x:f>IF(A116="","",SUMIFS('VENTAS'!$H$5:$H$254,'VENTAS'!$C$5:$C$254,A116,'VENTAS'!$I$5:$I$254,"Moroso"))</x:f>
      </x:c>
      <x:c r="H116" s="22" t="str">
        <x:f>IF(A116="","",COUNTIFS('VENTAS'!$C$5:$C$254,A116,'VENTAS'!$I$5:$I$254,"Por conciliar"))</x:f>
      </x:c>
      <x:c r="I116" s="22" t="str">
        <x:f>IF(A116="","",IF(G116&gt;0,IF(H116&gt;0,"Moroso + revisar","Moroso"),IF(H116&gt;0,"Por conciliar",IF(SUM(C116:F116)&gt;0,"Deuda vigente","Sin saldo"))))</x:f>
      </x:c>
      <x:c r="J116" s="22" t="str">
        <x:f>IF(A116="","",IF(COUNTIFS($A$5:$A$154,A116)&gt;1,"Nombre duplicado","Correcto"))</x:f>
      </x:c>
    </x:row>
    <x:row r="117" ht="25" customHeight="1">
      <x:c r="A117" s="26" t="str"/>
      <x:c r="B117" s="22" t="str">
        <x:f>IF(A117="","",COUNTIFS('VENTAS'!$C$5:$C$254,A117))</x:f>
      </x:c>
      <x:c r="C117" s="28" t="str">
        <x:f>IF(A117="","",SUMIFS('VENTAS'!$H$5:$H$254,'VENTAS'!$C$5:$C$254,A117,'VENTAS'!$F$5:$F$254,"BCV"))</x:f>
      </x:c>
      <x:c r="D117" s="28" t="str">
        <x:f>IF(A117="","",SUMIFS('VENTAS'!$H$5:$H$254,'VENTAS'!$C$5:$C$254,A117,'VENTAS'!$F$5:$F$254,"USDT"))</x:f>
      </x:c>
      <x:c r="E117" s="28" t="str">
        <x:f>IF(A117="","",SUMIFS('VENTAS'!$H$5:$H$254,'VENTAS'!$C$5:$C$254,A117,'VENTAS'!$F$5:$F$254,"Divisa"))</x:f>
      </x:c>
      <x:c r="F117" s="28" t="str">
        <x:f>IF(A117="","",SUMIFS('VENTAS'!$H$5:$H$254,'VENTAS'!$C$5:$C$254,A117,'VENTAS'!$F$5:$F$254,"Sin confirmar"))</x:f>
      </x:c>
      <x:c r="G117" s="28" t="str">
        <x:f>IF(A117="","",SUMIFS('VENTAS'!$H$5:$H$254,'VENTAS'!$C$5:$C$254,A117,'VENTAS'!$I$5:$I$254,"Moroso"))</x:f>
      </x:c>
      <x:c r="H117" s="22" t="str">
        <x:f>IF(A117="","",COUNTIFS('VENTAS'!$C$5:$C$254,A117,'VENTAS'!$I$5:$I$254,"Por conciliar"))</x:f>
      </x:c>
      <x:c r="I117" s="22" t="str">
        <x:f>IF(A117="","",IF(G117&gt;0,IF(H117&gt;0,"Moroso + revisar","Moroso"),IF(H117&gt;0,"Por conciliar",IF(SUM(C117:F117)&gt;0,"Deuda vigente","Sin saldo"))))</x:f>
      </x:c>
      <x:c r="J117" s="22" t="str">
        <x:f>IF(A117="","",IF(COUNTIFS($A$5:$A$154,A117)&gt;1,"Nombre duplicado","Correcto"))</x:f>
      </x:c>
    </x:row>
    <x:row r="118" ht="25" customHeight="1">
      <x:c r="A118" s="26" t="str"/>
      <x:c r="B118" s="22" t="str">
        <x:f>IF(A118="","",COUNTIFS('VENTAS'!$C$5:$C$254,A118))</x:f>
      </x:c>
      <x:c r="C118" s="28" t="str">
        <x:f>IF(A118="","",SUMIFS('VENTAS'!$H$5:$H$254,'VENTAS'!$C$5:$C$254,A118,'VENTAS'!$F$5:$F$254,"BCV"))</x:f>
      </x:c>
      <x:c r="D118" s="28" t="str">
        <x:f>IF(A118="","",SUMIFS('VENTAS'!$H$5:$H$254,'VENTAS'!$C$5:$C$254,A118,'VENTAS'!$F$5:$F$254,"USDT"))</x:f>
      </x:c>
      <x:c r="E118" s="28" t="str">
        <x:f>IF(A118="","",SUMIFS('VENTAS'!$H$5:$H$254,'VENTAS'!$C$5:$C$254,A118,'VENTAS'!$F$5:$F$254,"Divisa"))</x:f>
      </x:c>
      <x:c r="F118" s="28" t="str">
        <x:f>IF(A118="","",SUMIFS('VENTAS'!$H$5:$H$254,'VENTAS'!$C$5:$C$254,A118,'VENTAS'!$F$5:$F$254,"Sin confirmar"))</x:f>
      </x:c>
      <x:c r="G118" s="28" t="str">
        <x:f>IF(A118="","",SUMIFS('VENTAS'!$H$5:$H$254,'VENTAS'!$C$5:$C$254,A118,'VENTAS'!$I$5:$I$254,"Moroso"))</x:f>
      </x:c>
      <x:c r="H118" s="22" t="str">
        <x:f>IF(A118="","",COUNTIFS('VENTAS'!$C$5:$C$254,A118,'VENTAS'!$I$5:$I$254,"Por conciliar"))</x:f>
      </x:c>
      <x:c r="I118" s="22" t="str">
        <x:f>IF(A118="","",IF(G118&gt;0,IF(H118&gt;0,"Moroso + revisar","Moroso"),IF(H118&gt;0,"Por conciliar",IF(SUM(C118:F118)&gt;0,"Deuda vigente","Sin saldo"))))</x:f>
      </x:c>
      <x:c r="J118" s="22" t="str">
        <x:f>IF(A118="","",IF(COUNTIFS($A$5:$A$154,A118)&gt;1,"Nombre duplicado","Correcto"))</x:f>
      </x:c>
    </x:row>
    <x:row r="119" ht="25" customHeight="1">
      <x:c r="A119" s="26" t="str"/>
      <x:c r="B119" s="22" t="str">
        <x:f>IF(A119="","",COUNTIFS('VENTAS'!$C$5:$C$254,A119))</x:f>
      </x:c>
      <x:c r="C119" s="28" t="str">
        <x:f>IF(A119="","",SUMIFS('VENTAS'!$H$5:$H$254,'VENTAS'!$C$5:$C$254,A119,'VENTAS'!$F$5:$F$254,"BCV"))</x:f>
      </x:c>
      <x:c r="D119" s="28" t="str">
        <x:f>IF(A119="","",SUMIFS('VENTAS'!$H$5:$H$254,'VENTAS'!$C$5:$C$254,A119,'VENTAS'!$F$5:$F$254,"USDT"))</x:f>
      </x:c>
      <x:c r="E119" s="28" t="str">
        <x:f>IF(A119="","",SUMIFS('VENTAS'!$H$5:$H$254,'VENTAS'!$C$5:$C$254,A119,'VENTAS'!$F$5:$F$254,"Divisa"))</x:f>
      </x:c>
      <x:c r="F119" s="28" t="str">
        <x:f>IF(A119="","",SUMIFS('VENTAS'!$H$5:$H$254,'VENTAS'!$C$5:$C$254,A119,'VENTAS'!$F$5:$F$254,"Sin confirmar"))</x:f>
      </x:c>
      <x:c r="G119" s="28" t="str">
        <x:f>IF(A119="","",SUMIFS('VENTAS'!$H$5:$H$254,'VENTAS'!$C$5:$C$254,A119,'VENTAS'!$I$5:$I$254,"Moroso"))</x:f>
      </x:c>
      <x:c r="H119" s="22" t="str">
        <x:f>IF(A119="","",COUNTIFS('VENTAS'!$C$5:$C$254,A119,'VENTAS'!$I$5:$I$254,"Por conciliar"))</x:f>
      </x:c>
      <x:c r="I119" s="22" t="str">
        <x:f>IF(A119="","",IF(G119&gt;0,IF(H119&gt;0,"Moroso + revisar","Moroso"),IF(H119&gt;0,"Por conciliar",IF(SUM(C119:F119)&gt;0,"Deuda vigente","Sin saldo"))))</x:f>
      </x:c>
      <x:c r="J119" s="22" t="str">
        <x:f>IF(A119="","",IF(COUNTIFS($A$5:$A$154,A119)&gt;1,"Nombre duplicado","Correcto"))</x:f>
      </x:c>
    </x:row>
    <x:row r="120" ht="25" customHeight="1">
      <x:c r="A120" s="26" t="str"/>
      <x:c r="B120" s="22" t="str">
        <x:f>IF(A120="","",COUNTIFS('VENTAS'!$C$5:$C$254,A120))</x:f>
      </x:c>
      <x:c r="C120" s="28" t="str">
        <x:f>IF(A120="","",SUMIFS('VENTAS'!$H$5:$H$254,'VENTAS'!$C$5:$C$254,A120,'VENTAS'!$F$5:$F$254,"BCV"))</x:f>
      </x:c>
      <x:c r="D120" s="28" t="str">
        <x:f>IF(A120="","",SUMIFS('VENTAS'!$H$5:$H$254,'VENTAS'!$C$5:$C$254,A120,'VENTAS'!$F$5:$F$254,"USDT"))</x:f>
      </x:c>
      <x:c r="E120" s="28" t="str">
        <x:f>IF(A120="","",SUMIFS('VENTAS'!$H$5:$H$254,'VENTAS'!$C$5:$C$254,A120,'VENTAS'!$F$5:$F$254,"Divisa"))</x:f>
      </x:c>
      <x:c r="F120" s="28" t="str">
        <x:f>IF(A120="","",SUMIFS('VENTAS'!$H$5:$H$254,'VENTAS'!$C$5:$C$254,A120,'VENTAS'!$F$5:$F$254,"Sin confirmar"))</x:f>
      </x:c>
      <x:c r="G120" s="28" t="str">
        <x:f>IF(A120="","",SUMIFS('VENTAS'!$H$5:$H$254,'VENTAS'!$C$5:$C$254,A120,'VENTAS'!$I$5:$I$254,"Moroso"))</x:f>
      </x:c>
      <x:c r="H120" s="22" t="str">
        <x:f>IF(A120="","",COUNTIFS('VENTAS'!$C$5:$C$254,A120,'VENTAS'!$I$5:$I$254,"Por conciliar"))</x:f>
      </x:c>
      <x:c r="I120" s="22" t="str">
        <x:f>IF(A120="","",IF(G120&gt;0,IF(H120&gt;0,"Moroso + revisar","Moroso"),IF(H120&gt;0,"Por conciliar",IF(SUM(C120:F120)&gt;0,"Deuda vigente","Sin saldo"))))</x:f>
      </x:c>
      <x:c r="J120" s="22" t="str">
        <x:f>IF(A120="","",IF(COUNTIFS($A$5:$A$154,A120)&gt;1,"Nombre duplicado","Correcto"))</x:f>
      </x:c>
    </x:row>
    <x:row r="121" ht="25" customHeight="1">
      <x:c r="A121" s="26" t="str"/>
      <x:c r="B121" s="22" t="str">
        <x:f>IF(A121="","",COUNTIFS('VENTAS'!$C$5:$C$254,A121))</x:f>
      </x:c>
      <x:c r="C121" s="28" t="str">
        <x:f>IF(A121="","",SUMIFS('VENTAS'!$H$5:$H$254,'VENTAS'!$C$5:$C$254,A121,'VENTAS'!$F$5:$F$254,"BCV"))</x:f>
      </x:c>
      <x:c r="D121" s="28" t="str">
        <x:f>IF(A121="","",SUMIFS('VENTAS'!$H$5:$H$254,'VENTAS'!$C$5:$C$254,A121,'VENTAS'!$F$5:$F$254,"USDT"))</x:f>
      </x:c>
      <x:c r="E121" s="28" t="str">
        <x:f>IF(A121="","",SUMIFS('VENTAS'!$H$5:$H$254,'VENTAS'!$C$5:$C$254,A121,'VENTAS'!$F$5:$F$254,"Divisa"))</x:f>
      </x:c>
      <x:c r="F121" s="28" t="str">
        <x:f>IF(A121="","",SUMIFS('VENTAS'!$H$5:$H$254,'VENTAS'!$C$5:$C$254,A121,'VENTAS'!$F$5:$F$254,"Sin confirmar"))</x:f>
      </x:c>
      <x:c r="G121" s="28" t="str">
        <x:f>IF(A121="","",SUMIFS('VENTAS'!$H$5:$H$254,'VENTAS'!$C$5:$C$254,A121,'VENTAS'!$I$5:$I$254,"Moroso"))</x:f>
      </x:c>
      <x:c r="H121" s="22" t="str">
        <x:f>IF(A121="","",COUNTIFS('VENTAS'!$C$5:$C$254,A121,'VENTAS'!$I$5:$I$254,"Por conciliar"))</x:f>
      </x:c>
      <x:c r="I121" s="22" t="str">
        <x:f>IF(A121="","",IF(G121&gt;0,IF(H121&gt;0,"Moroso + revisar","Moroso"),IF(H121&gt;0,"Por conciliar",IF(SUM(C121:F121)&gt;0,"Deuda vigente","Sin saldo"))))</x:f>
      </x:c>
      <x:c r="J121" s="22" t="str">
        <x:f>IF(A121="","",IF(COUNTIFS($A$5:$A$154,A121)&gt;1,"Nombre duplicado","Correcto"))</x:f>
      </x:c>
    </x:row>
    <x:row r="122" ht="25" customHeight="1">
      <x:c r="A122" s="26" t="str"/>
      <x:c r="B122" s="22" t="str">
        <x:f>IF(A122="","",COUNTIFS('VENTAS'!$C$5:$C$254,A122))</x:f>
      </x:c>
      <x:c r="C122" s="28" t="str">
        <x:f>IF(A122="","",SUMIFS('VENTAS'!$H$5:$H$254,'VENTAS'!$C$5:$C$254,A122,'VENTAS'!$F$5:$F$254,"BCV"))</x:f>
      </x:c>
      <x:c r="D122" s="28" t="str">
        <x:f>IF(A122="","",SUMIFS('VENTAS'!$H$5:$H$254,'VENTAS'!$C$5:$C$254,A122,'VENTAS'!$F$5:$F$254,"USDT"))</x:f>
      </x:c>
      <x:c r="E122" s="28" t="str">
        <x:f>IF(A122="","",SUMIFS('VENTAS'!$H$5:$H$254,'VENTAS'!$C$5:$C$254,A122,'VENTAS'!$F$5:$F$254,"Divisa"))</x:f>
      </x:c>
      <x:c r="F122" s="28" t="str">
        <x:f>IF(A122="","",SUMIFS('VENTAS'!$H$5:$H$254,'VENTAS'!$C$5:$C$254,A122,'VENTAS'!$F$5:$F$254,"Sin confirmar"))</x:f>
      </x:c>
      <x:c r="G122" s="28" t="str">
        <x:f>IF(A122="","",SUMIFS('VENTAS'!$H$5:$H$254,'VENTAS'!$C$5:$C$254,A122,'VENTAS'!$I$5:$I$254,"Moroso"))</x:f>
      </x:c>
      <x:c r="H122" s="22" t="str">
        <x:f>IF(A122="","",COUNTIFS('VENTAS'!$C$5:$C$254,A122,'VENTAS'!$I$5:$I$254,"Por conciliar"))</x:f>
      </x:c>
      <x:c r="I122" s="22" t="str">
        <x:f>IF(A122="","",IF(G122&gt;0,IF(H122&gt;0,"Moroso + revisar","Moroso"),IF(H122&gt;0,"Por conciliar",IF(SUM(C122:F122)&gt;0,"Deuda vigente","Sin saldo"))))</x:f>
      </x:c>
      <x:c r="J122" s="22" t="str">
        <x:f>IF(A122="","",IF(COUNTIFS($A$5:$A$154,A122)&gt;1,"Nombre duplicado","Correcto"))</x:f>
      </x:c>
    </x:row>
    <x:row r="123" ht="25" customHeight="1">
      <x:c r="A123" s="26" t="str"/>
      <x:c r="B123" s="22" t="str">
        <x:f>IF(A123="","",COUNTIFS('VENTAS'!$C$5:$C$254,A123))</x:f>
      </x:c>
      <x:c r="C123" s="28" t="str">
        <x:f>IF(A123="","",SUMIFS('VENTAS'!$H$5:$H$254,'VENTAS'!$C$5:$C$254,A123,'VENTAS'!$F$5:$F$254,"BCV"))</x:f>
      </x:c>
      <x:c r="D123" s="28" t="str">
        <x:f>IF(A123="","",SUMIFS('VENTAS'!$H$5:$H$254,'VENTAS'!$C$5:$C$254,A123,'VENTAS'!$F$5:$F$254,"USDT"))</x:f>
      </x:c>
      <x:c r="E123" s="28" t="str">
        <x:f>IF(A123="","",SUMIFS('VENTAS'!$H$5:$H$254,'VENTAS'!$C$5:$C$254,A123,'VENTAS'!$F$5:$F$254,"Divisa"))</x:f>
      </x:c>
      <x:c r="F123" s="28" t="str">
        <x:f>IF(A123="","",SUMIFS('VENTAS'!$H$5:$H$254,'VENTAS'!$C$5:$C$254,A123,'VENTAS'!$F$5:$F$254,"Sin confirmar"))</x:f>
      </x:c>
      <x:c r="G123" s="28" t="str">
        <x:f>IF(A123="","",SUMIFS('VENTAS'!$H$5:$H$254,'VENTAS'!$C$5:$C$254,A123,'VENTAS'!$I$5:$I$254,"Moroso"))</x:f>
      </x:c>
      <x:c r="H123" s="22" t="str">
        <x:f>IF(A123="","",COUNTIFS('VENTAS'!$C$5:$C$254,A123,'VENTAS'!$I$5:$I$254,"Por conciliar"))</x:f>
      </x:c>
      <x:c r="I123" s="22" t="str">
        <x:f>IF(A123="","",IF(G123&gt;0,IF(H123&gt;0,"Moroso + revisar","Moroso"),IF(H123&gt;0,"Por conciliar",IF(SUM(C123:F123)&gt;0,"Deuda vigente","Sin saldo"))))</x:f>
      </x:c>
      <x:c r="J123" s="22" t="str">
        <x:f>IF(A123="","",IF(COUNTIFS($A$5:$A$154,A123)&gt;1,"Nombre duplicado","Correcto"))</x:f>
      </x:c>
    </x:row>
    <x:row r="124" ht="25" customHeight="1">
      <x:c r="A124" s="26" t="str"/>
      <x:c r="B124" s="22" t="str">
        <x:f>IF(A124="","",COUNTIFS('VENTAS'!$C$5:$C$254,A124))</x:f>
      </x:c>
      <x:c r="C124" s="28" t="str">
        <x:f>IF(A124="","",SUMIFS('VENTAS'!$H$5:$H$254,'VENTAS'!$C$5:$C$254,A124,'VENTAS'!$F$5:$F$254,"BCV"))</x:f>
      </x:c>
      <x:c r="D124" s="28" t="str">
        <x:f>IF(A124="","",SUMIFS('VENTAS'!$H$5:$H$254,'VENTAS'!$C$5:$C$254,A124,'VENTAS'!$F$5:$F$254,"USDT"))</x:f>
      </x:c>
      <x:c r="E124" s="28" t="str">
        <x:f>IF(A124="","",SUMIFS('VENTAS'!$H$5:$H$254,'VENTAS'!$C$5:$C$254,A124,'VENTAS'!$F$5:$F$254,"Divisa"))</x:f>
      </x:c>
      <x:c r="F124" s="28" t="str">
        <x:f>IF(A124="","",SUMIFS('VENTAS'!$H$5:$H$254,'VENTAS'!$C$5:$C$254,A124,'VENTAS'!$F$5:$F$254,"Sin confirmar"))</x:f>
      </x:c>
      <x:c r="G124" s="28" t="str">
        <x:f>IF(A124="","",SUMIFS('VENTAS'!$H$5:$H$254,'VENTAS'!$C$5:$C$254,A124,'VENTAS'!$I$5:$I$254,"Moroso"))</x:f>
      </x:c>
      <x:c r="H124" s="22" t="str">
        <x:f>IF(A124="","",COUNTIFS('VENTAS'!$C$5:$C$254,A124,'VENTAS'!$I$5:$I$254,"Por conciliar"))</x:f>
      </x:c>
      <x:c r="I124" s="22" t="str">
        <x:f>IF(A124="","",IF(G124&gt;0,IF(H124&gt;0,"Moroso + revisar","Moroso"),IF(H124&gt;0,"Por conciliar",IF(SUM(C124:F124)&gt;0,"Deuda vigente","Sin saldo"))))</x:f>
      </x:c>
      <x:c r="J124" s="22" t="str">
        <x:f>IF(A124="","",IF(COUNTIFS($A$5:$A$154,A124)&gt;1,"Nombre duplicado","Correcto"))</x:f>
      </x:c>
    </x:row>
    <x:row r="125" ht="25" customHeight="1">
      <x:c r="A125" s="26" t="str"/>
      <x:c r="B125" s="22" t="str">
        <x:f>IF(A125="","",COUNTIFS('VENTAS'!$C$5:$C$254,A125))</x:f>
      </x:c>
      <x:c r="C125" s="28" t="str">
        <x:f>IF(A125="","",SUMIFS('VENTAS'!$H$5:$H$254,'VENTAS'!$C$5:$C$254,A125,'VENTAS'!$F$5:$F$254,"BCV"))</x:f>
      </x:c>
      <x:c r="D125" s="28" t="str">
        <x:f>IF(A125="","",SUMIFS('VENTAS'!$H$5:$H$254,'VENTAS'!$C$5:$C$254,A125,'VENTAS'!$F$5:$F$254,"USDT"))</x:f>
      </x:c>
      <x:c r="E125" s="28" t="str">
        <x:f>IF(A125="","",SUMIFS('VENTAS'!$H$5:$H$254,'VENTAS'!$C$5:$C$254,A125,'VENTAS'!$F$5:$F$254,"Divisa"))</x:f>
      </x:c>
      <x:c r="F125" s="28" t="str">
        <x:f>IF(A125="","",SUMIFS('VENTAS'!$H$5:$H$254,'VENTAS'!$C$5:$C$254,A125,'VENTAS'!$F$5:$F$254,"Sin confirmar"))</x:f>
      </x:c>
      <x:c r="G125" s="28" t="str">
        <x:f>IF(A125="","",SUMIFS('VENTAS'!$H$5:$H$254,'VENTAS'!$C$5:$C$254,A125,'VENTAS'!$I$5:$I$254,"Moroso"))</x:f>
      </x:c>
      <x:c r="H125" s="22" t="str">
        <x:f>IF(A125="","",COUNTIFS('VENTAS'!$C$5:$C$254,A125,'VENTAS'!$I$5:$I$254,"Por conciliar"))</x:f>
      </x:c>
      <x:c r="I125" s="22" t="str">
        <x:f>IF(A125="","",IF(G125&gt;0,IF(H125&gt;0,"Moroso + revisar","Moroso"),IF(H125&gt;0,"Por conciliar",IF(SUM(C125:F125)&gt;0,"Deuda vigente","Sin saldo"))))</x:f>
      </x:c>
      <x:c r="J125" s="22" t="str">
        <x:f>IF(A125="","",IF(COUNTIFS($A$5:$A$154,A125)&gt;1,"Nombre duplicado","Correcto"))</x:f>
      </x:c>
    </x:row>
    <x:row r="126" ht="25" customHeight="1">
      <x:c r="A126" s="26" t="str"/>
      <x:c r="B126" s="22" t="str">
        <x:f>IF(A126="","",COUNTIFS('VENTAS'!$C$5:$C$254,A126))</x:f>
      </x:c>
      <x:c r="C126" s="28" t="str">
        <x:f>IF(A126="","",SUMIFS('VENTAS'!$H$5:$H$254,'VENTAS'!$C$5:$C$254,A126,'VENTAS'!$F$5:$F$254,"BCV"))</x:f>
      </x:c>
      <x:c r="D126" s="28" t="str">
        <x:f>IF(A126="","",SUMIFS('VENTAS'!$H$5:$H$254,'VENTAS'!$C$5:$C$254,A126,'VENTAS'!$F$5:$F$254,"USDT"))</x:f>
      </x:c>
      <x:c r="E126" s="28" t="str">
        <x:f>IF(A126="","",SUMIFS('VENTAS'!$H$5:$H$254,'VENTAS'!$C$5:$C$254,A126,'VENTAS'!$F$5:$F$254,"Divisa"))</x:f>
      </x:c>
      <x:c r="F126" s="28" t="str">
        <x:f>IF(A126="","",SUMIFS('VENTAS'!$H$5:$H$254,'VENTAS'!$C$5:$C$254,A126,'VENTAS'!$F$5:$F$254,"Sin confirmar"))</x:f>
      </x:c>
      <x:c r="G126" s="28" t="str">
        <x:f>IF(A126="","",SUMIFS('VENTAS'!$H$5:$H$254,'VENTAS'!$C$5:$C$254,A126,'VENTAS'!$I$5:$I$254,"Moroso"))</x:f>
      </x:c>
      <x:c r="H126" s="22" t="str">
        <x:f>IF(A126="","",COUNTIFS('VENTAS'!$C$5:$C$254,A126,'VENTAS'!$I$5:$I$254,"Por conciliar"))</x:f>
      </x:c>
      <x:c r="I126" s="22" t="str">
        <x:f>IF(A126="","",IF(G126&gt;0,IF(H126&gt;0,"Moroso + revisar","Moroso"),IF(H126&gt;0,"Por conciliar",IF(SUM(C126:F126)&gt;0,"Deuda vigente","Sin saldo"))))</x:f>
      </x:c>
      <x:c r="J126" s="22" t="str">
        <x:f>IF(A126="","",IF(COUNTIFS($A$5:$A$154,A126)&gt;1,"Nombre duplicado","Correcto"))</x:f>
      </x:c>
    </x:row>
    <x:row r="127" ht="25" customHeight="1">
      <x:c r="A127" s="26" t="str"/>
      <x:c r="B127" s="22" t="str">
        <x:f>IF(A127="","",COUNTIFS('VENTAS'!$C$5:$C$254,A127))</x:f>
      </x:c>
      <x:c r="C127" s="28" t="str">
        <x:f>IF(A127="","",SUMIFS('VENTAS'!$H$5:$H$254,'VENTAS'!$C$5:$C$254,A127,'VENTAS'!$F$5:$F$254,"BCV"))</x:f>
      </x:c>
      <x:c r="D127" s="28" t="str">
        <x:f>IF(A127="","",SUMIFS('VENTAS'!$H$5:$H$254,'VENTAS'!$C$5:$C$254,A127,'VENTAS'!$F$5:$F$254,"USDT"))</x:f>
      </x:c>
      <x:c r="E127" s="28" t="str">
        <x:f>IF(A127="","",SUMIFS('VENTAS'!$H$5:$H$254,'VENTAS'!$C$5:$C$254,A127,'VENTAS'!$F$5:$F$254,"Divisa"))</x:f>
      </x:c>
      <x:c r="F127" s="28" t="str">
        <x:f>IF(A127="","",SUMIFS('VENTAS'!$H$5:$H$254,'VENTAS'!$C$5:$C$254,A127,'VENTAS'!$F$5:$F$254,"Sin confirmar"))</x:f>
      </x:c>
      <x:c r="G127" s="28" t="str">
        <x:f>IF(A127="","",SUMIFS('VENTAS'!$H$5:$H$254,'VENTAS'!$C$5:$C$254,A127,'VENTAS'!$I$5:$I$254,"Moroso"))</x:f>
      </x:c>
      <x:c r="H127" s="22" t="str">
        <x:f>IF(A127="","",COUNTIFS('VENTAS'!$C$5:$C$254,A127,'VENTAS'!$I$5:$I$254,"Por conciliar"))</x:f>
      </x:c>
      <x:c r="I127" s="22" t="str">
        <x:f>IF(A127="","",IF(G127&gt;0,IF(H127&gt;0,"Moroso + revisar","Moroso"),IF(H127&gt;0,"Por conciliar",IF(SUM(C127:F127)&gt;0,"Deuda vigente","Sin saldo"))))</x:f>
      </x:c>
      <x:c r="J127" s="22" t="str">
        <x:f>IF(A127="","",IF(COUNTIFS($A$5:$A$154,A127)&gt;1,"Nombre duplicado","Correcto"))</x:f>
      </x:c>
    </x:row>
    <x:row r="128" ht="25" customHeight="1">
      <x:c r="A128" s="26" t="str"/>
      <x:c r="B128" s="22" t="str">
        <x:f>IF(A128="","",COUNTIFS('VENTAS'!$C$5:$C$254,A128))</x:f>
      </x:c>
      <x:c r="C128" s="28" t="str">
        <x:f>IF(A128="","",SUMIFS('VENTAS'!$H$5:$H$254,'VENTAS'!$C$5:$C$254,A128,'VENTAS'!$F$5:$F$254,"BCV"))</x:f>
      </x:c>
      <x:c r="D128" s="28" t="str">
        <x:f>IF(A128="","",SUMIFS('VENTAS'!$H$5:$H$254,'VENTAS'!$C$5:$C$254,A128,'VENTAS'!$F$5:$F$254,"USDT"))</x:f>
      </x:c>
      <x:c r="E128" s="28" t="str">
        <x:f>IF(A128="","",SUMIFS('VENTAS'!$H$5:$H$254,'VENTAS'!$C$5:$C$254,A128,'VENTAS'!$F$5:$F$254,"Divisa"))</x:f>
      </x:c>
      <x:c r="F128" s="28" t="str">
        <x:f>IF(A128="","",SUMIFS('VENTAS'!$H$5:$H$254,'VENTAS'!$C$5:$C$254,A128,'VENTAS'!$F$5:$F$254,"Sin confirmar"))</x:f>
      </x:c>
      <x:c r="G128" s="28" t="str">
        <x:f>IF(A128="","",SUMIFS('VENTAS'!$H$5:$H$254,'VENTAS'!$C$5:$C$254,A128,'VENTAS'!$I$5:$I$254,"Moroso"))</x:f>
      </x:c>
      <x:c r="H128" s="22" t="str">
        <x:f>IF(A128="","",COUNTIFS('VENTAS'!$C$5:$C$254,A128,'VENTAS'!$I$5:$I$254,"Por conciliar"))</x:f>
      </x:c>
      <x:c r="I128" s="22" t="str">
        <x:f>IF(A128="","",IF(G128&gt;0,IF(H128&gt;0,"Moroso + revisar","Moroso"),IF(H128&gt;0,"Por conciliar",IF(SUM(C128:F128)&gt;0,"Deuda vigente","Sin saldo"))))</x:f>
      </x:c>
      <x:c r="J128" s="22" t="str">
        <x:f>IF(A128="","",IF(COUNTIFS($A$5:$A$154,A128)&gt;1,"Nombre duplicado","Correcto"))</x:f>
      </x:c>
    </x:row>
    <x:row r="129" ht="25" customHeight="1">
      <x:c r="A129" s="26" t="str"/>
      <x:c r="B129" s="22" t="str">
        <x:f>IF(A129="","",COUNTIFS('VENTAS'!$C$5:$C$254,A129))</x:f>
      </x:c>
      <x:c r="C129" s="28" t="str">
        <x:f>IF(A129="","",SUMIFS('VENTAS'!$H$5:$H$254,'VENTAS'!$C$5:$C$254,A129,'VENTAS'!$F$5:$F$254,"BCV"))</x:f>
      </x:c>
      <x:c r="D129" s="28" t="str">
        <x:f>IF(A129="","",SUMIFS('VENTAS'!$H$5:$H$254,'VENTAS'!$C$5:$C$254,A129,'VENTAS'!$F$5:$F$254,"USDT"))</x:f>
      </x:c>
      <x:c r="E129" s="28" t="str">
        <x:f>IF(A129="","",SUMIFS('VENTAS'!$H$5:$H$254,'VENTAS'!$C$5:$C$254,A129,'VENTAS'!$F$5:$F$254,"Divisa"))</x:f>
      </x:c>
      <x:c r="F129" s="28" t="str">
        <x:f>IF(A129="","",SUMIFS('VENTAS'!$H$5:$H$254,'VENTAS'!$C$5:$C$254,A129,'VENTAS'!$F$5:$F$254,"Sin confirmar"))</x:f>
      </x:c>
      <x:c r="G129" s="28" t="str">
        <x:f>IF(A129="","",SUMIFS('VENTAS'!$H$5:$H$254,'VENTAS'!$C$5:$C$254,A129,'VENTAS'!$I$5:$I$254,"Moroso"))</x:f>
      </x:c>
      <x:c r="H129" s="22" t="str">
        <x:f>IF(A129="","",COUNTIFS('VENTAS'!$C$5:$C$254,A129,'VENTAS'!$I$5:$I$254,"Por conciliar"))</x:f>
      </x:c>
      <x:c r="I129" s="22" t="str">
        <x:f>IF(A129="","",IF(G129&gt;0,IF(H129&gt;0,"Moroso + revisar","Moroso"),IF(H129&gt;0,"Por conciliar",IF(SUM(C129:F129)&gt;0,"Deuda vigente","Sin saldo"))))</x:f>
      </x:c>
      <x:c r="J129" s="22" t="str">
        <x:f>IF(A129="","",IF(COUNTIFS($A$5:$A$154,A129)&gt;1,"Nombre duplicado","Correcto"))</x:f>
      </x:c>
    </x:row>
    <x:row r="130" ht="25" customHeight="1">
      <x:c r="A130" s="26" t="str"/>
      <x:c r="B130" s="22" t="str">
        <x:f>IF(A130="","",COUNTIFS('VENTAS'!$C$5:$C$254,A130))</x:f>
      </x:c>
      <x:c r="C130" s="28" t="str">
        <x:f>IF(A130="","",SUMIFS('VENTAS'!$H$5:$H$254,'VENTAS'!$C$5:$C$254,A130,'VENTAS'!$F$5:$F$254,"BCV"))</x:f>
      </x:c>
      <x:c r="D130" s="28" t="str">
        <x:f>IF(A130="","",SUMIFS('VENTAS'!$H$5:$H$254,'VENTAS'!$C$5:$C$254,A130,'VENTAS'!$F$5:$F$254,"USDT"))</x:f>
      </x:c>
      <x:c r="E130" s="28" t="str">
        <x:f>IF(A130="","",SUMIFS('VENTAS'!$H$5:$H$254,'VENTAS'!$C$5:$C$254,A130,'VENTAS'!$F$5:$F$254,"Divisa"))</x:f>
      </x:c>
      <x:c r="F130" s="28" t="str">
        <x:f>IF(A130="","",SUMIFS('VENTAS'!$H$5:$H$254,'VENTAS'!$C$5:$C$254,A130,'VENTAS'!$F$5:$F$254,"Sin confirmar"))</x:f>
      </x:c>
      <x:c r="G130" s="28" t="str">
        <x:f>IF(A130="","",SUMIFS('VENTAS'!$H$5:$H$254,'VENTAS'!$C$5:$C$254,A130,'VENTAS'!$I$5:$I$254,"Moroso"))</x:f>
      </x:c>
      <x:c r="H130" s="22" t="str">
        <x:f>IF(A130="","",COUNTIFS('VENTAS'!$C$5:$C$254,A130,'VENTAS'!$I$5:$I$254,"Por conciliar"))</x:f>
      </x:c>
      <x:c r="I130" s="22" t="str">
        <x:f>IF(A130="","",IF(G130&gt;0,IF(H130&gt;0,"Moroso + revisar","Moroso"),IF(H130&gt;0,"Por conciliar",IF(SUM(C130:F130)&gt;0,"Deuda vigente","Sin saldo"))))</x:f>
      </x:c>
      <x:c r="J130" s="22" t="str">
        <x:f>IF(A130="","",IF(COUNTIFS($A$5:$A$154,A130)&gt;1,"Nombre duplicado","Correcto"))</x:f>
      </x:c>
    </x:row>
    <x:row r="131" ht="25" customHeight="1">
      <x:c r="A131" s="26" t="str"/>
      <x:c r="B131" s="22" t="str">
        <x:f>IF(A131="","",COUNTIFS('VENTAS'!$C$5:$C$254,A131))</x:f>
      </x:c>
      <x:c r="C131" s="28" t="str">
        <x:f>IF(A131="","",SUMIFS('VENTAS'!$H$5:$H$254,'VENTAS'!$C$5:$C$254,A131,'VENTAS'!$F$5:$F$254,"BCV"))</x:f>
      </x:c>
      <x:c r="D131" s="28" t="str">
        <x:f>IF(A131="","",SUMIFS('VENTAS'!$H$5:$H$254,'VENTAS'!$C$5:$C$254,A131,'VENTAS'!$F$5:$F$254,"USDT"))</x:f>
      </x:c>
      <x:c r="E131" s="28" t="str">
        <x:f>IF(A131="","",SUMIFS('VENTAS'!$H$5:$H$254,'VENTAS'!$C$5:$C$254,A131,'VENTAS'!$F$5:$F$254,"Divisa"))</x:f>
      </x:c>
      <x:c r="F131" s="28" t="str">
        <x:f>IF(A131="","",SUMIFS('VENTAS'!$H$5:$H$254,'VENTAS'!$C$5:$C$254,A131,'VENTAS'!$F$5:$F$254,"Sin confirmar"))</x:f>
      </x:c>
      <x:c r="G131" s="28" t="str">
        <x:f>IF(A131="","",SUMIFS('VENTAS'!$H$5:$H$254,'VENTAS'!$C$5:$C$254,A131,'VENTAS'!$I$5:$I$254,"Moroso"))</x:f>
      </x:c>
      <x:c r="H131" s="22" t="str">
        <x:f>IF(A131="","",COUNTIFS('VENTAS'!$C$5:$C$254,A131,'VENTAS'!$I$5:$I$254,"Por conciliar"))</x:f>
      </x:c>
      <x:c r="I131" s="22" t="str">
        <x:f>IF(A131="","",IF(G131&gt;0,IF(H131&gt;0,"Moroso + revisar","Moroso"),IF(H131&gt;0,"Por conciliar",IF(SUM(C131:F131)&gt;0,"Deuda vigente","Sin saldo"))))</x:f>
      </x:c>
      <x:c r="J131" s="22" t="str">
        <x:f>IF(A131="","",IF(COUNTIFS($A$5:$A$154,A131)&gt;1,"Nombre duplicado","Correcto"))</x:f>
      </x:c>
    </x:row>
    <x:row r="132" ht="25" customHeight="1">
      <x:c r="A132" s="26" t="str"/>
      <x:c r="B132" s="22" t="str">
        <x:f>IF(A132="","",COUNTIFS('VENTAS'!$C$5:$C$254,A132))</x:f>
      </x:c>
      <x:c r="C132" s="28" t="str">
        <x:f>IF(A132="","",SUMIFS('VENTAS'!$H$5:$H$254,'VENTAS'!$C$5:$C$254,A132,'VENTAS'!$F$5:$F$254,"BCV"))</x:f>
      </x:c>
      <x:c r="D132" s="28" t="str">
        <x:f>IF(A132="","",SUMIFS('VENTAS'!$H$5:$H$254,'VENTAS'!$C$5:$C$254,A132,'VENTAS'!$F$5:$F$254,"USDT"))</x:f>
      </x:c>
      <x:c r="E132" s="28" t="str">
        <x:f>IF(A132="","",SUMIFS('VENTAS'!$H$5:$H$254,'VENTAS'!$C$5:$C$254,A132,'VENTAS'!$F$5:$F$254,"Divisa"))</x:f>
      </x:c>
      <x:c r="F132" s="28" t="str">
        <x:f>IF(A132="","",SUMIFS('VENTAS'!$H$5:$H$254,'VENTAS'!$C$5:$C$254,A132,'VENTAS'!$F$5:$F$254,"Sin confirmar"))</x:f>
      </x:c>
      <x:c r="G132" s="28" t="str">
        <x:f>IF(A132="","",SUMIFS('VENTAS'!$H$5:$H$254,'VENTAS'!$C$5:$C$254,A132,'VENTAS'!$I$5:$I$254,"Moroso"))</x:f>
      </x:c>
      <x:c r="H132" s="22" t="str">
        <x:f>IF(A132="","",COUNTIFS('VENTAS'!$C$5:$C$254,A132,'VENTAS'!$I$5:$I$254,"Por conciliar"))</x:f>
      </x:c>
      <x:c r="I132" s="22" t="str">
        <x:f>IF(A132="","",IF(G132&gt;0,IF(H132&gt;0,"Moroso + revisar","Moroso"),IF(H132&gt;0,"Por conciliar",IF(SUM(C132:F132)&gt;0,"Deuda vigente","Sin saldo"))))</x:f>
      </x:c>
      <x:c r="J132" s="22" t="str">
        <x:f>IF(A132="","",IF(COUNTIFS($A$5:$A$154,A132)&gt;1,"Nombre duplicado","Correcto"))</x:f>
      </x:c>
    </x:row>
    <x:row r="133" ht="25" customHeight="1">
      <x:c r="A133" s="26" t="str"/>
      <x:c r="B133" s="22" t="str">
        <x:f>IF(A133="","",COUNTIFS('VENTAS'!$C$5:$C$254,A133))</x:f>
      </x:c>
      <x:c r="C133" s="28" t="str">
        <x:f>IF(A133="","",SUMIFS('VENTAS'!$H$5:$H$254,'VENTAS'!$C$5:$C$254,A133,'VENTAS'!$F$5:$F$254,"BCV"))</x:f>
      </x:c>
      <x:c r="D133" s="28" t="str">
        <x:f>IF(A133="","",SUMIFS('VENTAS'!$H$5:$H$254,'VENTAS'!$C$5:$C$254,A133,'VENTAS'!$F$5:$F$254,"USDT"))</x:f>
      </x:c>
      <x:c r="E133" s="28" t="str">
        <x:f>IF(A133="","",SUMIFS('VENTAS'!$H$5:$H$254,'VENTAS'!$C$5:$C$254,A133,'VENTAS'!$F$5:$F$254,"Divisa"))</x:f>
      </x:c>
      <x:c r="F133" s="28" t="str">
        <x:f>IF(A133="","",SUMIFS('VENTAS'!$H$5:$H$254,'VENTAS'!$C$5:$C$254,A133,'VENTAS'!$F$5:$F$254,"Sin confirmar"))</x:f>
      </x:c>
      <x:c r="G133" s="28" t="str">
        <x:f>IF(A133="","",SUMIFS('VENTAS'!$H$5:$H$254,'VENTAS'!$C$5:$C$254,A133,'VENTAS'!$I$5:$I$254,"Moroso"))</x:f>
      </x:c>
      <x:c r="H133" s="22" t="str">
        <x:f>IF(A133="","",COUNTIFS('VENTAS'!$C$5:$C$254,A133,'VENTAS'!$I$5:$I$254,"Por conciliar"))</x:f>
      </x:c>
      <x:c r="I133" s="22" t="str">
        <x:f>IF(A133="","",IF(G133&gt;0,IF(H133&gt;0,"Moroso + revisar","Moroso"),IF(H133&gt;0,"Por conciliar",IF(SUM(C133:F133)&gt;0,"Deuda vigente","Sin saldo"))))</x:f>
      </x:c>
      <x:c r="J133" s="22" t="str">
        <x:f>IF(A133="","",IF(COUNTIFS($A$5:$A$154,A133)&gt;1,"Nombre duplicado","Correcto"))</x:f>
      </x:c>
    </x:row>
    <x:row r="134" ht="25" customHeight="1">
      <x:c r="A134" s="26" t="str"/>
      <x:c r="B134" s="22" t="str">
        <x:f>IF(A134="","",COUNTIFS('VENTAS'!$C$5:$C$254,A134))</x:f>
      </x:c>
      <x:c r="C134" s="28" t="str">
        <x:f>IF(A134="","",SUMIFS('VENTAS'!$H$5:$H$254,'VENTAS'!$C$5:$C$254,A134,'VENTAS'!$F$5:$F$254,"BCV"))</x:f>
      </x:c>
      <x:c r="D134" s="28" t="str">
        <x:f>IF(A134="","",SUMIFS('VENTAS'!$H$5:$H$254,'VENTAS'!$C$5:$C$254,A134,'VENTAS'!$F$5:$F$254,"USDT"))</x:f>
      </x:c>
      <x:c r="E134" s="28" t="str">
        <x:f>IF(A134="","",SUMIFS('VENTAS'!$H$5:$H$254,'VENTAS'!$C$5:$C$254,A134,'VENTAS'!$F$5:$F$254,"Divisa"))</x:f>
      </x:c>
      <x:c r="F134" s="28" t="str">
        <x:f>IF(A134="","",SUMIFS('VENTAS'!$H$5:$H$254,'VENTAS'!$C$5:$C$254,A134,'VENTAS'!$F$5:$F$254,"Sin confirmar"))</x:f>
      </x:c>
      <x:c r="G134" s="28" t="str">
        <x:f>IF(A134="","",SUMIFS('VENTAS'!$H$5:$H$254,'VENTAS'!$C$5:$C$254,A134,'VENTAS'!$I$5:$I$254,"Moroso"))</x:f>
      </x:c>
      <x:c r="H134" s="22" t="str">
        <x:f>IF(A134="","",COUNTIFS('VENTAS'!$C$5:$C$254,A134,'VENTAS'!$I$5:$I$254,"Por conciliar"))</x:f>
      </x:c>
      <x:c r="I134" s="22" t="str">
        <x:f>IF(A134="","",IF(G134&gt;0,IF(H134&gt;0,"Moroso + revisar","Moroso"),IF(H134&gt;0,"Por conciliar",IF(SUM(C134:F134)&gt;0,"Deuda vigente","Sin saldo"))))</x:f>
      </x:c>
      <x:c r="J134" s="22" t="str">
        <x:f>IF(A134="","",IF(COUNTIFS($A$5:$A$154,A134)&gt;1,"Nombre duplicado","Correcto"))</x:f>
      </x:c>
    </x:row>
    <x:row r="135" ht="25" customHeight="1">
      <x:c r="A135" s="26" t="str"/>
      <x:c r="B135" s="22" t="str">
        <x:f>IF(A135="","",COUNTIFS('VENTAS'!$C$5:$C$254,A135))</x:f>
      </x:c>
      <x:c r="C135" s="28" t="str">
        <x:f>IF(A135="","",SUMIFS('VENTAS'!$H$5:$H$254,'VENTAS'!$C$5:$C$254,A135,'VENTAS'!$F$5:$F$254,"BCV"))</x:f>
      </x:c>
      <x:c r="D135" s="28" t="str">
        <x:f>IF(A135="","",SUMIFS('VENTAS'!$H$5:$H$254,'VENTAS'!$C$5:$C$254,A135,'VENTAS'!$F$5:$F$254,"USDT"))</x:f>
      </x:c>
      <x:c r="E135" s="28" t="str">
        <x:f>IF(A135="","",SUMIFS('VENTAS'!$H$5:$H$254,'VENTAS'!$C$5:$C$254,A135,'VENTAS'!$F$5:$F$254,"Divisa"))</x:f>
      </x:c>
      <x:c r="F135" s="28" t="str">
        <x:f>IF(A135="","",SUMIFS('VENTAS'!$H$5:$H$254,'VENTAS'!$C$5:$C$254,A135,'VENTAS'!$F$5:$F$254,"Sin confirmar"))</x:f>
      </x:c>
      <x:c r="G135" s="28" t="str">
        <x:f>IF(A135="","",SUMIFS('VENTAS'!$H$5:$H$254,'VENTAS'!$C$5:$C$254,A135,'VENTAS'!$I$5:$I$254,"Moroso"))</x:f>
      </x:c>
      <x:c r="H135" s="22" t="str">
        <x:f>IF(A135="","",COUNTIFS('VENTAS'!$C$5:$C$254,A135,'VENTAS'!$I$5:$I$254,"Por conciliar"))</x:f>
      </x:c>
      <x:c r="I135" s="22" t="str">
        <x:f>IF(A135="","",IF(G135&gt;0,IF(H135&gt;0,"Moroso + revisar","Moroso"),IF(H135&gt;0,"Por conciliar",IF(SUM(C135:F135)&gt;0,"Deuda vigente","Sin saldo"))))</x:f>
      </x:c>
      <x:c r="J135" s="22" t="str">
        <x:f>IF(A135="","",IF(COUNTIFS($A$5:$A$154,A135)&gt;1,"Nombre duplicado","Correcto"))</x:f>
      </x:c>
    </x:row>
    <x:row r="136" ht="25" customHeight="1">
      <x:c r="A136" s="26" t="str"/>
      <x:c r="B136" s="22" t="str">
        <x:f>IF(A136="","",COUNTIFS('VENTAS'!$C$5:$C$254,A136))</x:f>
      </x:c>
      <x:c r="C136" s="28" t="str">
        <x:f>IF(A136="","",SUMIFS('VENTAS'!$H$5:$H$254,'VENTAS'!$C$5:$C$254,A136,'VENTAS'!$F$5:$F$254,"BCV"))</x:f>
      </x:c>
      <x:c r="D136" s="28" t="str">
        <x:f>IF(A136="","",SUMIFS('VENTAS'!$H$5:$H$254,'VENTAS'!$C$5:$C$254,A136,'VENTAS'!$F$5:$F$254,"USDT"))</x:f>
      </x:c>
      <x:c r="E136" s="28" t="str">
        <x:f>IF(A136="","",SUMIFS('VENTAS'!$H$5:$H$254,'VENTAS'!$C$5:$C$254,A136,'VENTAS'!$F$5:$F$254,"Divisa"))</x:f>
      </x:c>
      <x:c r="F136" s="28" t="str">
        <x:f>IF(A136="","",SUMIFS('VENTAS'!$H$5:$H$254,'VENTAS'!$C$5:$C$254,A136,'VENTAS'!$F$5:$F$254,"Sin confirmar"))</x:f>
      </x:c>
      <x:c r="G136" s="28" t="str">
        <x:f>IF(A136="","",SUMIFS('VENTAS'!$H$5:$H$254,'VENTAS'!$C$5:$C$254,A136,'VENTAS'!$I$5:$I$254,"Moroso"))</x:f>
      </x:c>
      <x:c r="H136" s="22" t="str">
        <x:f>IF(A136="","",COUNTIFS('VENTAS'!$C$5:$C$254,A136,'VENTAS'!$I$5:$I$254,"Por conciliar"))</x:f>
      </x:c>
      <x:c r="I136" s="22" t="str">
        <x:f>IF(A136="","",IF(G136&gt;0,IF(H136&gt;0,"Moroso + revisar","Moroso"),IF(H136&gt;0,"Por conciliar",IF(SUM(C136:F136)&gt;0,"Deuda vigente","Sin saldo"))))</x:f>
      </x:c>
      <x:c r="J136" s="22" t="str">
        <x:f>IF(A136="","",IF(COUNTIFS($A$5:$A$154,A136)&gt;1,"Nombre duplicado","Correcto"))</x:f>
      </x:c>
    </x:row>
    <x:row r="137" ht="25" customHeight="1">
      <x:c r="A137" s="26" t="str"/>
      <x:c r="B137" s="22" t="str">
        <x:f>IF(A137="","",COUNTIFS('VENTAS'!$C$5:$C$254,A137))</x:f>
      </x:c>
      <x:c r="C137" s="28" t="str">
        <x:f>IF(A137="","",SUMIFS('VENTAS'!$H$5:$H$254,'VENTAS'!$C$5:$C$254,A137,'VENTAS'!$F$5:$F$254,"BCV"))</x:f>
      </x:c>
      <x:c r="D137" s="28" t="str">
        <x:f>IF(A137="","",SUMIFS('VENTAS'!$H$5:$H$254,'VENTAS'!$C$5:$C$254,A137,'VENTAS'!$F$5:$F$254,"USDT"))</x:f>
      </x:c>
      <x:c r="E137" s="28" t="str">
        <x:f>IF(A137="","",SUMIFS('VENTAS'!$H$5:$H$254,'VENTAS'!$C$5:$C$254,A137,'VENTAS'!$F$5:$F$254,"Divisa"))</x:f>
      </x:c>
      <x:c r="F137" s="28" t="str">
        <x:f>IF(A137="","",SUMIFS('VENTAS'!$H$5:$H$254,'VENTAS'!$C$5:$C$254,A137,'VENTAS'!$F$5:$F$254,"Sin confirmar"))</x:f>
      </x:c>
      <x:c r="G137" s="28" t="str">
        <x:f>IF(A137="","",SUMIFS('VENTAS'!$H$5:$H$254,'VENTAS'!$C$5:$C$254,A137,'VENTAS'!$I$5:$I$254,"Moroso"))</x:f>
      </x:c>
      <x:c r="H137" s="22" t="str">
        <x:f>IF(A137="","",COUNTIFS('VENTAS'!$C$5:$C$254,A137,'VENTAS'!$I$5:$I$254,"Por conciliar"))</x:f>
      </x:c>
      <x:c r="I137" s="22" t="str">
        <x:f>IF(A137="","",IF(G137&gt;0,IF(H137&gt;0,"Moroso + revisar","Moroso"),IF(H137&gt;0,"Por conciliar",IF(SUM(C137:F137)&gt;0,"Deuda vigente","Sin saldo"))))</x:f>
      </x:c>
      <x:c r="J137" s="22" t="str">
        <x:f>IF(A137="","",IF(COUNTIFS($A$5:$A$154,A137)&gt;1,"Nombre duplicado","Correcto"))</x:f>
      </x:c>
    </x:row>
    <x:row r="138" ht="25" customHeight="1">
      <x:c r="A138" s="26" t="str"/>
      <x:c r="B138" s="22" t="str">
        <x:f>IF(A138="","",COUNTIFS('VENTAS'!$C$5:$C$254,A138))</x:f>
      </x:c>
      <x:c r="C138" s="28" t="str">
        <x:f>IF(A138="","",SUMIFS('VENTAS'!$H$5:$H$254,'VENTAS'!$C$5:$C$254,A138,'VENTAS'!$F$5:$F$254,"BCV"))</x:f>
      </x:c>
      <x:c r="D138" s="28" t="str">
        <x:f>IF(A138="","",SUMIFS('VENTAS'!$H$5:$H$254,'VENTAS'!$C$5:$C$254,A138,'VENTAS'!$F$5:$F$254,"USDT"))</x:f>
      </x:c>
      <x:c r="E138" s="28" t="str">
        <x:f>IF(A138="","",SUMIFS('VENTAS'!$H$5:$H$254,'VENTAS'!$C$5:$C$254,A138,'VENTAS'!$F$5:$F$254,"Divisa"))</x:f>
      </x:c>
      <x:c r="F138" s="28" t="str">
        <x:f>IF(A138="","",SUMIFS('VENTAS'!$H$5:$H$254,'VENTAS'!$C$5:$C$254,A138,'VENTAS'!$F$5:$F$254,"Sin confirmar"))</x:f>
      </x:c>
      <x:c r="G138" s="28" t="str">
        <x:f>IF(A138="","",SUMIFS('VENTAS'!$H$5:$H$254,'VENTAS'!$C$5:$C$254,A138,'VENTAS'!$I$5:$I$254,"Moroso"))</x:f>
      </x:c>
      <x:c r="H138" s="22" t="str">
        <x:f>IF(A138="","",COUNTIFS('VENTAS'!$C$5:$C$254,A138,'VENTAS'!$I$5:$I$254,"Por conciliar"))</x:f>
      </x:c>
      <x:c r="I138" s="22" t="str">
        <x:f>IF(A138="","",IF(G138&gt;0,IF(H138&gt;0,"Moroso + revisar","Moroso"),IF(H138&gt;0,"Por conciliar",IF(SUM(C138:F138)&gt;0,"Deuda vigente","Sin saldo"))))</x:f>
      </x:c>
      <x:c r="J138" s="22" t="str">
        <x:f>IF(A138="","",IF(COUNTIFS($A$5:$A$154,A138)&gt;1,"Nombre duplicado","Correcto"))</x:f>
      </x:c>
    </x:row>
    <x:row r="139" ht="25" customHeight="1">
      <x:c r="A139" s="26" t="str"/>
      <x:c r="B139" s="22" t="str">
        <x:f>IF(A139="","",COUNTIFS('VENTAS'!$C$5:$C$254,A139))</x:f>
      </x:c>
      <x:c r="C139" s="28" t="str">
        <x:f>IF(A139="","",SUMIFS('VENTAS'!$H$5:$H$254,'VENTAS'!$C$5:$C$254,A139,'VENTAS'!$F$5:$F$254,"BCV"))</x:f>
      </x:c>
      <x:c r="D139" s="28" t="str">
        <x:f>IF(A139="","",SUMIFS('VENTAS'!$H$5:$H$254,'VENTAS'!$C$5:$C$254,A139,'VENTAS'!$F$5:$F$254,"USDT"))</x:f>
      </x:c>
      <x:c r="E139" s="28" t="str">
        <x:f>IF(A139="","",SUMIFS('VENTAS'!$H$5:$H$254,'VENTAS'!$C$5:$C$254,A139,'VENTAS'!$F$5:$F$254,"Divisa"))</x:f>
      </x:c>
      <x:c r="F139" s="28" t="str">
        <x:f>IF(A139="","",SUMIFS('VENTAS'!$H$5:$H$254,'VENTAS'!$C$5:$C$254,A139,'VENTAS'!$F$5:$F$254,"Sin confirmar"))</x:f>
      </x:c>
      <x:c r="G139" s="28" t="str">
        <x:f>IF(A139="","",SUMIFS('VENTAS'!$H$5:$H$254,'VENTAS'!$C$5:$C$254,A139,'VENTAS'!$I$5:$I$254,"Moroso"))</x:f>
      </x:c>
      <x:c r="H139" s="22" t="str">
        <x:f>IF(A139="","",COUNTIFS('VENTAS'!$C$5:$C$254,A139,'VENTAS'!$I$5:$I$254,"Por conciliar"))</x:f>
      </x:c>
      <x:c r="I139" s="22" t="str">
        <x:f>IF(A139="","",IF(G139&gt;0,IF(H139&gt;0,"Moroso + revisar","Moroso"),IF(H139&gt;0,"Por conciliar",IF(SUM(C139:F139)&gt;0,"Deuda vigente","Sin saldo"))))</x:f>
      </x:c>
      <x:c r="J139" s="22" t="str">
        <x:f>IF(A139="","",IF(COUNTIFS($A$5:$A$154,A139)&gt;1,"Nombre duplicado","Correcto"))</x:f>
      </x:c>
    </x:row>
    <x:row r="140" ht="25" customHeight="1">
      <x:c r="A140" s="26" t="str"/>
      <x:c r="B140" s="22" t="str">
        <x:f>IF(A140="","",COUNTIFS('VENTAS'!$C$5:$C$254,A140))</x:f>
      </x:c>
      <x:c r="C140" s="28" t="str">
        <x:f>IF(A140="","",SUMIFS('VENTAS'!$H$5:$H$254,'VENTAS'!$C$5:$C$254,A140,'VENTAS'!$F$5:$F$254,"BCV"))</x:f>
      </x:c>
      <x:c r="D140" s="28" t="str">
        <x:f>IF(A140="","",SUMIFS('VENTAS'!$H$5:$H$254,'VENTAS'!$C$5:$C$254,A140,'VENTAS'!$F$5:$F$254,"USDT"))</x:f>
      </x:c>
      <x:c r="E140" s="28" t="str">
        <x:f>IF(A140="","",SUMIFS('VENTAS'!$H$5:$H$254,'VENTAS'!$C$5:$C$254,A140,'VENTAS'!$F$5:$F$254,"Divisa"))</x:f>
      </x:c>
      <x:c r="F140" s="28" t="str">
        <x:f>IF(A140="","",SUMIFS('VENTAS'!$H$5:$H$254,'VENTAS'!$C$5:$C$254,A140,'VENTAS'!$F$5:$F$254,"Sin confirmar"))</x:f>
      </x:c>
      <x:c r="G140" s="28" t="str">
        <x:f>IF(A140="","",SUMIFS('VENTAS'!$H$5:$H$254,'VENTAS'!$C$5:$C$254,A140,'VENTAS'!$I$5:$I$254,"Moroso"))</x:f>
      </x:c>
      <x:c r="H140" s="22" t="str">
        <x:f>IF(A140="","",COUNTIFS('VENTAS'!$C$5:$C$254,A140,'VENTAS'!$I$5:$I$254,"Por conciliar"))</x:f>
      </x:c>
      <x:c r="I140" s="22" t="str">
        <x:f>IF(A140="","",IF(G140&gt;0,IF(H140&gt;0,"Moroso + revisar","Moroso"),IF(H140&gt;0,"Por conciliar",IF(SUM(C140:F140)&gt;0,"Deuda vigente","Sin saldo"))))</x:f>
      </x:c>
      <x:c r="J140" s="22" t="str">
        <x:f>IF(A140="","",IF(COUNTIFS($A$5:$A$154,A140)&gt;1,"Nombre duplicado","Correcto"))</x:f>
      </x:c>
    </x:row>
    <x:row r="141" ht="25" customHeight="1">
      <x:c r="A141" s="26" t="str"/>
      <x:c r="B141" s="22" t="str">
        <x:f>IF(A141="","",COUNTIFS('VENTAS'!$C$5:$C$254,A141))</x:f>
      </x:c>
      <x:c r="C141" s="28" t="str">
        <x:f>IF(A141="","",SUMIFS('VENTAS'!$H$5:$H$254,'VENTAS'!$C$5:$C$254,A141,'VENTAS'!$F$5:$F$254,"BCV"))</x:f>
      </x:c>
      <x:c r="D141" s="28" t="str">
        <x:f>IF(A141="","",SUMIFS('VENTAS'!$H$5:$H$254,'VENTAS'!$C$5:$C$254,A141,'VENTAS'!$F$5:$F$254,"USDT"))</x:f>
      </x:c>
      <x:c r="E141" s="28" t="str">
        <x:f>IF(A141="","",SUMIFS('VENTAS'!$H$5:$H$254,'VENTAS'!$C$5:$C$254,A141,'VENTAS'!$F$5:$F$254,"Divisa"))</x:f>
      </x:c>
      <x:c r="F141" s="28" t="str">
        <x:f>IF(A141="","",SUMIFS('VENTAS'!$H$5:$H$254,'VENTAS'!$C$5:$C$254,A141,'VENTAS'!$F$5:$F$254,"Sin confirmar"))</x:f>
      </x:c>
      <x:c r="G141" s="28" t="str">
        <x:f>IF(A141="","",SUMIFS('VENTAS'!$H$5:$H$254,'VENTAS'!$C$5:$C$254,A141,'VENTAS'!$I$5:$I$254,"Moroso"))</x:f>
      </x:c>
      <x:c r="H141" s="22" t="str">
        <x:f>IF(A141="","",COUNTIFS('VENTAS'!$C$5:$C$254,A141,'VENTAS'!$I$5:$I$254,"Por conciliar"))</x:f>
      </x:c>
      <x:c r="I141" s="22" t="str">
        <x:f>IF(A141="","",IF(G141&gt;0,IF(H141&gt;0,"Moroso + revisar","Moroso"),IF(H141&gt;0,"Por conciliar",IF(SUM(C141:F141)&gt;0,"Deuda vigente","Sin saldo"))))</x:f>
      </x:c>
      <x:c r="J141" s="22" t="str">
        <x:f>IF(A141="","",IF(COUNTIFS($A$5:$A$154,A141)&gt;1,"Nombre duplicado","Correcto"))</x:f>
      </x:c>
    </x:row>
    <x:row r="142" ht="25" customHeight="1">
      <x:c r="A142" s="26" t="str"/>
      <x:c r="B142" s="22" t="str">
        <x:f>IF(A142="","",COUNTIFS('VENTAS'!$C$5:$C$254,A142))</x:f>
      </x:c>
      <x:c r="C142" s="28" t="str">
        <x:f>IF(A142="","",SUMIFS('VENTAS'!$H$5:$H$254,'VENTAS'!$C$5:$C$254,A142,'VENTAS'!$F$5:$F$254,"BCV"))</x:f>
      </x:c>
      <x:c r="D142" s="28" t="str">
        <x:f>IF(A142="","",SUMIFS('VENTAS'!$H$5:$H$254,'VENTAS'!$C$5:$C$254,A142,'VENTAS'!$F$5:$F$254,"USDT"))</x:f>
      </x:c>
      <x:c r="E142" s="28" t="str">
        <x:f>IF(A142="","",SUMIFS('VENTAS'!$H$5:$H$254,'VENTAS'!$C$5:$C$254,A142,'VENTAS'!$F$5:$F$254,"Divisa"))</x:f>
      </x:c>
      <x:c r="F142" s="28" t="str">
        <x:f>IF(A142="","",SUMIFS('VENTAS'!$H$5:$H$254,'VENTAS'!$C$5:$C$254,A142,'VENTAS'!$F$5:$F$254,"Sin confirmar"))</x:f>
      </x:c>
      <x:c r="G142" s="28" t="str">
        <x:f>IF(A142="","",SUMIFS('VENTAS'!$H$5:$H$254,'VENTAS'!$C$5:$C$254,A142,'VENTAS'!$I$5:$I$254,"Moroso"))</x:f>
      </x:c>
      <x:c r="H142" s="22" t="str">
        <x:f>IF(A142="","",COUNTIFS('VENTAS'!$C$5:$C$254,A142,'VENTAS'!$I$5:$I$254,"Por conciliar"))</x:f>
      </x:c>
      <x:c r="I142" s="22" t="str">
        <x:f>IF(A142="","",IF(G142&gt;0,IF(H142&gt;0,"Moroso + revisar","Moroso"),IF(H142&gt;0,"Por conciliar",IF(SUM(C142:F142)&gt;0,"Deuda vigente","Sin saldo"))))</x:f>
      </x:c>
      <x:c r="J142" s="22" t="str">
        <x:f>IF(A142="","",IF(COUNTIFS($A$5:$A$154,A142)&gt;1,"Nombre duplicado","Correcto"))</x:f>
      </x:c>
    </x:row>
    <x:row r="143" ht="25" customHeight="1">
      <x:c r="A143" s="26" t="str"/>
      <x:c r="B143" s="22" t="str">
        <x:f>IF(A143="","",COUNTIFS('VENTAS'!$C$5:$C$254,A143))</x:f>
      </x:c>
      <x:c r="C143" s="28" t="str">
        <x:f>IF(A143="","",SUMIFS('VENTAS'!$H$5:$H$254,'VENTAS'!$C$5:$C$254,A143,'VENTAS'!$F$5:$F$254,"BCV"))</x:f>
      </x:c>
      <x:c r="D143" s="28" t="str">
        <x:f>IF(A143="","",SUMIFS('VENTAS'!$H$5:$H$254,'VENTAS'!$C$5:$C$254,A143,'VENTAS'!$F$5:$F$254,"USDT"))</x:f>
      </x:c>
      <x:c r="E143" s="28" t="str">
        <x:f>IF(A143="","",SUMIFS('VENTAS'!$H$5:$H$254,'VENTAS'!$C$5:$C$254,A143,'VENTAS'!$F$5:$F$254,"Divisa"))</x:f>
      </x:c>
      <x:c r="F143" s="28" t="str">
        <x:f>IF(A143="","",SUMIFS('VENTAS'!$H$5:$H$254,'VENTAS'!$C$5:$C$254,A143,'VENTAS'!$F$5:$F$254,"Sin confirmar"))</x:f>
      </x:c>
      <x:c r="G143" s="28" t="str">
        <x:f>IF(A143="","",SUMIFS('VENTAS'!$H$5:$H$254,'VENTAS'!$C$5:$C$254,A143,'VENTAS'!$I$5:$I$254,"Moroso"))</x:f>
      </x:c>
      <x:c r="H143" s="22" t="str">
        <x:f>IF(A143="","",COUNTIFS('VENTAS'!$C$5:$C$254,A143,'VENTAS'!$I$5:$I$254,"Por conciliar"))</x:f>
      </x:c>
      <x:c r="I143" s="22" t="str">
        <x:f>IF(A143="","",IF(G143&gt;0,IF(H143&gt;0,"Moroso + revisar","Moroso"),IF(H143&gt;0,"Por conciliar",IF(SUM(C143:F143)&gt;0,"Deuda vigente","Sin saldo"))))</x:f>
      </x:c>
      <x:c r="J143" s="22" t="str">
        <x:f>IF(A143="","",IF(COUNTIFS($A$5:$A$154,A143)&gt;1,"Nombre duplicado","Correcto"))</x:f>
      </x:c>
    </x:row>
    <x:row r="144" ht="25" customHeight="1">
      <x:c r="A144" s="26" t="str"/>
      <x:c r="B144" s="22" t="str">
        <x:f>IF(A144="","",COUNTIFS('VENTAS'!$C$5:$C$254,A144))</x:f>
      </x:c>
      <x:c r="C144" s="28" t="str">
        <x:f>IF(A144="","",SUMIFS('VENTAS'!$H$5:$H$254,'VENTAS'!$C$5:$C$254,A144,'VENTAS'!$F$5:$F$254,"BCV"))</x:f>
      </x:c>
      <x:c r="D144" s="28" t="str">
        <x:f>IF(A144="","",SUMIFS('VENTAS'!$H$5:$H$254,'VENTAS'!$C$5:$C$254,A144,'VENTAS'!$F$5:$F$254,"USDT"))</x:f>
      </x:c>
      <x:c r="E144" s="28" t="str">
        <x:f>IF(A144="","",SUMIFS('VENTAS'!$H$5:$H$254,'VENTAS'!$C$5:$C$254,A144,'VENTAS'!$F$5:$F$254,"Divisa"))</x:f>
      </x:c>
      <x:c r="F144" s="28" t="str">
        <x:f>IF(A144="","",SUMIFS('VENTAS'!$H$5:$H$254,'VENTAS'!$C$5:$C$254,A144,'VENTAS'!$F$5:$F$254,"Sin confirmar"))</x:f>
      </x:c>
      <x:c r="G144" s="28" t="str">
        <x:f>IF(A144="","",SUMIFS('VENTAS'!$H$5:$H$254,'VENTAS'!$C$5:$C$254,A144,'VENTAS'!$I$5:$I$254,"Moroso"))</x:f>
      </x:c>
      <x:c r="H144" s="22" t="str">
        <x:f>IF(A144="","",COUNTIFS('VENTAS'!$C$5:$C$254,A144,'VENTAS'!$I$5:$I$254,"Por conciliar"))</x:f>
      </x:c>
      <x:c r="I144" s="22" t="str">
        <x:f>IF(A144="","",IF(G144&gt;0,IF(H144&gt;0,"Moroso + revisar","Moroso"),IF(H144&gt;0,"Por conciliar",IF(SUM(C144:F144)&gt;0,"Deuda vigente","Sin saldo"))))</x:f>
      </x:c>
      <x:c r="J144" s="22" t="str">
        <x:f>IF(A144="","",IF(COUNTIFS($A$5:$A$154,A144)&gt;1,"Nombre duplicado","Correcto"))</x:f>
      </x:c>
    </x:row>
    <x:row r="145" ht="25" customHeight="1">
      <x:c r="A145" s="26" t="str"/>
      <x:c r="B145" s="22" t="str">
        <x:f>IF(A145="","",COUNTIFS('VENTAS'!$C$5:$C$254,A145))</x:f>
      </x:c>
      <x:c r="C145" s="28" t="str">
        <x:f>IF(A145="","",SUMIFS('VENTAS'!$H$5:$H$254,'VENTAS'!$C$5:$C$254,A145,'VENTAS'!$F$5:$F$254,"BCV"))</x:f>
      </x:c>
      <x:c r="D145" s="28" t="str">
        <x:f>IF(A145="","",SUMIFS('VENTAS'!$H$5:$H$254,'VENTAS'!$C$5:$C$254,A145,'VENTAS'!$F$5:$F$254,"USDT"))</x:f>
      </x:c>
      <x:c r="E145" s="28" t="str">
        <x:f>IF(A145="","",SUMIFS('VENTAS'!$H$5:$H$254,'VENTAS'!$C$5:$C$254,A145,'VENTAS'!$F$5:$F$254,"Divisa"))</x:f>
      </x:c>
      <x:c r="F145" s="28" t="str">
        <x:f>IF(A145="","",SUMIFS('VENTAS'!$H$5:$H$254,'VENTAS'!$C$5:$C$254,A145,'VENTAS'!$F$5:$F$254,"Sin confirmar"))</x:f>
      </x:c>
      <x:c r="G145" s="28" t="str">
        <x:f>IF(A145="","",SUMIFS('VENTAS'!$H$5:$H$254,'VENTAS'!$C$5:$C$254,A145,'VENTAS'!$I$5:$I$254,"Moroso"))</x:f>
      </x:c>
      <x:c r="H145" s="22" t="str">
        <x:f>IF(A145="","",COUNTIFS('VENTAS'!$C$5:$C$254,A145,'VENTAS'!$I$5:$I$254,"Por conciliar"))</x:f>
      </x:c>
      <x:c r="I145" s="22" t="str">
        <x:f>IF(A145="","",IF(G145&gt;0,IF(H145&gt;0,"Moroso + revisar","Moroso"),IF(H145&gt;0,"Por conciliar",IF(SUM(C145:F145)&gt;0,"Deuda vigente","Sin saldo"))))</x:f>
      </x:c>
      <x:c r="J145" s="22" t="str">
        <x:f>IF(A145="","",IF(COUNTIFS($A$5:$A$154,A145)&gt;1,"Nombre duplicado","Correcto"))</x:f>
      </x:c>
    </x:row>
    <x:row r="146" ht="25" customHeight="1">
      <x:c r="A146" s="26" t="str"/>
      <x:c r="B146" s="22" t="str">
        <x:f>IF(A146="","",COUNTIFS('VENTAS'!$C$5:$C$254,A146))</x:f>
      </x:c>
      <x:c r="C146" s="28" t="str">
        <x:f>IF(A146="","",SUMIFS('VENTAS'!$H$5:$H$254,'VENTAS'!$C$5:$C$254,A146,'VENTAS'!$F$5:$F$254,"BCV"))</x:f>
      </x:c>
      <x:c r="D146" s="28" t="str">
        <x:f>IF(A146="","",SUMIFS('VENTAS'!$H$5:$H$254,'VENTAS'!$C$5:$C$254,A146,'VENTAS'!$F$5:$F$254,"USDT"))</x:f>
      </x:c>
      <x:c r="E146" s="28" t="str">
        <x:f>IF(A146="","",SUMIFS('VENTAS'!$H$5:$H$254,'VENTAS'!$C$5:$C$254,A146,'VENTAS'!$F$5:$F$254,"Divisa"))</x:f>
      </x:c>
      <x:c r="F146" s="28" t="str">
        <x:f>IF(A146="","",SUMIFS('VENTAS'!$H$5:$H$254,'VENTAS'!$C$5:$C$254,A146,'VENTAS'!$F$5:$F$254,"Sin confirmar"))</x:f>
      </x:c>
      <x:c r="G146" s="28" t="str">
        <x:f>IF(A146="","",SUMIFS('VENTAS'!$H$5:$H$254,'VENTAS'!$C$5:$C$254,A146,'VENTAS'!$I$5:$I$254,"Moroso"))</x:f>
      </x:c>
      <x:c r="H146" s="22" t="str">
        <x:f>IF(A146="","",COUNTIFS('VENTAS'!$C$5:$C$254,A146,'VENTAS'!$I$5:$I$254,"Por conciliar"))</x:f>
      </x:c>
      <x:c r="I146" s="22" t="str">
        <x:f>IF(A146="","",IF(G146&gt;0,IF(H146&gt;0,"Moroso + revisar","Moroso"),IF(H146&gt;0,"Por conciliar",IF(SUM(C146:F146)&gt;0,"Deuda vigente","Sin saldo"))))</x:f>
      </x:c>
      <x:c r="J146" s="22" t="str">
        <x:f>IF(A146="","",IF(COUNTIFS($A$5:$A$154,A146)&gt;1,"Nombre duplicado","Correcto"))</x:f>
      </x:c>
    </x:row>
    <x:row r="147" ht="25" customHeight="1">
      <x:c r="A147" s="26" t="str"/>
      <x:c r="B147" s="22" t="str">
        <x:f>IF(A147="","",COUNTIFS('VENTAS'!$C$5:$C$254,A147))</x:f>
      </x:c>
      <x:c r="C147" s="28" t="str">
        <x:f>IF(A147="","",SUMIFS('VENTAS'!$H$5:$H$254,'VENTAS'!$C$5:$C$254,A147,'VENTAS'!$F$5:$F$254,"BCV"))</x:f>
      </x:c>
      <x:c r="D147" s="28" t="str">
        <x:f>IF(A147="","",SUMIFS('VENTAS'!$H$5:$H$254,'VENTAS'!$C$5:$C$254,A147,'VENTAS'!$F$5:$F$254,"USDT"))</x:f>
      </x:c>
      <x:c r="E147" s="28" t="str">
        <x:f>IF(A147="","",SUMIFS('VENTAS'!$H$5:$H$254,'VENTAS'!$C$5:$C$254,A147,'VENTAS'!$F$5:$F$254,"Divisa"))</x:f>
      </x:c>
      <x:c r="F147" s="28" t="str">
        <x:f>IF(A147="","",SUMIFS('VENTAS'!$H$5:$H$254,'VENTAS'!$C$5:$C$254,A147,'VENTAS'!$F$5:$F$254,"Sin confirmar"))</x:f>
      </x:c>
      <x:c r="G147" s="28" t="str">
        <x:f>IF(A147="","",SUMIFS('VENTAS'!$H$5:$H$254,'VENTAS'!$C$5:$C$254,A147,'VENTAS'!$I$5:$I$254,"Moroso"))</x:f>
      </x:c>
      <x:c r="H147" s="22" t="str">
        <x:f>IF(A147="","",COUNTIFS('VENTAS'!$C$5:$C$254,A147,'VENTAS'!$I$5:$I$254,"Por conciliar"))</x:f>
      </x:c>
      <x:c r="I147" s="22" t="str">
        <x:f>IF(A147="","",IF(G147&gt;0,IF(H147&gt;0,"Moroso + revisar","Moroso"),IF(H147&gt;0,"Por conciliar",IF(SUM(C147:F147)&gt;0,"Deuda vigente","Sin saldo"))))</x:f>
      </x:c>
      <x:c r="J147" s="22" t="str">
        <x:f>IF(A147="","",IF(COUNTIFS($A$5:$A$154,A147)&gt;1,"Nombre duplicado","Correcto"))</x:f>
      </x:c>
    </x:row>
    <x:row r="148" ht="25" customHeight="1">
      <x:c r="A148" s="26" t="str"/>
      <x:c r="B148" s="22" t="str">
        <x:f>IF(A148="","",COUNTIFS('VENTAS'!$C$5:$C$254,A148))</x:f>
      </x:c>
      <x:c r="C148" s="28" t="str">
        <x:f>IF(A148="","",SUMIFS('VENTAS'!$H$5:$H$254,'VENTAS'!$C$5:$C$254,A148,'VENTAS'!$F$5:$F$254,"BCV"))</x:f>
      </x:c>
      <x:c r="D148" s="28" t="str">
        <x:f>IF(A148="","",SUMIFS('VENTAS'!$H$5:$H$254,'VENTAS'!$C$5:$C$254,A148,'VENTAS'!$F$5:$F$254,"USDT"))</x:f>
      </x:c>
      <x:c r="E148" s="28" t="str">
        <x:f>IF(A148="","",SUMIFS('VENTAS'!$H$5:$H$254,'VENTAS'!$C$5:$C$254,A148,'VENTAS'!$F$5:$F$254,"Divisa"))</x:f>
      </x:c>
      <x:c r="F148" s="28" t="str">
        <x:f>IF(A148="","",SUMIFS('VENTAS'!$H$5:$H$254,'VENTAS'!$C$5:$C$254,A148,'VENTAS'!$F$5:$F$254,"Sin confirmar"))</x:f>
      </x:c>
      <x:c r="G148" s="28" t="str">
        <x:f>IF(A148="","",SUMIFS('VENTAS'!$H$5:$H$254,'VENTAS'!$C$5:$C$254,A148,'VENTAS'!$I$5:$I$254,"Moroso"))</x:f>
      </x:c>
      <x:c r="H148" s="22" t="str">
        <x:f>IF(A148="","",COUNTIFS('VENTAS'!$C$5:$C$254,A148,'VENTAS'!$I$5:$I$254,"Por conciliar"))</x:f>
      </x:c>
      <x:c r="I148" s="22" t="str">
        <x:f>IF(A148="","",IF(G148&gt;0,IF(H148&gt;0,"Moroso + revisar","Moroso"),IF(H148&gt;0,"Por conciliar",IF(SUM(C148:F148)&gt;0,"Deuda vigente","Sin saldo"))))</x:f>
      </x:c>
      <x:c r="J148" s="22" t="str">
        <x:f>IF(A148="","",IF(COUNTIFS($A$5:$A$154,A148)&gt;1,"Nombre duplicado","Correcto"))</x:f>
      </x:c>
    </x:row>
    <x:row r="149" ht="25" customHeight="1">
      <x:c r="A149" s="26" t="str"/>
      <x:c r="B149" s="22" t="str">
        <x:f>IF(A149="","",COUNTIFS('VENTAS'!$C$5:$C$254,A149))</x:f>
      </x:c>
      <x:c r="C149" s="28" t="str">
        <x:f>IF(A149="","",SUMIFS('VENTAS'!$H$5:$H$254,'VENTAS'!$C$5:$C$254,A149,'VENTAS'!$F$5:$F$254,"BCV"))</x:f>
      </x:c>
      <x:c r="D149" s="28" t="str">
        <x:f>IF(A149="","",SUMIFS('VENTAS'!$H$5:$H$254,'VENTAS'!$C$5:$C$254,A149,'VENTAS'!$F$5:$F$254,"USDT"))</x:f>
      </x:c>
      <x:c r="E149" s="28" t="str">
        <x:f>IF(A149="","",SUMIFS('VENTAS'!$H$5:$H$254,'VENTAS'!$C$5:$C$254,A149,'VENTAS'!$F$5:$F$254,"Divisa"))</x:f>
      </x:c>
      <x:c r="F149" s="28" t="str">
        <x:f>IF(A149="","",SUMIFS('VENTAS'!$H$5:$H$254,'VENTAS'!$C$5:$C$254,A149,'VENTAS'!$F$5:$F$254,"Sin confirmar"))</x:f>
      </x:c>
      <x:c r="G149" s="28" t="str">
        <x:f>IF(A149="","",SUMIFS('VENTAS'!$H$5:$H$254,'VENTAS'!$C$5:$C$254,A149,'VENTAS'!$I$5:$I$254,"Moroso"))</x:f>
      </x:c>
      <x:c r="H149" s="22" t="str">
        <x:f>IF(A149="","",COUNTIFS('VENTAS'!$C$5:$C$254,A149,'VENTAS'!$I$5:$I$254,"Por conciliar"))</x:f>
      </x:c>
      <x:c r="I149" s="22" t="str">
        <x:f>IF(A149="","",IF(G149&gt;0,IF(H149&gt;0,"Moroso + revisar","Moroso"),IF(H149&gt;0,"Por conciliar",IF(SUM(C149:F149)&gt;0,"Deuda vigente","Sin saldo"))))</x:f>
      </x:c>
      <x:c r="J149" s="22" t="str">
        <x:f>IF(A149="","",IF(COUNTIFS($A$5:$A$154,A149)&gt;1,"Nombre duplicado","Correcto"))</x:f>
      </x:c>
    </x:row>
    <x:row r="150" ht="25" customHeight="1">
      <x:c r="A150" s="26" t="str"/>
      <x:c r="B150" s="22" t="str">
        <x:f>IF(A150="","",COUNTIFS('VENTAS'!$C$5:$C$254,A150))</x:f>
      </x:c>
      <x:c r="C150" s="28" t="str">
        <x:f>IF(A150="","",SUMIFS('VENTAS'!$H$5:$H$254,'VENTAS'!$C$5:$C$254,A150,'VENTAS'!$F$5:$F$254,"BCV"))</x:f>
      </x:c>
      <x:c r="D150" s="28" t="str">
        <x:f>IF(A150="","",SUMIFS('VENTAS'!$H$5:$H$254,'VENTAS'!$C$5:$C$254,A150,'VENTAS'!$F$5:$F$254,"USDT"))</x:f>
      </x:c>
      <x:c r="E150" s="28" t="str">
        <x:f>IF(A150="","",SUMIFS('VENTAS'!$H$5:$H$254,'VENTAS'!$C$5:$C$254,A150,'VENTAS'!$F$5:$F$254,"Divisa"))</x:f>
      </x:c>
      <x:c r="F150" s="28" t="str">
        <x:f>IF(A150="","",SUMIFS('VENTAS'!$H$5:$H$254,'VENTAS'!$C$5:$C$254,A150,'VENTAS'!$F$5:$F$254,"Sin confirmar"))</x:f>
      </x:c>
      <x:c r="G150" s="28" t="str">
        <x:f>IF(A150="","",SUMIFS('VENTAS'!$H$5:$H$254,'VENTAS'!$C$5:$C$254,A150,'VENTAS'!$I$5:$I$254,"Moroso"))</x:f>
      </x:c>
      <x:c r="H150" s="22" t="str">
        <x:f>IF(A150="","",COUNTIFS('VENTAS'!$C$5:$C$254,A150,'VENTAS'!$I$5:$I$254,"Por conciliar"))</x:f>
      </x:c>
      <x:c r="I150" s="22" t="str">
        <x:f>IF(A150="","",IF(G150&gt;0,IF(H150&gt;0,"Moroso + revisar","Moroso"),IF(H150&gt;0,"Por conciliar",IF(SUM(C150:F150)&gt;0,"Deuda vigente","Sin saldo"))))</x:f>
      </x:c>
      <x:c r="J150" s="22" t="str">
        <x:f>IF(A150="","",IF(COUNTIFS($A$5:$A$154,A150)&gt;1,"Nombre duplicado","Correcto"))</x:f>
      </x:c>
    </x:row>
    <x:row r="151" ht="25" customHeight="1">
      <x:c r="A151" s="26" t="str"/>
      <x:c r="B151" s="22" t="str">
        <x:f>IF(A151="","",COUNTIFS('VENTAS'!$C$5:$C$254,A151))</x:f>
      </x:c>
      <x:c r="C151" s="28" t="str">
        <x:f>IF(A151="","",SUMIFS('VENTAS'!$H$5:$H$254,'VENTAS'!$C$5:$C$254,A151,'VENTAS'!$F$5:$F$254,"BCV"))</x:f>
      </x:c>
      <x:c r="D151" s="28" t="str">
        <x:f>IF(A151="","",SUMIFS('VENTAS'!$H$5:$H$254,'VENTAS'!$C$5:$C$254,A151,'VENTAS'!$F$5:$F$254,"USDT"))</x:f>
      </x:c>
      <x:c r="E151" s="28" t="str">
        <x:f>IF(A151="","",SUMIFS('VENTAS'!$H$5:$H$254,'VENTAS'!$C$5:$C$254,A151,'VENTAS'!$F$5:$F$254,"Divisa"))</x:f>
      </x:c>
      <x:c r="F151" s="28" t="str">
        <x:f>IF(A151="","",SUMIFS('VENTAS'!$H$5:$H$254,'VENTAS'!$C$5:$C$254,A151,'VENTAS'!$F$5:$F$254,"Sin confirmar"))</x:f>
      </x:c>
      <x:c r="G151" s="28" t="str">
        <x:f>IF(A151="","",SUMIFS('VENTAS'!$H$5:$H$254,'VENTAS'!$C$5:$C$254,A151,'VENTAS'!$I$5:$I$254,"Moroso"))</x:f>
      </x:c>
      <x:c r="H151" s="22" t="str">
        <x:f>IF(A151="","",COUNTIFS('VENTAS'!$C$5:$C$254,A151,'VENTAS'!$I$5:$I$254,"Por conciliar"))</x:f>
      </x:c>
      <x:c r="I151" s="22" t="str">
        <x:f>IF(A151="","",IF(G151&gt;0,IF(H151&gt;0,"Moroso + revisar","Moroso"),IF(H151&gt;0,"Por conciliar",IF(SUM(C151:F151)&gt;0,"Deuda vigente","Sin saldo"))))</x:f>
      </x:c>
      <x:c r="J151" s="22" t="str">
        <x:f>IF(A151="","",IF(COUNTIFS($A$5:$A$154,A151)&gt;1,"Nombre duplicado","Correcto"))</x:f>
      </x:c>
    </x:row>
    <x:row r="152" ht="25" customHeight="1">
      <x:c r="A152" s="26" t="str"/>
      <x:c r="B152" s="22" t="str">
        <x:f>IF(A152="","",COUNTIFS('VENTAS'!$C$5:$C$254,A152))</x:f>
      </x:c>
      <x:c r="C152" s="28" t="str">
        <x:f>IF(A152="","",SUMIFS('VENTAS'!$H$5:$H$254,'VENTAS'!$C$5:$C$254,A152,'VENTAS'!$F$5:$F$254,"BCV"))</x:f>
      </x:c>
      <x:c r="D152" s="28" t="str">
        <x:f>IF(A152="","",SUMIFS('VENTAS'!$H$5:$H$254,'VENTAS'!$C$5:$C$254,A152,'VENTAS'!$F$5:$F$254,"USDT"))</x:f>
      </x:c>
      <x:c r="E152" s="28" t="str">
        <x:f>IF(A152="","",SUMIFS('VENTAS'!$H$5:$H$254,'VENTAS'!$C$5:$C$254,A152,'VENTAS'!$F$5:$F$254,"Divisa"))</x:f>
      </x:c>
      <x:c r="F152" s="28" t="str">
        <x:f>IF(A152="","",SUMIFS('VENTAS'!$H$5:$H$254,'VENTAS'!$C$5:$C$254,A152,'VENTAS'!$F$5:$F$254,"Sin confirmar"))</x:f>
      </x:c>
      <x:c r="G152" s="28" t="str">
        <x:f>IF(A152="","",SUMIFS('VENTAS'!$H$5:$H$254,'VENTAS'!$C$5:$C$254,A152,'VENTAS'!$I$5:$I$254,"Moroso"))</x:f>
      </x:c>
      <x:c r="H152" s="22" t="str">
        <x:f>IF(A152="","",COUNTIFS('VENTAS'!$C$5:$C$254,A152,'VENTAS'!$I$5:$I$254,"Por conciliar"))</x:f>
      </x:c>
      <x:c r="I152" s="22" t="str">
        <x:f>IF(A152="","",IF(G152&gt;0,IF(H152&gt;0,"Moroso + revisar","Moroso"),IF(H152&gt;0,"Por conciliar",IF(SUM(C152:F152)&gt;0,"Deuda vigente","Sin saldo"))))</x:f>
      </x:c>
      <x:c r="J152" s="22" t="str">
        <x:f>IF(A152="","",IF(COUNTIFS($A$5:$A$154,A152)&gt;1,"Nombre duplicado","Correcto"))</x:f>
      </x:c>
    </x:row>
    <x:row r="153" ht="25" customHeight="1">
      <x:c r="A153" s="26" t="str"/>
      <x:c r="B153" s="22" t="str">
        <x:f>IF(A153="","",COUNTIFS('VENTAS'!$C$5:$C$254,A153))</x:f>
      </x:c>
      <x:c r="C153" s="28" t="str">
        <x:f>IF(A153="","",SUMIFS('VENTAS'!$H$5:$H$254,'VENTAS'!$C$5:$C$254,A153,'VENTAS'!$F$5:$F$254,"BCV"))</x:f>
      </x:c>
      <x:c r="D153" s="28" t="str">
        <x:f>IF(A153="","",SUMIFS('VENTAS'!$H$5:$H$254,'VENTAS'!$C$5:$C$254,A153,'VENTAS'!$F$5:$F$254,"USDT"))</x:f>
      </x:c>
      <x:c r="E153" s="28" t="str">
        <x:f>IF(A153="","",SUMIFS('VENTAS'!$H$5:$H$254,'VENTAS'!$C$5:$C$254,A153,'VENTAS'!$F$5:$F$254,"Divisa"))</x:f>
      </x:c>
      <x:c r="F153" s="28" t="str">
        <x:f>IF(A153="","",SUMIFS('VENTAS'!$H$5:$H$254,'VENTAS'!$C$5:$C$254,A153,'VENTAS'!$F$5:$F$254,"Sin confirmar"))</x:f>
      </x:c>
      <x:c r="G153" s="28" t="str">
        <x:f>IF(A153="","",SUMIFS('VENTAS'!$H$5:$H$254,'VENTAS'!$C$5:$C$254,A153,'VENTAS'!$I$5:$I$254,"Moroso"))</x:f>
      </x:c>
      <x:c r="H153" s="22" t="str">
        <x:f>IF(A153="","",COUNTIFS('VENTAS'!$C$5:$C$254,A153,'VENTAS'!$I$5:$I$254,"Por conciliar"))</x:f>
      </x:c>
      <x:c r="I153" s="22" t="str">
        <x:f>IF(A153="","",IF(G153&gt;0,IF(H153&gt;0,"Moroso + revisar","Moroso"),IF(H153&gt;0,"Por conciliar",IF(SUM(C153:F153)&gt;0,"Deuda vigente","Sin saldo"))))</x:f>
      </x:c>
      <x:c r="J153" s="22" t="str">
        <x:f>IF(A153="","",IF(COUNTIFS($A$5:$A$154,A153)&gt;1,"Nombre duplicado","Correcto"))</x:f>
      </x:c>
    </x:row>
    <x:row r="154" ht="25" customHeight="1">
      <x:c r="A154" s="26" t="str"/>
      <x:c r="B154" s="22" t="str">
        <x:f>IF(A154="","",COUNTIFS('VENTAS'!$C$5:$C$254,A154))</x:f>
      </x:c>
      <x:c r="C154" s="28" t="str">
        <x:f>IF(A154="","",SUMIFS('VENTAS'!$H$5:$H$254,'VENTAS'!$C$5:$C$254,A154,'VENTAS'!$F$5:$F$254,"BCV"))</x:f>
      </x:c>
      <x:c r="D154" s="28" t="str">
        <x:f>IF(A154="","",SUMIFS('VENTAS'!$H$5:$H$254,'VENTAS'!$C$5:$C$254,A154,'VENTAS'!$F$5:$F$254,"USDT"))</x:f>
      </x:c>
      <x:c r="E154" s="28" t="str">
        <x:f>IF(A154="","",SUMIFS('VENTAS'!$H$5:$H$254,'VENTAS'!$C$5:$C$254,A154,'VENTAS'!$F$5:$F$254,"Divisa"))</x:f>
      </x:c>
      <x:c r="F154" s="28" t="str">
        <x:f>IF(A154="","",SUMIFS('VENTAS'!$H$5:$H$254,'VENTAS'!$C$5:$C$254,A154,'VENTAS'!$F$5:$F$254,"Sin confirmar"))</x:f>
      </x:c>
      <x:c r="G154" s="28" t="str">
        <x:f>IF(A154="","",SUMIFS('VENTAS'!$H$5:$H$254,'VENTAS'!$C$5:$C$254,A154,'VENTAS'!$I$5:$I$254,"Moroso"))</x:f>
      </x:c>
      <x:c r="H154" s="22" t="str">
        <x:f>IF(A154="","",COUNTIFS('VENTAS'!$C$5:$C$254,A154,'VENTAS'!$I$5:$I$254,"Por conciliar"))</x:f>
      </x:c>
      <x:c r="I154" s="22" t="str">
        <x:f>IF(A154="","",IF(G154&gt;0,IF(H154&gt;0,"Moroso + revisar","Moroso"),IF(H154&gt;0,"Por conciliar",IF(SUM(C154:F154)&gt;0,"Deuda vigente","Sin saldo"))))</x:f>
      </x:c>
      <x:c r="J154" s="22" t="str">
        <x:f>IF(A154="","",IF(COUNTIFS($A$5:$A$154,A154)&gt;1,"Nombre duplicado","Correcto"))</x:f>
      </x:c>
    </x:row>
  </x:sheetData>
  <x:conditionalFormatting sqref="I5:I154">
    <x:cfRule type="containsText" dxfId="19" priority="1" operator="containsText" text="Moroso"/>
    <x:cfRule type="containsText" dxfId="20" priority="2" operator="containsText" text="Por conciliar"/>
    <x:cfRule type="containsText" dxfId="21" priority="3" operator="containsText" text="Pagado"/>
    <x:cfRule type="containsText" dxfId="22" priority="4" operator="containsText" text="Revisar"/>
    <x:cfRule type="containsText" dxfId="23" priority="5" operator="containsText" text="Falta"/>
    <x:cfRule type="containsText" dxfId="24" priority="6" operator="containsText" text="duplicad"/>
  </x:conditionalFormatting>
  <x:conditionalFormatting sqref="J5:J154">
    <x:cfRule type="containsText" dxfId="25" priority="7" operator="containsText" text="Moroso"/>
    <x:cfRule type="containsText" dxfId="26" priority="8" operator="containsText" text="Por conciliar"/>
    <x:cfRule type="containsText" dxfId="27" priority="9" operator="containsText" text="Pagado"/>
    <x:cfRule type="containsText" dxfId="28" priority="10" operator="containsText" text="Revisar"/>
    <x:cfRule type="containsText" dxfId="29" priority="11" operator="containsText" text="Falta"/>
    <x:cfRule type="containsText" dxfId="30" priority="12" operator="containsText" text="duplicad"/>
  </x:conditionalFormatting>
  <x:pageMargins left="0.7" right="0.7" top="0.75" bottom="0.75" header="0.3" footer="0.3"/>
  <x:tableParts count="1">
    <x:tablePart xmlns:r="http://schemas.openxmlformats.org/officeDocument/2006/relationships" r:id="Rb0a08a57b9b6493c"/>
  </x:tableParts>
</x:worksheet>
</file>

<file path=xl/worksheets/sheet6.xml><?xml version="1.0" encoding="utf-8"?>
<x:worksheet xmlns:x="http://schemas.openxmlformats.org/spreadsheetml/2006/main">
  <x:sheetPr>
    <x:tabColor rgb="FFBCC9CF"/>
  </x:sheetPr>
  <x:sheetViews>
    <x:sheetView showGridLines="0" workbookViewId="0">
      <x:pane xSplit="1" ySplit="4" topLeftCell="B5" activePane="bottomRight" state="frozen"/>
    </x:sheetView>
  </x:sheetViews>
  <x:sheetFormatPr defaultRowHeight="15"/>
  <x:cols>
    <x:col min="1" max="1" width="13" hidden="0" customWidth="1"/>
    <x:col min="2" max="2" width="37" hidden="0" customWidth="1"/>
    <x:col min="3" max="3" width="29" hidden="0" customWidth="1"/>
    <x:col min="4" max="4" width="14" hidden="0" customWidth="1"/>
    <x:col min="5" max="5" width="18" hidden="0" customWidth="1"/>
    <x:col min="6" max="6" width="18" hidden="0" customWidth="1"/>
    <x:col min="7" max="7" width="62" hidden="0" customWidth="1"/>
    <x:col min="8" max="8" width="43" hidden="0" customWidth="1"/>
  </x:cols>
  <x:sheetData>
    <x:row r="1">
      <x:c r="A1" s="22"/>
      <x:c r="B1" s="22"/>
      <x:c r="C1" s="22"/>
      <x:c r="D1" s="22"/>
      <x:c r="E1" s="22"/>
      <x:c r="F1" s="22"/>
      <x:c r="G1" s="22"/>
      <x:c r="H1" s="22"/>
    </x:row>
    <x:row r="2">
      <x:c r="A2" s="23" t="str">
        <x:v>Precios · Top Quality</x:v>
      </x:c>
      <x:c r="B2" s="22"/>
      <x:c r="C2" s="22"/>
      <x:c r="D2" s="22"/>
      <x:c r="E2" s="22"/>
      <x:c r="F2" s="22"/>
      <x:c r="G2" s="22"/>
      <x:c r="H2" s="22"/>
    </x:row>
    <x:row r="3">
      <x:c r="A3" s="24" t="str">
        <x:v>Costo editable. Los precios se calculan con los factores de AJUSTES. No mezclar con Originales.</x:v>
      </x:c>
      <x:c r="B3" s="22"/>
      <x:c r="C3" s="22"/>
      <x:c r="D3" s="22"/>
      <x:c r="E3" s="22"/>
      <x:c r="F3" s="22"/>
      <x:c r="G3" s="22"/>
      <x:c r="H3" s="22"/>
    </x:row>
    <x:row r="4" ht="34" customHeight="1">
      <x:c r="A4" s="11" t="str">
        <x:v>Código</x:v>
      </x:c>
      <x:c r="B4" s="11" t="str">
        <x:v>Producto</x:v>
      </x:c>
      <x:c r="C4" s="11" t="str">
        <x:v>Línea</x:v>
      </x:c>
      <x:c r="D4" s="11" t="str">
        <x:v>Costo $</x:v>
      </x:c>
      <x:c r="E4" s="11" t="str">
        <x:v>Divisa / USDT $</x:v>
      </x:c>
      <x:c r="F4" s="11" t="str">
        <x:v>Referencia BCV $</x:v>
      </x:c>
      <x:c r="G4" s="11" t="str">
        <x:v>Observación</x:v>
      </x:c>
      <x:c r="H4" s="11" t="str">
        <x:v>Fuente</x:v>
      </x:c>
    </x:row>
    <x:row r="5" ht="25" customHeight="1">
      <x:c r="A5" s="22" t="str">
        <x:v>TQ-001</x:v>
      </x:c>
      <x:c r="B5" s="22" t="str">
        <x:v>Cloud</x:v>
      </x:c>
      <x:c r="C5" s="22" t="str">
        <x:v>LÍNEA CLÁSICA O DISEÑADOR</x:v>
      </x:c>
      <x:c r="D5" s="27" t="n">
        <x:v>12</x:v>
      </x:c>
      <x:c r="E5" s="28" t="n">
        <x:f>IF(ISNUMBER(D5),ROUND(D5*'AJUSTES'!$B$6,2),"")</x:f>
        <x:v>20.4</x:v>
      </x:c>
      <x:c r="F5" s="28" t="n">
        <x:f>IF(ISNUMBER(D5),ROUND(D5*'AJUSTES'!$B$7,2),"")</x:f>
        <x:v>26.4</x:v>
      </x:c>
      <x:c r="G5" s="22" t="str"/>
      <x:c r="H5" s="22" t="str">
        <x:v>Excel TOP QUALITY filas 4, 113</x:v>
      </x:c>
    </x:row>
    <x:row r="6" ht="25" customHeight="1">
      <x:c r="A6" s="22" t="str">
        <x:v>TQ-002</x:v>
      </x:c>
      <x:c r="B6" s="22" t="str">
        <x:v>Very Good Girl</x:v>
      </x:c>
      <x:c r="C6" s="22" t="str">
        <x:v>LÍNEA CLÁSICA O DISEÑADOR</x:v>
      </x:c>
      <x:c r="D6" s="27" t="n">
        <x:v>9.5</x:v>
      </x:c>
      <x:c r="E6" s="28" t="n">
        <x:f>IF(ISNUMBER(D6),ROUND(D6*'AJUSTES'!$B$6,2),"")</x:f>
        <x:v>16.15</x:v>
      </x:c>
      <x:c r="F6" s="28" t="n">
        <x:f>IF(ISNUMBER(D6),ROUND(D6*'AJUSTES'!$B$7,2),"")</x:f>
        <x:v>20.9</x:v>
      </x:c>
      <x:c r="G6" s="22" t="str"/>
      <x:c r="H6" s="22" t="str">
        <x:v>Excel TOP QUALITY filas 5, 125, 127</x:v>
      </x:c>
    </x:row>
    <x:row r="7" ht="25" customHeight="1">
      <x:c r="A7" s="22" t="str">
        <x:v>TQ-003</x:v>
      </x:c>
      <x:c r="B7" s="22" t="str">
        <x:v>Ultramale</x:v>
      </x:c>
      <x:c r="C7" s="22" t="str">
        <x:v>LÍNEA CLÁSICA O DISEÑADOR</x:v>
      </x:c>
      <x:c r="D7" s="27" t="n">
        <x:v>15</x:v>
      </x:c>
      <x:c r="E7" s="28" t="n">
        <x:f>IF(ISNUMBER(D7),ROUND(D7*'AJUSTES'!$B$6,2),"")</x:f>
        <x:v>25.5</x:v>
      </x:c>
      <x:c r="F7" s="28" t="n">
        <x:f>IF(ISNUMBER(D7),ROUND(D7*'AJUSTES'!$B$7,2),"")</x:f>
        <x:v>33</x:v>
      </x:c>
      <x:c r="G7" s="22" t="str"/>
      <x:c r="H7" s="22" t="str">
        <x:v>Excel TOP QUALITY filas 6, 111</x:v>
      </x:c>
    </x:row>
    <x:row r="8" ht="25" customHeight="1">
      <x:c r="A8" s="22" t="str">
        <x:v>TQ-004</x:v>
      </x:c>
      <x:c r="B8" s="22" t="str">
        <x:v>Swiss Army</x:v>
      </x:c>
      <x:c r="C8" s="22" t="str">
        <x:v>LÍNEA CLÁSICA O DISEÑADOR</x:v>
      </x:c>
      <x:c r="D8" s="27" t="n">
        <x:v>9.5</x:v>
      </x:c>
      <x:c r="E8" s="28" t="n">
        <x:f>IF(ISNUMBER(D8),ROUND(D8*'AJUSTES'!$B$6,2),"")</x:f>
        <x:v>16.15</x:v>
      </x:c>
      <x:c r="F8" s="28" t="n">
        <x:f>IF(ISNUMBER(D8),ROUND(D8*'AJUSTES'!$B$7,2),"")</x:f>
        <x:v>20.9</x:v>
      </x:c>
      <x:c r="G8" s="22" t="str"/>
      <x:c r="H8" s="22" t="str">
        <x:v>Excel TOP QUALITY filas 7, 186</x:v>
      </x:c>
    </x:row>
    <x:row r="9" ht="25" customHeight="1">
      <x:c r="A9" s="22" t="str">
        <x:v>TQ-005</x:v>
      </x:c>
      <x:c r="B9" s="22" t="str">
        <x:v>360</x:v>
      </x:c>
      <x:c r="C9" s="22" t="str">
        <x:v>SIN LÍNEA</x:v>
      </x:c>
      <x:c r="D9" s="27" t="n">
        <x:v>9.5</x:v>
      </x:c>
      <x:c r="E9" s="28" t="n">
        <x:f>IF(ISNUMBER(D9),ROUND(D9*'AJUSTES'!$B$6,2),"")</x:f>
        <x:v>16.15</x:v>
      </x:c>
      <x:c r="F9" s="28" t="n">
        <x:f>IF(ISNUMBER(D9),ROUND(D9*'AJUSTES'!$B$7,2),"")</x:f>
        <x:v>20.9</x:v>
      </x:c>
      <x:c r="G9" s="22" t="str"/>
      <x:c r="H9" s="22" t="str">
        <x:v>Excel TOP QUALITY filas 8</x:v>
      </x:c>
    </x:row>
    <x:row r="10" ht="25" customHeight="1">
      <x:c r="A10" s="22" t="str">
        <x:v>TQ-006</x:v>
      </x:c>
      <x:c r="B10" s="22" t="str">
        <x:v>Scandal</x:v>
      </x:c>
      <x:c r="C10" s="22" t="str">
        <x:v>SIN LÍNEA</x:v>
      </x:c>
      <x:c r="D10" s="27" t="n">
        <x:v>9.5</x:v>
      </x:c>
      <x:c r="E10" s="28" t="n">
        <x:f>IF(ISNUMBER(D10),ROUND(D10*'AJUSTES'!$B$6,2),"")</x:f>
        <x:v>16.15</x:v>
      </x:c>
      <x:c r="F10" s="28" t="n">
        <x:f>IF(ISNUMBER(D10),ROUND(D10*'AJUSTES'!$B$7,2),"")</x:f>
        <x:v>20.9</x:v>
      </x:c>
      <x:c r="G10" s="22" t="str"/>
      <x:c r="H10" s="22" t="str">
        <x:v>Excel TOP QUALITY filas 9</x:v>
      </x:c>
    </x:row>
    <x:row r="11" ht="25" customHeight="1">
      <x:c r="A11" s="22" t="str">
        <x:v>TQ-007</x:v>
      </x:c>
      <x:c r="B11" s="22" t="str">
        <x:v>Bad Boy</x:v>
      </x:c>
      <x:c r="C11" s="22" t="str">
        <x:v>LÍNEA CLÁSICA O DISEÑADOR</x:v>
      </x:c>
      <x:c r="D11" s="27" t="n">
        <x:v>9.5</x:v>
      </x:c>
      <x:c r="E11" s="28" t="n">
        <x:f>IF(ISNUMBER(D11),ROUND(D11*'AJUSTES'!$B$6,2),"")</x:f>
        <x:v>16.15</x:v>
      </x:c>
      <x:c r="F11" s="28" t="n">
        <x:f>IF(ISNUMBER(D11),ROUND(D11*'AJUSTES'!$B$7,2),"")</x:f>
        <x:v>20.9</x:v>
      </x:c>
      <x:c r="G11" s="22" t="str"/>
      <x:c r="H11" s="22" t="str">
        <x:v>Excel TOP QUALITY filas 10, 160</x:v>
      </x:c>
    </x:row>
    <x:row r="12" ht="25" customHeight="1">
      <x:c r="A12" s="22" t="str">
        <x:v>TQ-008</x:v>
      </x:c>
      <x:c r="B12" s="22" t="str">
        <x:v>Tommy</x:v>
      </x:c>
      <x:c r="C12" s="22" t="str">
        <x:v>LÍNEA CLÁSICA O DISEÑADOR</x:v>
      </x:c>
      <x:c r="D12" s="27" t="n">
        <x:v>9.5</x:v>
      </x:c>
      <x:c r="E12" s="28" t="n">
        <x:f>IF(ISNUMBER(D12),ROUND(D12*'AJUSTES'!$B$6,2),"")</x:f>
        <x:v>16.15</x:v>
      </x:c>
      <x:c r="F12" s="28" t="n">
        <x:f>IF(ISNUMBER(D12),ROUND(D12*'AJUSTES'!$B$7,2),"")</x:f>
        <x:v>20.9</x:v>
      </x:c>
      <x:c r="G12" s="22" t="str">
        <x:v> Catálogo contiene costo alternativo 12 (fila 184).</x:v>
      </x:c>
      <x:c r="H12" s="22" t="str">
        <x:v>Excel TOP QUALITY filas 11, 184</x:v>
      </x:c>
    </x:row>
    <x:row r="13" ht="25" customHeight="1">
      <x:c r="A13" s="22" t="str">
        <x:v>TQ-009</x:v>
      </x:c>
      <x:c r="B13" s="22" t="str">
        <x:v>Invictus</x:v>
      </x:c>
      <x:c r="C13" s="22" t="str">
        <x:v>LÍNEA CLÁSICA O DISEÑADOR</x:v>
      </x:c>
      <x:c r="D13" s="27" t="n">
        <x:v>9.5</x:v>
      </x:c>
      <x:c r="E13" s="28" t="n">
        <x:f>IF(ISNUMBER(D13),ROUND(D13*'AJUSTES'!$B$6,2),"")</x:f>
        <x:v>16.15</x:v>
      </x:c>
      <x:c r="F13" s="28" t="n">
        <x:f>IF(ISNUMBER(D13),ROUND(D13*'AJUSTES'!$B$7,2),"")</x:f>
        <x:v>20.9</x:v>
      </x:c>
      <x:c r="G13" s="22" t="str"/>
      <x:c r="H13" s="22" t="str">
        <x:v>Excel TOP QUALITY filas 12, 200</x:v>
      </x:c>
    </x:row>
    <x:row r="14" ht="25" customHeight="1">
      <x:c r="A14" s="22" t="str">
        <x:v>TQ-010</x:v>
      </x:c>
      <x:c r="B14" s="22" t="str">
        <x:v>212 Vip</x:v>
      </x:c>
      <x:c r="C14" s="22" t="str">
        <x:v>SIN LÍNEA</x:v>
      </x:c>
      <x:c r="D14" s="27" t="n">
        <x:v>9.5</x:v>
      </x:c>
      <x:c r="E14" s="28" t="n">
        <x:f>IF(ISNUMBER(D14),ROUND(D14*'AJUSTES'!$B$6,2),"")</x:f>
        <x:v>16.15</x:v>
      </x:c>
      <x:c r="F14" s="28" t="n">
        <x:f>IF(ISNUMBER(D14),ROUND(D14*'AJUSTES'!$B$7,2),"")</x:f>
        <x:v>20.9</x:v>
      </x:c>
      <x:c r="G14" s="22" t="str"/>
      <x:c r="H14" s="22" t="str">
        <x:v>Excel TOP QUALITY filas 13</x:v>
      </x:c>
    </x:row>
    <x:row r="15" ht="25" customHeight="1">
      <x:c r="A15" s="22" t="str">
        <x:v>TQ-011</x:v>
      </x:c>
      <x:c r="B15" s="22" t="str">
        <x:v>Eros Men</x:v>
      </x:c>
      <x:c r="C15" s="22" t="str">
        <x:v>LÍNEA CLÁSICA O DISEÑADOR</x:v>
      </x:c>
      <x:c r="D15" s="27" t="n">
        <x:v>9.5</x:v>
      </x:c>
      <x:c r="E15" s="28" t="n">
        <x:f>IF(ISNUMBER(D15),ROUND(D15*'AJUSTES'!$B$6,2),"")</x:f>
        <x:v>16.15</x:v>
      </x:c>
      <x:c r="F15" s="28" t="n">
        <x:f>IF(ISNUMBER(D15),ROUND(D15*'AJUSTES'!$B$7,2),"")</x:f>
        <x:v>20.9</x:v>
      </x:c>
      <x:c r="G15" s="22" t="str"/>
      <x:c r="H15" s="22" t="str">
        <x:v>Excel TOP QUALITY filas 14, 175</x:v>
      </x:c>
    </x:row>
    <x:row r="16" ht="25" customHeight="1">
      <x:c r="A16" s="22" t="str">
        <x:v>TQ-012</x:v>
      </x:c>
      <x:c r="B16" s="22" t="str">
        <x:v>Acqua di Gio</x:v>
      </x:c>
      <x:c r="C16" s="22" t="str">
        <x:v>LÍNEA CLÁSICA O DISEÑADOR</x:v>
      </x:c>
      <x:c r="D16" s="27" t="n">
        <x:v>9.5</x:v>
      </x:c>
      <x:c r="E16" s="28" t="n">
        <x:f>IF(ISNUMBER(D16),ROUND(D16*'AJUSTES'!$B$6,2),"")</x:f>
        <x:v>16.15</x:v>
      </x:c>
      <x:c r="F16" s="28" t="n">
        <x:f>IF(ISNUMBER(D16),ROUND(D16*'AJUSTES'!$B$7,2),"")</x:f>
        <x:v>20.9</x:v>
      </x:c>
      <x:c r="G16" s="22" t="str">
        <x:v> Catálogo contiene costo alternativo 12 (fila 179).</x:v>
      </x:c>
      <x:c r="H16" s="22" t="str">
        <x:v>Excel TOP QUALITY filas 15, 179</x:v>
      </x:c>
    </x:row>
    <x:row r="17" ht="25" customHeight="1">
      <x:c r="A17" s="22" t="str">
        <x:v>TQ-013</x:v>
      </x:c>
      <x:c r="B17" s="22" t="str">
        <x:v>Honor &amp; Glory</x:v>
      </x:c>
      <x:c r="C17" s="22" t="str">
        <x:v>LÍNEA ÁRABE</x:v>
      </x:c>
      <x:c r="D17" s="27" t="n">
        <x:v>17</x:v>
      </x:c>
      <x:c r="E17" s="28" t="n">
        <x:f>IF(ISNUMBER(D17),ROUND(D17*'AJUSTES'!$B$6,2),"")</x:f>
        <x:v>28.9</x:v>
      </x:c>
      <x:c r="F17" s="28" t="n">
        <x:f>IF(ISNUMBER(D17),ROUND(D17*'AJUSTES'!$B$7,2),"")</x:f>
        <x:v>37.4</x:v>
      </x:c>
      <x:c r="G17" s="22" t="str"/>
      <x:c r="H17" s="22" t="str">
        <x:v>Excel TOP QUALITY filas 16, 42</x:v>
      </x:c>
    </x:row>
    <x:row r="18" ht="25" customHeight="1">
      <x:c r="A18" s="22" t="str">
        <x:v>TQ-014</x:v>
      </x:c>
      <x:c r="B18" s="22" t="str">
        <x:v>Bharara King</x:v>
      </x:c>
      <x:c r="C18" s="22" t="str">
        <x:v>LÍNEA ÁRABE</x:v>
      </x:c>
      <x:c r="D18" s="27" t="n">
        <x:v>20</x:v>
      </x:c>
      <x:c r="E18" s="28" t="n">
        <x:f>IF(ISNUMBER(D18),ROUND(D18*'AJUSTES'!$B$6,2),"")</x:f>
        <x:v>34</x:v>
      </x:c>
      <x:c r="F18" s="28" t="n">
        <x:f>IF(ISNUMBER(D18),ROUND(D18*'AJUSTES'!$B$7,2),"")</x:f>
        <x:v>44</x:v>
      </x:c>
      <x:c r="G18" s="22" t="str"/>
      <x:c r="H18" s="22" t="str">
        <x:v>Excel TOP QUALITY filas 17, 65</x:v>
      </x:c>
    </x:row>
    <x:row r="19" ht="25" customHeight="1">
      <x:c r="A19" s="22" t="str">
        <x:v>TQ-015</x:v>
      </x:c>
      <x:c r="B19" s="22" t="str">
        <x:v>Universe</x:v>
      </x:c>
      <x:c r="C19" s="22" t="str">
        <x:v>SIN LÍNEA</x:v>
      </x:c>
      <x:c r="D19" s="27" t="n">
        <x:v>20</x:v>
      </x:c>
      <x:c r="E19" s="28" t="n">
        <x:f>IF(ISNUMBER(D19),ROUND(D19*'AJUSTES'!$B$6,2),"")</x:f>
        <x:v>34</x:v>
      </x:c>
      <x:c r="F19" s="28" t="n">
        <x:f>IF(ISNUMBER(D19),ROUND(D19*'AJUSTES'!$B$7,2),"")</x:f>
        <x:v>44</x:v>
      </x:c>
      <x:c r="G19" s="22" t="str"/>
      <x:c r="H19" s="22" t="str">
        <x:v>Excel TOP QUALITY filas 18</x:v>
      </x:c>
    </x:row>
    <x:row r="20" ht="25" customHeight="1">
      <x:c r="A20" s="22" t="str">
        <x:v>TQ-016</x:v>
      </x:c>
      <x:c r="B20" s="22" t="str">
        <x:v>Khamrah</x:v>
      </x:c>
      <x:c r="C20" s="22" t="str">
        <x:v>LÍNEA ÁRABE</x:v>
      </x:c>
      <x:c r="D20" s="27" t="n">
        <x:v>15</x:v>
      </x:c>
      <x:c r="E20" s="28" t="n">
        <x:f>IF(ISNUMBER(D20),ROUND(D20*'AJUSTES'!$B$6,2),"")</x:f>
        <x:v>25.5</x:v>
      </x:c>
      <x:c r="F20" s="28" t="n">
        <x:f>IF(ISNUMBER(D20),ROUND(D20*'AJUSTES'!$B$7,2),"")</x:f>
        <x:v>33</x:v>
      </x:c>
      <x:c r="G20" s="22" t="str"/>
      <x:c r="H20" s="22" t="str">
        <x:v>Excel TOP QUALITY filas 19, 32</x:v>
      </x:c>
    </x:row>
    <x:row r="21" ht="25" customHeight="1">
      <x:c r="A21" s="22" t="str">
        <x:v>TQ-017</x:v>
      </x:c>
      <x:c r="B21" s="22" t="str">
        <x:v>Club De Nuit</x:v>
      </x:c>
      <x:c r="C21" s="22" t="str">
        <x:v>SIN LÍNEA</x:v>
      </x:c>
      <x:c r="D21" s="27" t="n">
        <x:v>12</x:v>
      </x:c>
      <x:c r="E21" s="28" t="n">
        <x:f>IF(ISNUMBER(D21),ROUND(D21*'AJUSTES'!$B$6,2),"")</x:f>
        <x:v>20.4</x:v>
      </x:c>
      <x:c r="F21" s="28" t="n">
        <x:f>IF(ISNUMBER(D21),ROUND(D21*'AJUSTES'!$B$7,2),"")</x:f>
        <x:v>26.4</x:v>
      </x:c>
      <x:c r="G21" s="22" t="str"/>
      <x:c r="H21" s="22" t="str">
        <x:v>Excel TOP QUALITY filas 20</x:v>
      </x:c>
    </x:row>
    <x:row r="22" ht="25" customHeight="1">
      <x:c r="A22" s="22" t="str">
        <x:v>TQ-018</x:v>
      </x:c>
      <x:c r="B22" s="22" t="str">
        <x:v>Asad Bourbon</x:v>
      </x:c>
      <x:c r="C22" s="22" t="str">
        <x:v>LÍNEA ÁRABE</x:v>
      </x:c>
      <x:c r="D22" s="27" t="n">
        <x:v>12</x:v>
      </x:c>
      <x:c r="E22" s="28" t="n">
        <x:f>IF(ISNUMBER(D22),ROUND(D22*'AJUSTES'!$B$6,2),"")</x:f>
        <x:v>20.4</x:v>
      </x:c>
      <x:c r="F22" s="28" t="n">
        <x:f>IF(ISNUMBER(D22),ROUND(D22*'AJUSTES'!$B$7,2),"")</x:f>
        <x:v>26.4</x:v>
      </x:c>
      <x:c r="G22" s="22" t="str"/>
      <x:c r="H22" s="22" t="str">
        <x:v>Excel TOP QUALITY filas 21, 30</x:v>
      </x:c>
    </x:row>
    <x:row r="23" ht="25" customHeight="1">
      <x:c r="A23" s="22" t="str">
        <x:v>TQ-019</x:v>
      </x:c>
      <x:c r="B23" s="22" t="str">
        <x:v>La Bomba</x:v>
      </x:c>
      <x:c r="C23" s="22" t="str">
        <x:v>LÍNEA CLÁSICA O DISEÑADOR</x:v>
      </x:c>
      <x:c r="D23" s="27" t="n">
        <x:v>17</x:v>
      </x:c>
      <x:c r="E23" s="28" t="n">
        <x:f>IF(ISNUMBER(D23),ROUND(D23*'AJUSTES'!$B$6,2),"")</x:f>
        <x:v>28.9</x:v>
      </x:c>
      <x:c r="F23" s="28" t="n">
        <x:f>IF(ISNUMBER(D23),ROUND(D23*'AJUSTES'!$B$7,2),"")</x:f>
        <x:v>37.4</x:v>
      </x:c>
      <x:c r="G23" s="22" t="str"/>
      <x:c r="H23" s="22" t="str">
        <x:v>Excel TOP QUALITY filas 22, 124</x:v>
      </x:c>
    </x:row>
    <x:row r="24" ht="25" customHeight="1">
      <x:c r="A24" s="22" t="str">
        <x:v>TQ-020</x:v>
      </x:c>
      <x:c r="B24" s="22" t="str">
        <x:v>Yara Candy</x:v>
      </x:c>
      <x:c r="C24" s="22" t="str">
        <x:v>LÍNEA ÁRABE</x:v>
      </x:c>
      <x:c r="D24" s="27" t="str"/>
      <x:c r="E24" s="28" t="str">
        <x:f>IF(ISNUMBER(D24),ROUND(D24*'AJUSTES'!$B$6,2),"")</x:f>
      </x:c>
      <x:c r="F24" s="28" t="str">
        <x:f>IF(ISNUMBER(D24),ROUND(D24*'AJUSTES'!$B$7,2),"")</x:f>
      </x:c>
      <x:c r="G24" s="22" t="str"/>
      <x:c r="H24" s="22" t="str">
        <x:v>Excel TOP QUALITY filas 23</x:v>
      </x:c>
    </x:row>
    <x:row r="25" ht="25" customHeight="1">
      <x:c r="A25" s="22" t="str">
        <x:v>TQ-021</x:v>
      </x:c>
      <x:c r="B25" s="22" t="str">
        <x:v>Yara Elixir</x:v>
      </x:c>
      <x:c r="C25" s="22" t="str">
        <x:v>LÍNEA ÁRABE</x:v>
      </x:c>
      <x:c r="D25" s="27" t="n">
        <x:v>12</x:v>
      </x:c>
      <x:c r="E25" s="28" t="n">
        <x:f>IF(ISNUMBER(D25),ROUND(D25*'AJUSTES'!$B$6,2),"")</x:f>
        <x:v>20.4</x:v>
      </x:c>
      <x:c r="F25" s="28" t="n">
        <x:f>IF(ISNUMBER(D25),ROUND(D25*'AJUSTES'!$B$7,2),"")</x:f>
        <x:v>26.4</x:v>
      </x:c>
      <x:c r="G25" s="22" t="str"/>
      <x:c r="H25" s="22" t="str">
        <x:v>Excel TOP QUALITY filas 24</x:v>
      </x:c>
    </x:row>
    <x:row r="26" ht="25" customHeight="1">
      <x:c r="A26" s="22" t="str">
        <x:v>TQ-022</x:v>
      </x:c>
      <x:c r="B26" s="22" t="str">
        <x:v>Yara Fem</x:v>
      </x:c>
      <x:c r="C26" s="22" t="str">
        <x:v>LÍNEA ÁRABE</x:v>
      </x:c>
      <x:c r="D26" s="27" t="str"/>
      <x:c r="E26" s="28" t="str">
        <x:f>IF(ISNUMBER(D26),ROUND(D26*'AJUSTES'!$B$6,2),"")</x:f>
      </x:c>
      <x:c r="F26" s="28" t="str">
        <x:f>IF(ISNUMBER(D26),ROUND(D26*'AJUSTES'!$B$7,2),"")</x:f>
      </x:c>
      <x:c r="G26" s="22" t="str"/>
      <x:c r="H26" s="22" t="str">
        <x:v>Excel TOP QUALITY filas 25</x:v>
      </x:c>
    </x:row>
    <x:row r="27" ht="25" customHeight="1">
      <x:c r="A27" s="22" t="str">
        <x:v>TQ-023</x:v>
      </x:c>
      <x:c r="B27" s="22" t="str">
        <x:v>Yara Tous</x:v>
      </x:c>
      <x:c r="C27" s="22" t="str">
        <x:v>LÍNEA ÁRABE</x:v>
      </x:c>
      <x:c r="D27" s="27" t="str"/>
      <x:c r="E27" s="28" t="str">
        <x:f>IF(ISNUMBER(D27),ROUND(D27*'AJUSTES'!$B$6,2),"")</x:f>
      </x:c>
      <x:c r="F27" s="28" t="str">
        <x:f>IF(ISNUMBER(D27),ROUND(D27*'AJUSTES'!$B$7,2),"")</x:f>
      </x:c>
      <x:c r="G27" s="22" t="str"/>
      <x:c r="H27" s="22" t="str">
        <x:v>Excel TOP QUALITY filas 26</x:v>
      </x:c>
    </x:row>
    <x:row r="28" ht="25" customHeight="1">
      <x:c r="A28" s="22" t="str">
        <x:v>TQ-024</x:v>
      </x:c>
      <x:c r="B28" s="22" t="str">
        <x:v>Yara Moi</x:v>
      </x:c>
      <x:c r="C28" s="22" t="str">
        <x:v>LÍNEA ÁRABE</x:v>
      </x:c>
      <x:c r="D28" s="27" t="str"/>
      <x:c r="E28" s="28" t="str">
        <x:f>IF(ISNUMBER(D28),ROUND(D28*'AJUSTES'!$B$6,2),"")</x:f>
      </x:c>
      <x:c r="F28" s="28" t="str">
        <x:f>IF(ISNUMBER(D28),ROUND(D28*'AJUSTES'!$B$7,2),"")</x:f>
      </x:c>
      <x:c r="G28" s="22" t="str"/>
      <x:c r="H28" s="22" t="str">
        <x:v>Excel TOP QUALITY filas 27</x:v>
      </x:c>
    </x:row>
    <x:row r="29" ht="25" customHeight="1">
      <x:c r="A29" s="22" t="str">
        <x:v>TQ-025</x:v>
      </x:c>
      <x:c r="B29" s="22" t="str">
        <x:v>Asad Elixir</x:v>
      </x:c>
      <x:c r="C29" s="22" t="str">
        <x:v>LÍNEA ÁRABE</x:v>
      </x:c>
      <x:c r="D29" s="27" t="str"/>
      <x:c r="E29" s="28" t="str">
        <x:f>IF(ISNUMBER(D29),ROUND(D29*'AJUSTES'!$B$6,2),"")</x:f>
      </x:c>
      <x:c r="F29" s="28" t="str">
        <x:f>IF(ISNUMBER(D29),ROUND(D29*'AJUSTES'!$B$7,2),"")</x:f>
      </x:c>
      <x:c r="G29" s="22" t="str"/>
      <x:c r="H29" s="22" t="str">
        <x:v>Excel TOP QUALITY filas 28</x:v>
      </x:c>
    </x:row>
    <x:row r="30" ht="25" customHeight="1">
      <x:c r="A30" s="22" t="str">
        <x:v>TQ-026</x:v>
      </x:c>
      <x:c r="B30" s="22" t="str">
        <x:v>Asad</x:v>
      </x:c>
      <x:c r="C30" s="22" t="str">
        <x:v>LÍNEA ÁRABE</x:v>
      </x:c>
      <x:c r="D30" s="27" t="n">
        <x:v>12</x:v>
      </x:c>
      <x:c r="E30" s="28" t="n">
        <x:f>IF(ISNUMBER(D30),ROUND(D30*'AJUSTES'!$B$6,2),"")</x:f>
        <x:v>20.4</x:v>
      </x:c>
      <x:c r="F30" s="28" t="n">
        <x:f>IF(ISNUMBER(D30),ROUND(D30*'AJUSTES'!$B$7,2),"")</x:f>
        <x:v>26.4</x:v>
      </x:c>
      <x:c r="G30" s="22" t="str"/>
      <x:c r="H30" s="22" t="str">
        <x:v>Excel TOP QUALITY filas 29, 213</x:v>
      </x:c>
    </x:row>
    <x:row r="31" ht="25" customHeight="1">
      <x:c r="A31" s="22" t="str">
        <x:v>TQ-027</x:v>
      </x:c>
      <x:c r="B31" s="22" t="str">
        <x:v>Asad Zanzíbar</x:v>
      </x:c>
      <x:c r="C31" s="22" t="str">
        <x:v>LÍNEA ÁRABE</x:v>
      </x:c>
      <x:c r="D31" s="27" t="str"/>
      <x:c r="E31" s="28" t="str">
        <x:f>IF(ISNUMBER(D31),ROUND(D31*'AJUSTES'!$B$6,2),"")</x:f>
      </x:c>
      <x:c r="F31" s="28" t="str">
        <x:f>IF(ISNUMBER(D31),ROUND(D31*'AJUSTES'!$B$7,2),"")</x:f>
      </x:c>
      <x:c r="G31" s="22" t="str"/>
      <x:c r="H31" s="22" t="str">
        <x:v>Excel TOP QUALITY filas 31</x:v>
      </x:c>
    </x:row>
    <x:row r="32" ht="25" customHeight="1">
      <x:c r="A32" s="22" t="str">
        <x:v>TQ-028</x:v>
      </x:c>
      <x:c r="B32" s="22" t="str">
        <x:v>Khamrah Dukhan</x:v>
      </x:c>
      <x:c r="C32" s="22" t="str">
        <x:v>LÍNEA ÁRABE</x:v>
      </x:c>
      <x:c r="D32" s="27" t="str"/>
      <x:c r="E32" s="28" t="str">
        <x:f>IF(ISNUMBER(D32),ROUND(D32*'AJUSTES'!$B$6,2),"")</x:f>
      </x:c>
      <x:c r="F32" s="28" t="str">
        <x:f>IF(ISNUMBER(D32),ROUND(D32*'AJUSTES'!$B$7,2),"")</x:f>
      </x:c>
      <x:c r="G32" s="22" t="str"/>
      <x:c r="H32" s="22" t="str">
        <x:v>Excel TOP QUALITY filas 33</x:v>
      </x:c>
    </x:row>
    <x:row r="33" ht="25" customHeight="1">
      <x:c r="A33" s="22" t="str">
        <x:v>TQ-029</x:v>
      </x:c>
      <x:c r="B33" s="22" t="str">
        <x:v>Khamrah Qahwa</x:v>
      </x:c>
      <x:c r="C33" s="22" t="str">
        <x:v>LÍNEA ÁRABE</x:v>
      </x:c>
      <x:c r="D33" s="27" t="str"/>
      <x:c r="E33" s="28" t="str">
        <x:f>IF(ISNUMBER(D33),ROUND(D33*'AJUSTES'!$B$6,2),"")</x:f>
      </x:c>
      <x:c r="F33" s="28" t="str">
        <x:f>IF(ISNUMBER(D33),ROUND(D33*'AJUSTES'!$B$7,2),"")</x:f>
      </x:c>
      <x:c r="G33" s="22" t="str"/>
      <x:c r="H33" s="22" t="str">
        <x:v>Excel TOP QUALITY filas 34</x:v>
      </x:c>
    </x:row>
    <x:row r="34" ht="25" customHeight="1">
      <x:c r="A34" s="22" t="str">
        <x:v>TQ-030</x:v>
      </x:c>
      <x:c r="B34" s="22" t="str">
        <x:v>Fakhar Black</x:v>
      </x:c>
      <x:c r="C34" s="22" t="str">
        <x:v>LÍNEA ÁRABE</x:v>
      </x:c>
      <x:c r="D34" s="27" t="str"/>
      <x:c r="E34" s="28" t="str">
        <x:f>IF(ISNUMBER(D34),ROUND(D34*'AJUSTES'!$B$6,2),"")</x:f>
      </x:c>
      <x:c r="F34" s="28" t="str">
        <x:f>IF(ISNUMBER(D34),ROUND(D34*'AJUSTES'!$B$7,2),"")</x:f>
      </x:c>
      <x:c r="G34" s="22" t="str"/>
      <x:c r="H34" s="22" t="str">
        <x:v>Excel TOP QUALITY filas 35</x:v>
      </x:c>
    </x:row>
    <x:row r="35" ht="25" customHeight="1">
      <x:c r="A35" s="22" t="str">
        <x:v>TQ-031</x:v>
      </x:c>
      <x:c r="B35" s="22" t="str">
        <x:v>Fakhar Extrait</x:v>
      </x:c>
      <x:c r="C35" s="22" t="str">
        <x:v>LÍNEA ÁRABE</x:v>
      </x:c>
      <x:c r="D35" s="27" t="str"/>
      <x:c r="E35" s="28" t="str">
        <x:f>IF(ISNUMBER(D35),ROUND(D35*'AJUSTES'!$B$6,2),"")</x:f>
      </x:c>
      <x:c r="F35" s="28" t="str">
        <x:f>IF(ISNUMBER(D35),ROUND(D35*'AJUSTES'!$B$7,2),"")</x:f>
      </x:c>
      <x:c r="G35" s="22" t="str"/>
      <x:c r="H35" s="22" t="str">
        <x:v>Excel TOP QUALITY filas 36</x:v>
      </x:c>
    </x:row>
    <x:row r="36" ht="25" customHeight="1">
      <x:c r="A36" s="22" t="str">
        <x:v>TQ-032</x:v>
      </x:c>
      <x:c r="B36" s="22" t="str">
        <x:v>Fakhar Rose</x:v>
      </x:c>
      <x:c r="C36" s="22" t="str">
        <x:v>LÍNEA ÁRABE</x:v>
      </x:c>
      <x:c r="D36" s="27" t="str"/>
      <x:c r="E36" s="28" t="str">
        <x:f>IF(ISNUMBER(D36),ROUND(D36*'AJUSTES'!$B$6,2),"")</x:f>
      </x:c>
      <x:c r="F36" s="28" t="str">
        <x:f>IF(ISNUMBER(D36),ROUND(D36*'AJUSTES'!$B$7,2),"")</x:f>
      </x:c>
      <x:c r="G36" s="22" t="str"/>
      <x:c r="H36" s="22" t="str">
        <x:v>Excel TOP QUALITY filas 37</x:v>
      </x:c>
    </x:row>
    <x:row r="37" ht="25" customHeight="1">
      <x:c r="A37" s="22" t="str">
        <x:v>TQ-033</x:v>
      </x:c>
      <x:c r="B37" s="22" t="str">
        <x:v>Vulcan Baie</x:v>
      </x:c>
      <x:c r="C37" s="22" t="str">
        <x:v>LÍNEA ÁRABE</x:v>
      </x:c>
      <x:c r="D37" s="27" t="str"/>
      <x:c r="E37" s="28" t="str">
        <x:f>IF(ISNUMBER(D37),ROUND(D37*'AJUSTES'!$B$6,2),"")</x:f>
      </x:c>
      <x:c r="F37" s="28" t="str">
        <x:f>IF(ISNUMBER(D37),ROUND(D37*'AJUSTES'!$B$7,2),"")</x:f>
      </x:c>
      <x:c r="G37" s="22" t="str"/>
      <x:c r="H37" s="22" t="str">
        <x:v>Excel TOP QUALITY filas 38</x:v>
      </x:c>
    </x:row>
    <x:row r="38" ht="25" customHeight="1">
      <x:c r="A38" s="22" t="str">
        <x:v>TQ-034</x:v>
      </x:c>
      <x:c r="B38" s="22" t="str">
        <x:v>Vulcan Feu</x:v>
      </x:c>
      <x:c r="C38" s="22" t="str">
        <x:v>LÍNEA ÁRABE</x:v>
      </x:c>
      <x:c r="D38" s="27" t="str"/>
      <x:c r="E38" s="28" t="str">
        <x:f>IF(ISNUMBER(D38),ROUND(D38*'AJUSTES'!$B$6,2),"")</x:f>
      </x:c>
      <x:c r="F38" s="28" t="str">
        <x:f>IF(ISNUMBER(D38),ROUND(D38*'AJUSTES'!$B$7,2),"")</x:f>
      </x:c>
      <x:c r="G38" s="22" t="str"/>
      <x:c r="H38" s="22" t="str">
        <x:v>Excel TOP QUALITY filas 39</x:v>
      </x:c>
    </x:row>
    <x:row r="39" ht="25" customHeight="1">
      <x:c r="A39" s="22" t="str">
        <x:v>TQ-035</x:v>
      </x:c>
      <x:c r="B39" s="22" t="str">
        <x:v>Sublime</x:v>
      </x:c>
      <x:c r="C39" s="22" t="str">
        <x:v>LÍNEA ÁRABE</x:v>
      </x:c>
      <x:c r="D39" s="27" t="str"/>
      <x:c r="E39" s="28" t="str">
        <x:f>IF(ISNUMBER(D39),ROUND(D39*'AJUSTES'!$B$6,2),"")</x:f>
      </x:c>
      <x:c r="F39" s="28" t="str">
        <x:f>IF(ISNUMBER(D39),ROUND(D39*'AJUSTES'!$B$7,2),"")</x:f>
      </x:c>
      <x:c r="G39" s="22" t="str"/>
      <x:c r="H39" s="22" t="str">
        <x:v>Excel TOP QUALITY filas 40</x:v>
      </x:c>
    </x:row>
    <x:row r="40" ht="25" customHeight="1">
      <x:c r="A40" s="22" t="str">
        <x:v>TQ-036</x:v>
      </x:c>
      <x:c r="B40" s="22" t="str">
        <x:v>Noble Blush</x:v>
      </x:c>
      <x:c r="C40" s="22" t="str">
        <x:v>LÍNEA ÁRABE</x:v>
      </x:c>
      <x:c r="D40" s="27" t="str"/>
      <x:c r="E40" s="28" t="str">
        <x:f>IF(ISNUMBER(D40),ROUND(D40*'AJUSTES'!$B$6,2),"")</x:f>
      </x:c>
      <x:c r="F40" s="28" t="str">
        <x:f>IF(ISNUMBER(D40),ROUND(D40*'AJUSTES'!$B$7,2),"")</x:f>
      </x:c>
      <x:c r="G40" s="22" t="str"/>
      <x:c r="H40" s="22" t="str">
        <x:v>Excel TOP QUALITY filas 41</x:v>
      </x:c>
    </x:row>
    <x:row r="41" ht="25" customHeight="1">
      <x:c r="A41" s="22" t="str">
        <x:v>TQ-037</x:v>
      </x:c>
      <x:c r="B41" s="22" t="str">
        <x:v>Oud For Glory</x:v>
      </x:c>
      <x:c r="C41" s="22" t="str">
        <x:v>LÍNEA ÁRABE</x:v>
      </x:c>
      <x:c r="D41" s="27" t="str"/>
      <x:c r="E41" s="28" t="str">
        <x:f>IF(ISNUMBER(D41),ROUND(D41*'AJUSTES'!$B$6,2),"")</x:f>
      </x:c>
      <x:c r="F41" s="28" t="str">
        <x:f>IF(ISNUMBER(D41),ROUND(D41*'AJUSTES'!$B$7,2),"")</x:f>
      </x:c>
      <x:c r="G41" s="22" t="str"/>
      <x:c r="H41" s="22" t="str">
        <x:v>Excel TOP QUALITY filas 43</x:v>
      </x:c>
    </x:row>
    <x:row r="42" ht="25" customHeight="1">
      <x:c r="A42" s="22" t="str">
        <x:v>TQ-038</x:v>
      </x:c>
      <x:c r="B42" s="22" t="str">
        <x:v>Amethyst</x:v>
      </x:c>
      <x:c r="C42" s="22" t="str">
        <x:v>LÍNEA ÁRABE</x:v>
      </x:c>
      <x:c r="D42" s="27" t="str"/>
      <x:c r="E42" s="28" t="str">
        <x:f>IF(ISNUMBER(D42),ROUND(D42*'AJUSTES'!$B$6,2),"")</x:f>
      </x:c>
      <x:c r="F42" s="28" t="str">
        <x:f>IF(ISNUMBER(D42),ROUND(D42*'AJUSTES'!$B$7,2),"")</x:f>
      </x:c>
      <x:c r="G42" s="22" t="str"/>
      <x:c r="H42" s="22" t="str">
        <x:v>Excel TOP QUALITY filas 44</x:v>
      </x:c>
    </x:row>
    <x:row r="43" ht="25" customHeight="1">
      <x:c r="A43" s="22" t="str">
        <x:v>TQ-039</x:v>
      </x:c>
      <x:c r="B43" s="22" t="str">
        <x:v>Her Confession</x:v>
      </x:c>
      <x:c r="C43" s="22" t="str">
        <x:v>LÍNEA ÁRABE</x:v>
      </x:c>
      <x:c r="D43" s="27" t="str"/>
      <x:c r="E43" s="28" t="str">
        <x:f>IF(ISNUMBER(D43),ROUND(D43*'AJUSTES'!$B$6,2),"")</x:f>
      </x:c>
      <x:c r="F43" s="28" t="str">
        <x:f>IF(ISNUMBER(D43),ROUND(D43*'AJUSTES'!$B$7,2),"")</x:f>
      </x:c>
      <x:c r="G43" s="22" t="str"/>
      <x:c r="H43" s="22" t="str">
        <x:v>Excel TOP QUALITY filas 45</x:v>
      </x:c>
    </x:row>
    <x:row r="44" ht="25" customHeight="1">
      <x:c r="A44" s="22" t="str">
        <x:v>TQ-040</x:v>
      </x:c>
      <x:c r="B44" s="22" t="str">
        <x:v>His Confession</x:v>
      </x:c>
      <x:c r="C44" s="22" t="str">
        <x:v>LÍNEA ÁRABE</x:v>
      </x:c>
      <x:c r="D44" s="27" t="str"/>
      <x:c r="E44" s="28" t="str">
        <x:f>IF(ISNUMBER(D44),ROUND(D44*'AJUSTES'!$B$6,2),"")</x:f>
      </x:c>
      <x:c r="F44" s="28" t="str">
        <x:f>IF(ISNUMBER(D44),ROUND(D44*'AJUSTES'!$B$7,2),"")</x:f>
      </x:c>
      <x:c r="G44" s="22" t="str"/>
      <x:c r="H44" s="22" t="str">
        <x:v>Excel TOP QUALITY filas 46</x:v>
      </x:c>
    </x:row>
    <x:row r="45" ht="25" customHeight="1">
      <x:c r="A45" s="22" t="str">
        <x:v>TQ-041</x:v>
      </x:c>
      <x:c r="B45" s="22" t="str">
        <x:v>Eclaire</x:v>
      </x:c>
      <x:c r="C45" s="22" t="str">
        <x:v>LÍNEA ÁRABE</x:v>
      </x:c>
      <x:c r="D45" s="27" t="str"/>
      <x:c r="E45" s="28" t="str">
        <x:f>IF(ISNUMBER(D45),ROUND(D45*'AJUSTES'!$B$6,2),"")</x:f>
      </x:c>
      <x:c r="F45" s="28" t="str">
        <x:f>IF(ISNUMBER(D45),ROUND(D45*'AJUSTES'!$B$7,2),"")</x:f>
      </x:c>
      <x:c r="G45" s="22" t="str"/>
      <x:c r="H45" s="22" t="str">
        <x:v>Excel TOP QUALITY filas 47</x:v>
      </x:c>
    </x:row>
    <x:row r="46" ht="25" customHeight="1">
      <x:c r="A46" s="22" t="str">
        <x:v>TQ-042</x:v>
      </x:c>
      <x:c r="B46" s="22" t="str">
        <x:v>Victoria</x:v>
      </x:c>
      <x:c r="C46" s="22" t="str">
        <x:v>LÍNEA ÁRABE</x:v>
      </x:c>
      <x:c r="D46" s="27" t="str"/>
      <x:c r="E46" s="28" t="str">
        <x:f>IF(ISNUMBER(D46),ROUND(D46*'AJUSTES'!$B$6,2),"")</x:f>
      </x:c>
      <x:c r="F46" s="28" t="str">
        <x:f>IF(ISNUMBER(D46),ROUND(D46*'AJUSTES'!$B$7,2),"")</x:f>
      </x:c>
      <x:c r="G46" s="22" t="str"/>
      <x:c r="H46" s="22" t="str">
        <x:v>Excel TOP QUALITY filas 48</x:v>
      </x:c>
    </x:row>
    <x:row r="47" ht="25" customHeight="1">
      <x:c r="A47" s="22" t="str">
        <x:v>TQ-043</x:v>
      </x:c>
      <x:c r="B47" s="22" t="str">
        <x:v>Mayar</x:v>
      </x:c>
      <x:c r="C47" s="22" t="str">
        <x:v>LÍNEA ÁRABE</x:v>
      </x:c>
      <x:c r="D47" s="27" t="str"/>
      <x:c r="E47" s="28" t="str">
        <x:f>IF(ISNUMBER(D47),ROUND(D47*'AJUSTES'!$B$6,2),"")</x:f>
      </x:c>
      <x:c r="F47" s="28" t="str">
        <x:f>IF(ISNUMBER(D47),ROUND(D47*'AJUSTES'!$B$7,2),"")</x:f>
      </x:c>
      <x:c r="G47" s="22" t="str"/>
      <x:c r="H47" s="22" t="str">
        <x:v>Excel TOP QUALITY filas 49</x:v>
      </x:c>
    </x:row>
    <x:row r="48" ht="25" customHeight="1">
      <x:c r="A48" s="22" t="str">
        <x:v>TQ-044</x:v>
      </x:c>
      <x:c r="B48" s="22" t="str">
        <x:v>Mayar Natural</x:v>
      </x:c>
      <x:c r="C48" s="22" t="str">
        <x:v>LÍNEA ÁRABE</x:v>
      </x:c>
      <x:c r="D48" s="27" t="str"/>
      <x:c r="E48" s="28" t="str">
        <x:f>IF(ISNUMBER(D48),ROUND(D48*'AJUSTES'!$B$6,2),"")</x:f>
      </x:c>
      <x:c r="F48" s="28" t="str">
        <x:f>IF(ISNUMBER(D48),ROUND(D48*'AJUSTES'!$B$7,2),"")</x:f>
      </x:c>
      <x:c r="G48" s="22" t="str"/>
      <x:c r="H48" s="22" t="str">
        <x:v>Excel TOP QUALITY filas 50</x:v>
      </x:c>
    </x:row>
    <x:row r="49" ht="25" customHeight="1">
      <x:c r="A49" s="22" t="str">
        <x:v>TQ-045</x:v>
      </x:c>
      <x:c r="B49" s="22" t="str">
        <x:v>Emeer</x:v>
      </x:c>
      <x:c r="C49" s="22" t="str">
        <x:v>LÍNEA ÁRABE</x:v>
      </x:c>
      <x:c r="D49" s="27" t="str"/>
      <x:c r="E49" s="28" t="str">
        <x:f>IF(ISNUMBER(D49),ROUND(D49*'AJUSTES'!$B$6,2),"")</x:f>
      </x:c>
      <x:c r="F49" s="28" t="str">
        <x:f>IF(ISNUMBER(D49),ROUND(D49*'AJUSTES'!$B$7,2),"")</x:f>
      </x:c>
      <x:c r="G49" s="22" t="str"/>
      <x:c r="H49" s="22" t="str">
        <x:v>Excel TOP QUALITY filas 51</x:v>
      </x:c>
    </x:row>
    <x:row r="50" ht="25" customHeight="1">
      <x:c r="A50" s="22" t="str">
        <x:v>TQ-046</x:v>
      </x:c>
      <x:c r="B50" s="22" t="str">
        <x:v>Haya</x:v>
      </x:c>
      <x:c r="C50" s="22" t="str">
        <x:v>LÍNEA ÁRABE</x:v>
      </x:c>
      <x:c r="D50" s="27" t="str"/>
      <x:c r="E50" s="28" t="str">
        <x:f>IF(ISNUMBER(D50),ROUND(D50*'AJUSTES'!$B$6,2),"")</x:f>
      </x:c>
      <x:c r="F50" s="28" t="str">
        <x:f>IF(ISNUMBER(D50),ROUND(D50*'AJUSTES'!$B$7,2),"")</x:f>
      </x:c>
      <x:c r="G50" s="22" t="str"/>
      <x:c r="H50" s="22" t="str">
        <x:v>Excel TOP QUALITY filas 52</x:v>
      </x:c>
    </x:row>
    <x:row r="51" ht="25" customHeight="1">
      <x:c r="A51" s="22" t="str">
        <x:v>TQ-047</x:v>
      </x:c>
      <x:c r="B51" s="22" t="str">
        <x:v>Ajwad</x:v>
      </x:c>
      <x:c r="C51" s="22" t="str">
        <x:v>LÍNEA ÁRABE</x:v>
      </x:c>
      <x:c r="D51" s="27" t="str"/>
      <x:c r="E51" s="28" t="str">
        <x:f>IF(ISNUMBER(D51),ROUND(D51*'AJUSTES'!$B$6,2),"")</x:f>
      </x:c>
      <x:c r="F51" s="28" t="str">
        <x:f>IF(ISNUMBER(D51),ROUND(D51*'AJUSTES'!$B$7,2),"")</x:f>
      </x:c>
      <x:c r="G51" s="22" t="str"/>
      <x:c r="H51" s="22" t="str">
        <x:v>Excel TOP QUALITY filas 53</x:v>
      </x:c>
    </x:row>
    <x:row r="52" ht="25" customHeight="1">
      <x:c r="A52" s="22" t="str">
        <x:v>TQ-048</x:v>
      </x:c>
      <x:c r="B52" s="22" t="str">
        <x:v>Sher</x:v>
      </x:c>
      <x:c r="C52" s="22" t="str">
        <x:v>LÍNEA ÁRABE</x:v>
      </x:c>
      <x:c r="D52" s="27" t="str"/>
      <x:c r="E52" s="28" t="str">
        <x:f>IF(ISNUMBER(D52),ROUND(D52*'AJUSTES'!$B$6,2),"")</x:f>
      </x:c>
      <x:c r="F52" s="28" t="str">
        <x:f>IF(ISNUMBER(D52),ROUND(D52*'AJUSTES'!$B$7,2),"")</x:f>
      </x:c>
      <x:c r="G52" s="22" t="str"/>
      <x:c r="H52" s="22" t="str">
        <x:v>Excel TOP QUALITY filas 54</x:v>
      </x:c>
    </x:row>
    <x:row r="53" ht="25" customHeight="1">
      <x:c r="A53" s="22" t="str">
        <x:v>TQ-049</x:v>
      </x:c>
      <x:c r="B53" s="22" t="str">
        <x:v>Art Of Universe</x:v>
      </x:c>
      <x:c r="C53" s="22" t="str">
        <x:v>LÍNEA ÁRABE</x:v>
      </x:c>
      <x:c r="D53" s="27" t="str"/>
      <x:c r="E53" s="28" t="str">
        <x:f>IF(ISNUMBER(D53),ROUND(D53*'AJUSTES'!$B$6,2),"")</x:f>
      </x:c>
      <x:c r="F53" s="28" t="str">
        <x:f>IF(ISNUMBER(D53),ROUND(D53*'AJUSTES'!$B$7,2),"")</x:f>
      </x:c>
      <x:c r="G53" s="22" t="str"/>
      <x:c r="H53" s="22" t="str">
        <x:v>Excel TOP QUALITY filas 55</x:v>
      </x:c>
    </x:row>
    <x:row r="54" ht="25" customHeight="1">
      <x:c r="A54" s="22" t="str">
        <x:v>TQ-050</x:v>
      </x:c>
      <x:c r="B54" s="22" t="str">
        <x:v>Berty On Top</x:v>
      </x:c>
      <x:c r="C54" s="22" t="str">
        <x:v>LÍNEA ÁRABE</x:v>
      </x:c>
      <x:c r="D54" s="27" t="str"/>
      <x:c r="E54" s="28" t="str">
        <x:f>IF(ISNUMBER(D54),ROUND(D54*'AJUSTES'!$B$6,2),"")</x:f>
      </x:c>
      <x:c r="F54" s="28" t="str">
        <x:f>IF(ISNUMBER(D54),ROUND(D54*'AJUSTES'!$B$7,2),"")</x:f>
      </x:c>
      <x:c r="G54" s="22" t="str"/>
      <x:c r="H54" s="22" t="str">
        <x:v>Excel TOP QUALITY filas 56</x:v>
      </x:c>
    </x:row>
    <x:row r="55" ht="25" customHeight="1">
      <x:c r="A55" s="22" t="str">
        <x:v>TQ-051</x:v>
      </x:c>
      <x:c r="B55" s="22" t="str">
        <x:v>Vainilla Freak</x:v>
      </x:c>
      <x:c r="C55" s="22" t="str">
        <x:v>LÍNEA ÁRABE</x:v>
      </x:c>
      <x:c r="D55" s="27" t="str"/>
      <x:c r="E55" s="28" t="str">
        <x:f>IF(ISNUMBER(D55),ROUND(D55*'AJUSTES'!$B$6,2),"")</x:f>
      </x:c>
      <x:c r="F55" s="28" t="str">
        <x:f>IF(ISNUMBER(D55),ROUND(D55*'AJUSTES'!$B$7,2),"")</x:f>
      </x:c>
      <x:c r="G55" s="22" t="str"/>
      <x:c r="H55" s="22" t="str">
        <x:v>Excel TOP QUALITY filas 57</x:v>
      </x:c>
    </x:row>
    <x:row r="56" ht="25" customHeight="1">
      <x:c r="A56" s="22" t="str">
        <x:v>TQ-052</x:v>
      </x:c>
      <x:c r="B56" s="22" t="str">
        <x:v>Choco Overdose</x:v>
      </x:c>
      <x:c r="C56" s="22" t="str">
        <x:v>LÍNEA ÁRABE</x:v>
      </x:c>
      <x:c r="D56" s="27" t="str"/>
      <x:c r="E56" s="28" t="str">
        <x:f>IF(ISNUMBER(D56),ROUND(D56*'AJUSTES'!$B$6,2),"")</x:f>
      </x:c>
      <x:c r="F56" s="28" t="str">
        <x:f>IF(ISNUMBER(D56),ROUND(D56*'AJUSTES'!$B$7,2),"")</x:f>
      </x:c>
      <x:c r="G56" s="22" t="str"/>
      <x:c r="H56" s="22" t="str">
        <x:v>Excel TOP QUALITY filas 58</x:v>
      </x:c>
    </x:row>
    <x:row r="57" ht="25" customHeight="1">
      <x:c r="A57" s="22" t="str">
        <x:v>TQ-053</x:v>
      </x:c>
      <x:c r="B57" s="22" t="str">
        <x:v>Mallow Madness</x:v>
      </x:c>
      <x:c r="C57" s="22" t="str">
        <x:v>LÍNEA ÁRABE</x:v>
      </x:c>
      <x:c r="D57" s="27" t="str"/>
      <x:c r="E57" s="28" t="str">
        <x:f>IF(ISNUMBER(D57),ROUND(D57*'AJUSTES'!$B$6,2),"")</x:f>
      </x:c>
      <x:c r="F57" s="28" t="str">
        <x:f>IF(ISNUMBER(D57),ROUND(D57*'AJUSTES'!$B$7,2),"")</x:f>
      </x:c>
      <x:c r="G57" s="22" t="str"/>
      <x:c r="H57" s="22" t="str">
        <x:v>Excel TOP QUALITY filas 59</x:v>
      </x:c>
    </x:row>
    <x:row r="58" ht="25" customHeight="1">
      <x:c r="A58" s="22" t="str">
        <x:v>TQ-054</x:v>
      </x:c>
      <x:c r="B58" s="22" t="str">
        <x:v>Whipped Pleausure</x:v>
      </x:c>
      <x:c r="C58" s="22" t="str">
        <x:v>LÍNEA ÁRABE</x:v>
      </x:c>
      <x:c r="D58" s="27" t="str"/>
      <x:c r="E58" s="28" t="str">
        <x:f>IF(ISNUMBER(D58),ROUND(D58*'AJUSTES'!$B$6,2),"")</x:f>
      </x:c>
      <x:c r="F58" s="28" t="str">
        <x:f>IF(ISNUMBER(D58),ROUND(D58*'AJUSTES'!$B$7,2),"")</x:f>
      </x:c>
      <x:c r="G58" s="22" t="str"/>
      <x:c r="H58" s="22" t="str">
        <x:v>Excel TOP QUALITY filas 60</x:v>
      </x:c>
    </x:row>
    <x:row r="59" ht="25" customHeight="1">
      <x:c r="A59" s="22" t="str">
        <x:v>TQ-055</x:v>
      </x:c>
      <x:c r="B59" s="22" t="str">
        <x:v>Cookie Crave</x:v>
      </x:c>
      <x:c r="C59" s="22" t="str">
        <x:v>LÍNEA ÁRABE</x:v>
      </x:c>
      <x:c r="D59" s="27" t="str"/>
      <x:c r="E59" s="28" t="str">
        <x:f>IF(ISNUMBER(D59),ROUND(D59*'AJUSTES'!$B$6,2),"")</x:f>
      </x:c>
      <x:c r="F59" s="28" t="str">
        <x:f>IF(ISNUMBER(D59),ROUND(D59*'AJUSTES'!$B$7,2),"")</x:f>
      </x:c>
      <x:c r="G59" s="22" t="str"/>
      <x:c r="H59" s="22" t="str">
        <x:v>Excel TOP QUALITY filas 61</x:v>
      </x:c>
    </x:row>
    <x:row r="60" ht="25" customHeight="1">
      <x:c r="A60" s="22" t="str">
        <x:v>TQ-056</x:v>
      </x:c>
      <x:c r="B60" s="22" t="str">
        <x:v>9AM Dive</x:v>
      </x:c>
      <x:c r="C60" s="22" t="str">
        <x:v>LÍNEA ÁRABE</x:v>
      </x:c>
      <x:c r="D60" s="27" t="str"/>
      <x:c r="E60" s="28" t="str">
        <x:f>IF(ISNUMBER(D60),ROUND(D60*'AJUSTES'!$B$6,2),"")</x:f>
      </x:c>
      <x:c r="F60" s="28" t="str">
        <x:f>IF(ISNUMBER(D60),ROUND(D60*'AJUSTES'!$B$7,2),"")</x:f>
      </x:c>
      <x:c r="G60" s="22" t="str"/>
      <x:c r="H60" s="22" t="str">
        <x:v>Excel TOP QUALITY filas 62</x:v>
      </x:c>
    </x:row>
    <x:row r="61" ht="25" customHeight="1">
      <x:c r="A61" s="22" t="str">
        <x:v>TQ-057</x:v>
      </x:c>
      <x:c r="B61" s="22" t="str">
        <x:v>9 Am Pour Femme</x:v>
      </x:c>
      <x:c r="C61" s="22" t="str">
        <x:v>LÍNEA ÁRABE</x:v>
      </x:c>
      <x:c r="D61" s="27" t="str"/>
      <x:c r="E61" s="28" t="str">
        <x:f>IF(ISNUMBER(D61),ROUND(D61*'AJUSTES'!$B$6,2),"")</x:f>
      </x:c>
      <x:c r="F61" s="28" t="str">
        <x:f>IF(ISNUMBER(D61),ROUND(D61*'AJUSTES'!$B$7,2),"")</x:f>
      </x:c>
      <x:c r="G61" s="22" t="str"/>
      <x:c r="H61" s="22" t="str">
        <x:v>Excel TOP QUALITY filas 63</x:v>
      </x:c>
    </x:row>
    <x:row r="62" ht="25" customHeight="1">
      <x:c r="A62" s="22" t="str">
        <x:v>TQ-058</x:v>
      </x:c>
      <x:c r="B62" s="22" t="str">
        <x:v>9PM Elixir</x:v>
      </x:c>
      <x:c r="C62" s="22" t="str">
        <x:v>LÍNEA ÁRABE</x:v>
      </x:c>
      <x:c r="D62" s="27" t="str"/>
      <x:c r="E62" s="28" t="str">
        <x:f>IF(ISNUMBER(D62),ROUND(D62*'AJUSTES'!$B$6,2),"")</x:f>
      </x:c>
      <x:c r="F62" s="28" t="str">
        <x:f>IF(ISNUMBER(D62),ROUND(D62*'AJUSTES'!$B$7,2),"")</x:f>
      </x:c>
      <x:c r="G62" s="22" t="str"/>
      <x:c r="H62" s="22" t="str">
        <x:v>Excel TOP QUALITY filas 64</x:v>
      </x:c>
    </x:row>
    <x:row r="63" ht="25" customHeight="1">
      <x:c r="A63" s="22" t="str">
        <x:v>TQ-059</x:v>
      </x:c>
      <x:c r="B63" s="22" t="str">
        <x:v>Bharara Niche</x:v>
      </x:c>
      <x:c r="C63" s="22" t="str">
        <x:v>LÍNEA ÁRABE</x:v>
      </x:c>
      <x:c r="D63" s="27" t="str"/>
      <x:c r="E63" s="28" t="str">
        <x:f>IF(ISNUMBER(D63),ROUND(D63*'AJUSTES'!$B$6,2),"")</x:f>
      </x:c>
      <x:c r="F63" s="28" t="str">
        <x:f>IF(ISNUMBER(D63),ROUND(D63*'AJUSTES'!$B$7,2),"")</x:f>
      </x:c>
      <x:c r="G63" s="22" t="str"/>
      <x:c r="H63" s="22" t="str">
        <x:v>Excel TOP QUALITY filas 66</x:v>
      </x:c>
    </x:row>
    <x:row r="64" ht="25" customHeight="1">
      <x:c r="A64" s="22" t="str">
        <x:v>TQ-060</x:v>
      </x:c>
      <x:c r="B64" s="22" t="str">
        <x:v>Bharara Blue</x:v>
      </x:c>
      <x:c r="C64" s="22" t="str">
        <x:v>LÍNEA ÁRABE</x:v>
      </x:c>
      <x:c r="D64" s="27" t="n">
        <x:v>12</x:v>
      </x:c>
      <x:c r="E64" s="28" t="n">
        <x:f>IF(ISNUMBER(D64),ROUND(D64*'AJUSTES'!$B$6,2),"")</x:f>
        <x:v>20.4</x:v>
      </x:c>
      <x:c r="F64" s="28" t="n">
        <x:f>IF(ISNUMBER(D64),ROUND(D64*'AJUSTES'!$B$7,2),"")</x:f>
        <x:v>26.4</x:v>
      </x:c>
      <x:c r="G64" s="22" t="str"/>
      <x:c r="H64" s="22" t="str">
        <x:v>Excel TOP QUALITY filas 67</x:v>
      </x:c>
    </x:row>
    <x:row r="65" ht="25" customHeight="1">
      <x:c r="A65" s="22" t="str">
        <x:v>TQ-061</x:v>
      </x:c>
      <x:c r="B65" s="22" t="str">
        <x:v>Bharara Rose</x:v>
      </x:c>
      <x:c r="C65" s="22" t="str">
        <x:v>LÍNEA ÁRABE</x:v>
      </x:c>
      <x:c r="D65" s="27" t="str"/>
      <x:c r="E65" s="28" t="str">
        <x:f>IF(ISNUMBER(D65),ROUND(D65*'AJUSTES'!$B$6,2),"")</x:f>
      </x:c>
      <x:c r="F65" s="28" t="str">
        <x:f>IF(ISNUMBER(D65),ROUND(D65*'AJUSTES'!$B$7,2),"")</x:f>
      </x:c>
      <x:c r="G65" s="22" t="str"/>
      <x:c r="H65" s="22" t="str">
        <x:v>Excel TOP QUALITY filas 68</x:v>
      </x:c>
    </x:row>
    <x:row r="66" ht="25" customHeight="1">
      <x:c r="A66" s="22" t="str">
        <x:v>TQ-062</x:v>
      </x:c>
      <x:c r="B66" s="22" t="str">
        <x:v>Bharara King Soleil</x:v>
      </x:c>
      <x:c r="C66" s="22" t="str">
        <x:v>LÍNEA ÁRABE</x:v>
      </x:c>
      <x:c r="D66" s="27" t="str"/>
      <x:c r="E66" s="28" t="str">
        <x:f>IF(ISNUMBER(D66),ROUND(D66*'AJUSTES'!$B$6,2),"")</x:f>
      </x:c>
      <x:c r="F66" s="28" t="str">
        <x:f>IF(ISNUMBER(D66),ROUND(D66*'AJUSTES'!$B$7,2),"")</x:f>
      </x:c>
      <x:c r="G66" s="22" t="str"/>
      <x:c r="H66" s="22" t="str">
        <x:v>Excel TOP QUALITY filas 69</x:v>
      </x:c>
    </x:row>
    <x:row r="67" ht="25" customHeight="1">
      <x:c r="A67" s="22" t="str">
        <x:v>TQ-063</x:v>
      </x:c>
      <x:c r="B67" s="22" t="str">
        <x:v>Bharara Scarlet</x:v>
      </x:c>
      <x:c r="C67" s="22" t="str">
        <x:v>LÍNEA ÁRABE</x:v>
      </x:c>
      <x:c r="D67" s="27" t="str"/>
      <x:c r="E67" s="28" t="str">
        <x:f>IF(ISNUMBER(D67),ROUND(D67*'AJUSTES'!$B$6,2),"")</x:f>
      </x:c>
      <x:c r="F67" s="28" t="str">
        <x:f>IF(ISNUMBER(D67),ROUND(D67*'AJUSTES'!$B$7,2),"")</x:f>
      </x:c>
      <x:c r="G67" s="22" t="str"/>
      <x:c r="H67" s="22" t="str">
        <x:v>Excel TOP QUALITY filas 70</x:v>
      </x:c>
    </x:row>
    <x:row r="68" ht="25" customHeight="1">
      <x:c r="A68" s="22" t="str">
        <x:v>TQ-064</x:v>
      </x:c>
      <x:c r="B68" s="22" t="str">
        <x:v>Orientica Rouge</x:v>
      </x:c>
      <x:c r="C68" s="22" t="str">
        <x:v>LÍNEA ÁRABE</x:v>
      </x:c>
      <x:c r="D68" s="27" t="str"/>
      <x:c r="E68" s="28" t="str">
        <x:f>IF(ISNUMBER(D68),ROUND(D68*'AJUSTES'!$B$6,2),"")</x:f>
      </x:c>
      <x:c r="F68" s="28" t="str">
        <x:f>IF(ISNUMBER(D68),ROUND(D68*'AJUSTES'!$B$7,2),"")</x:f>
      </x:c>
      <x:c r="G68" s="22" t="str"/>
      <x:c r="H68" s="22" t="str">
        <x:v>Excel TOP QUALITY filas 71</x:v>
      </x:c>
    </x:row>
    <x:row r="69" ht="25" customHeight="1">
      <x:c r="A69" s="22" t="str">
        <x:v>TQ-065</x:v>
      </x:c>
      <x:c r="B69" s="22" t="str">
        <x:v>Orientica Royal</x:v>
      </x:c>
      <x:c r="C69" s="22" t="str">
        <x:v>LÍNEA ÁRABE</x:v>
      </x:c>
      <x:c r="D69" s="27" t="str"/>
      <x:c r="E69" s="28" t="str">
        <x:f>IF(ISNUMBER(D69),ROUND(D69*'AJUSTES'!$B$6,2),"")</x:f>
      </x:c>
      <x:c r="F69" s="28" t="str">
        <x:f>IF(ISNUMBER(D69),ROUND(D69*'AJUSTES'!$B$7,2),"")</x:f>
      </x:c>
      <x:c r="G69" s="22" t="str"/>
      <x:c r="H69" s="22" t="str">
        <x:v>Excel TOP QUALITY filas 72</x:v>
      </x:c>
    </x:row>
    <x:row r="70" ht="25" customHeight="1">
      <x:c r="A70" s="22" t="str">
        <x:v>TQ-066</x:v>
      </x:c>
      <x:c r="B70" s="22" t="str">
        <x:v>Orientica Safron</x:v>
      </x:c>
      <x:c r="C70" s="22" t="str">
        <x:v>LÍNEA ÁRABE</x:v>
      </x:c>
      <x:c r="D70" s="27" t="str"/>
      <x:c r="E70" s="28" t="str">
        <x:f>IF(ISNUMBER(D70),ROUND(D70*'AJUSTES'!$B$6,2),"")</x:f>
      </x:c>
      <x:c r="F70" s="28" t="str">
        <x:f>IF(ISNUMBER(D70),ROUND(D70*'AJUSTES'!$B$7,2),"")</x:f>
      </x:c>
      <x:c r="G70" s="22" t="str"/>
      <x:c r="H70" s="22" t="str">
        <x:v>Excel TOP QUALITY filas 73</x:v>
      </x:c>
    </x:row>
    <x:row r="71" ht="25" customHeight="1">
      <x:c r="A71" s="22" t="str">
        <x:v>TQ-067</x:v>
      </x:c>
      <x:c r="B71" s="22" t="str">
        <x:v>Orientica Al Noble</x:v>
      </x:c>
      <x:c r="C71" s="22" t="str">
        <x:v>LÍNEA ÁRABE</x:v>
      </x:c>
      <x:c r="D71" s="27" t="str"/>
      <x:c r="E71" s="28" t="str">
        <x:f>IF(ISNUMBER(D71),ROUND(D71*'AJUSTES'!$B$6,2),"")</x:f>
      </x:c>
      <x:c r="F71" s="28" t="str">
        <x:f>IF(ISNUMBER(D71),ROUND(D71*'AJUSTES'!$B$7,2),"")</x:f>
      </x:c>
      <x:c r="G71" s="22" t="str"/>
      <x:c r="H71" s="22" t="str">
        <x:v>Excel TOP QUALITY filas 74</x:v>
      </x:c>
    </x:row>
    <x:row r="72" ht="25" customHeight="1">
      <x:c r="A72" s="22" t="str">
        <x:v>TQ-068</x:v>
      </x:c>
      <x:c r="B72" s="22" t="str">
        <x:v>Orientica Velvet</x:v>
      </x:c>
      <x:c r="C72" s="22" t="str">
        <x:v>LÍNEA ÁRABE</x:v>
      </x:c>
      <x:c r="D72" s="27" t="str"/>
      <x:c r="E72" s="28" t="str">
        <x:f>IF(ISNUMBER(D72),ROUND(D72*'AJUSTES'!$B$6,2),"")</x:f>
      </x:c>
      <x:c r="F72" s="28" t="str">
        <x:f>IF(ISNUMBER(D72),ROUND(D72*'AJUSTES'!$B$7,2),"")</x:f>
      </x:c>
      <x:c r="G72" s="22" t="str"/>
      <x:c r="H72" s="22" t="str">
        <x:v>Excel TOP QUALITY filas 75</x:v>
      </x:c>
    </x:row>
    <x:row r="73" ht="25" customHeight="1">
      <x:c r="A73" s="22" t="str">
        <x:v>TQ-069</x:v>
      </x:c>
      <x:c r="B73" s="22" t="str">
        <x:v>Orientica Dania</x:v>
      </x:c>
      <x:c r="C73" s="22" t="str">
        <x:v>LÍNEA ÁRABE</x:v>
      </x:c>
      <x:c r="D73" s="27" t="str"/>
      <x:c r="E73" s="28" t="str">
        <x:f>IF(ISNUMBER(D73),ROUND(D73*'AJUSTES'!$B$6,2),"")</x:f>
      </x:c>
      <x:c r="F73" s="28" t="str">
        <x:f>IF(ISNUMBER(D73),ROUND(D73*'AJUSTES'!$B$7,2),"")</x:f>
      </x:c>
      <x:c r="G73" s="22" t="str"/>
      <x:c r="H73" s="22" t="str">
        <x:v>Excel TOP QUALITY filas 76</x:v>
      </x:c>
    </x:row>
    <x:row r="74" ht="25" customHeight="1">
      <x:c r="A74" s="22" t="str">
        <x:v>TQ-070</x:v>
      </x:c>
      <x:c r="B74" s="22" t="str">
        <x:v>Orientica Azure</x:v>
      </x:c>
      <x:c r="C74" s="22" t="str">
        <x:v>LÍNEA ÁRABE</x:v>
      </x:c>
      <x:c r="D74" s="27" t="str"/>
      <x:c r="E74" s="28" t="str">
        <x:f>IF(ISNUMBER(D74),ROUND(D74*'AJUSTES'!$B$6,2),"")</x:f>
      </x:c>
      <x:c r="F74" s="28" t="str">
        <x:f>IF(ISNUMBER(D74),ROUND(D74*'AJUSTES'!$B$7,2),"")</x:f>
      </x:c>
      <x:c r="G74" s="22" t="str"/>
      <x:c r="H74" s="22" t="str">
        <x:v>Excel TOP QUALITY filas 77</x:v>
      </x:c>
    </x:row>
    <x:row r="75" ht="25" customHeight="1">
      <x:c r="A75" s="22" t="str">
        <x:v>TQ-071</x:v>
      </x:c>
      <x:c r="B75" s="22" t="str">
        <x:v>Amber Oud Exclusif Esmerald</x:v>
      </x:c>
      <x:c r="C75" s="22" t="str">
        <x:v>LÍNEA ÁRABE</x:v>
      </x:c>
      <x:c r="D75" s="27" t="str"/>
      <x:c r="E75" s="28" t="str">
        <x:f>IF(ISNUMBER(D75),ROUND(D75*'AJUSTES'!$B$6,2),"")</x:f>
      </x:c>
      <x:c r="F75" s="28" t="str">
        <x:f>IF(ISNUMBER(D75),ROUND(D75*'AJUSTES'!$B$7,2),"")</x:f>
      </x:c>
      <x:c r="G75" s="22" t="str"/>
      <x:c r="H75" s="22" t="str">
        <x:v>Excel TOP QUALITY filas 78</x:v>
      </x:c>
    </x:row>
    <x:row r="76" ht="25" customHeight="1">
      <x:c r="A76" s="22" t="str">
        <x:v>TQ-072</x:v>
      </x:c>
      <x:c r="B76" s="22" t="str">
        <x:v>Aqua Dubai</x:v>
      </x:c>
      <x:c r="C76" s="22" t="str">
        <x:v>LÍNEA ÁRABE</x:v>
      </x:c>
      <x:c r="D76" s="27" t="str"/>
      <x:c r="E76" s="28" t="str">
        <x:f>IF(ISNUMBER(D76),ROUND(D76*'AJUSTES'!$B$6,2),"")</x:f>
      </x:c>
      <x:c r="F76" s="28" t="str">
        <x:f>IF(ISNUMBER(D76),ROUND(D76*'AJUSTES'!$B$7,2),"")</x:f>
      </x:c>
      <x:c r="G76" s="22" t="str"/>
      <x:c r="H76" s="22" t="str">
        <x:v>Excel TOP QUALITY filas 79</x:v>
      </x:c>
    </x:row>
    <x:row r="77" ht="25" customHeight="1">
      <x:c r="A77" s="22" t="str">
        <x:v>TQ-073</x:v>
      </x:c>
      <x:c r="B77" s="22" t="str">
        <x:v>Amber Oud Ultraviolet</x:v>
      </x:c>
      <x:c r="C77" s="22" t="str">
        <x:v>LÍNEA ÁRABE</x:v>
      </x:c>
      <x:c r="D77" s="27" t="str"/>
      <x:c r="E77" s="28" t="str">
        <x:f>IF(ISNUMBER(D77),ROUND(D77*'AJUSTES'!$B$6,2),"")</x:f>
      </x:c>
      <x:c r="F77" s="28" t="str">
        <x:f>IF(ISNUMBER(D77),ROUND(D77*'AJUSTES'!$B$7,2),"")</x:f>
      </x:c>
      <x:c r="G77" s="22" t="str"/>
      <x:c r="H77" s="22" t="str">
        <x:v>Excel TOP QUALITY filas 80</x:v>
      </x:c>
    </x:row>
    <x:row r="78" ht="25" customHeight="1">
      <x:c r="A78" s="22" t="str">
        <x:v>TQ-074</x:v>
      </x:c>
      <x:c r="B78" s="22" t="str">
        <x:v>Amber Oud Gold Edition</x:v>
      </x:c>
      <x:c r="C78" s="22" t="str">
        <x:v>LÍNEA ÁRABE</x:v>
      </x:c>
      <x:c r="D78" s="27" t="str"/>
      <x:c r="E78" s="28" t="str">
        <x:f>IF(ISNUMBER(D78),ROUND(D78*'AJUSTES'!$B$6,2),"")</x:f>
      </x:c>
      <x:c r="F78" s="28" t="str">
        <x:f>IF(ISNUMBER(D78),ROUND(D78*'AJUSTES'!$B$7,2),"")</x:f>
      </x:c>
      <x:c r="G78" s="22" t="str"/>
      <x:c r="H78" s="22" t="str">
        <x:v>Excel TOP QUALITY filas 81</x:v>
      </x:c>
    </x:row>
    <x:row r="79" ht="25" customHeight="1">
      <x:c r="A79" s="22" t="str">
        <x:v>TQ-075</x:v>
      </x:c>
      <x:c r="B79" s="22" t="str">
        <x:v>Amber Oud Blue Edition</x:v>
      </x:c>
      <x:c r="C79" s="22" t="str">
        <x:v>LÍNEA ÁRABE</x:v>
      </x:c>
      <x:c r="D79" s="27" t="str"/>
      <x:c r="E79" s="28" t="str">
        <x:f>IF(ISNUMBER(D79),ROUND(D79*'AJUSTES'!$B$6,2),"")</x:f>
      </x:c>
      <x:c r="F79" s="28" t="str">
        <x:f>IF(ISNUMBER(D79),ROUND(D79*'AJUSTES'!$B$7,2),"")</x:f>
      </x:c>
      <x:c r="G79" s="22" t="str"/>
      <x:c r="H79" s="22" t="str">
        <x:v>Excel TOP QUALITY filas 82</x:v>
      </x:c>
    </x:row>
    <x:row r="80" ht="25" customHeight="1">
      <x:c r="A80" s="22" t="str">
        <x:v>TQ-076</x:v>
      </x:c>
      <x:c r="B80" s="22" t="str">
        <x:v>Amber Oud Aqua Dubai Night</x:v>
      </x:c>
      <x:c r="C80" s="22" t="str">
        <x:v>LÍNEA ÁRABE</x:v>
      </x:c>
      <x:c r="D80" s="27" t="str"/>
      <x:c r="E80" s="28" t="str">
        <x:f>IF(ISNUMBER(D80),ROUND(D80*'AJUSTES'!$B$6,2),"")</x:f>
      </x:c>
      <x:c r="F80" s="28" t="str">
        <x:f>IF(ISNUMBER(D80),ROUND(D80*'AJUSTES'!$B$7,2),"")</x:f>
      </x:c>
      <x:c r="G80" s="22" t="str"/>
      <x:c r="H80" s="22" t="str">
        <x:v>Excel TOP QUALITY filas 83</x:v>
      </x:c>
    </x:row>
    <x:row r="81" ht="25" customHeight="1">
      <x:c r="A81" s="22" t="str">
        <x:v>TQ-077</x:v>
      </x:c>
      <x:c r="B81" s="22" t="str">
        <x:v>Yum Yum</x:v>
      </x:c>
      <x:c r="C81" s="22" t="str">
        <x:v>LÍNEA ÁRABE</x:v>
      </x:c>
      <x:c r="D81" s="27" t="str"/>
      <x:c r="E81" s="28" t="str">
        <x:f>IF(ISNUMBER(D81),ROUND(D81*'AJUSTES'!$B$6,2),"")</x:f>
      </x:c>
      <x:c r="F81" s="28" t="str">
        <x:f>IF(ISNUMBER(D81),ROUND(D81*'AJUSTES'!$B$7,2),"")</x:f>
      </x:c>
      <x:c r="G81" s="22" t="str"/>
      <x:c r="H81" s="22" t="str">
        <x:v>Excel TOP QUALITY filas 84</x:v>
      </x:c>
    </x:row>
    <x:row r="82" ht="25" customHeight="1">
      <x:c r="A82" s="22" t="str">
        <x:v>TQ-078</x:v>
      </x:c>
      <x:c r="B82" s="22" t="str">
        <x:v>Island Bliss</x:v>
      </x:c>
      <x:c r="C82" s="22" t="str">
        <x:v>LÍNEA ÁRABE</x:v>
      </x:c>
      <x:c r="D82" s="27" t="str"/>
      <x:c r="E82" s="28" t="str">
        <x:f>IF(ISNUMBER(D82),ROUND(D82*'AJUSTES'!$B$6,2),"")</x:f>
      </x:c>
      <x:c r="F82" s="28" t="str">
        <x:f>IF(ISNUMBER(D82),ROUND(D82*'AJUSTES'!$B$7,2),"")</x:f>
      </x:c>
      <x:c r="G82" s="22" t="str"/>
      <x:c r="H82" s="22" t="str">
        <x:v>Excel TOP QUALITY filas 85</x:v>
      </x:c>
    </x:row>
    <x:row r="83" ht="25" customHeight="1">
      <x:c r="A83" s="22" t="str">
        <x:v>TQ-079</x:v>
      </x:c>
      <x:c r="B83" s="22" t="str">
        <x:v>Island Breazze</x:v>
      </x:c>
      <x:c r="C83" s="22" t="str">
        <x:v>LÍNEA ÁRABE</x:v>
      </x:c>
      <x:c r="D83" s="27" t="str"/>
      <x:c r="E83" s="28" t="str">
        <x:f>IF(ISNUMBER(D83),ROUND(D83*'AJUSTES'!$B$6,2),"")</x:f>
      </x:c>
      <x:c r="F83" s="28" t="str">
        <x:f>IF(ISNUMBER(D83),ROUND(D83*'AJUSTES'!$B$7,2),"")</x:f>
      </x:c>
      <x:c r="G83" s="22" t="str"/>
      <x:c r="H83" s="22" t="str">
        <x:v>Excel TOP QUALITY filas 86</x:v>
      </x:c>
    </x:row>
    <x:row r="84" ht="25" customHeight="1">
      <x:c r="A84" s="22" t="str">
        <x:v>TQ-080</x:v>
      </x:c>
      <x:c r="B84" s="22" t="str">
        <x:v>Odissey Mandarin</x:v>
      </x:c>
      <x:c r="C84" s="22" t="str">
        <x:v>LÍNEA ÁRABE</x:v>
      </x:c>
      <x:c r="D84" s="27" t="str"/>
      <x:c r="E84" s="28" t="str">
        <x:f>IF(ISNUMBER(D84),ROUND(D84*'AJUSTES'!$B$6,2),"")</x:f>
      </x:c>
      <x:c r="F84" s="28" t="str">
        <x:f>IF(ISNUMBER(D84),ROUND(D84*'AJUSTES'!$B$7,2),"")</x:f>
      </x:c>
      <x:c r="G84" s="22" t="str"/>
      <x:c r="H84" s="22" t="str">
        <x:v>Excel TOP QUALITY filas 87</x:v>
      </x:c>
    </x:row>
    <x:row r="85" ht="25" customHeight="1">
      <x:c r="A85" s="22" t="str">
        <x:v>TQ-081</x:v>
      </x:c>
      <x:c r="B85" s="22" t="str">
        <x:v>Odissey Mandarin Sky Elixir</x:v>
      </x:c>
      <x:c r="C85" s="22" t="str">
        <x:v>LÍNEA ÁRABE</x:v>
      </x:c>
      <x:c r="D85" s="27" t="n">
        <x:v>14</x:v>
      </x:c>
      <x:c r="E85" s="28" t="n">
        <x:f>IF(ISNUMBER(D85),ROUND(D85*'AJUSTES'!$B$6,2),"")</x:f>
        <x:v>23.8</x:v>
      </x:c>
      <x:c r="F85" s="28" t="n">
        <x:f>IF(ISNUMBER(D85),ROUND(D85*'AJUSTES'!$B$7,2),"")</x:f>
        <x:v>30.8</x:v>
      </x:c>
      <x:c r="G85" s="22" t="str"/>
      <x:c r="H85" s="22" t="str">
        <x:v>Excel TOP QUALITY filas 88</x:v>
      </x:c>
    </x:row>
    <x:row r="86" ht="25" customHeight="1">
      <x:c r="A86" s="22" t="str">
        <x:v>TQ-082</x:v>
      </x:c>
      <x:c r="B86" s="22" t="str">
        <x:v>Odissey Artisto</x:v>
      </x:c>
      <x:c r="C86" s="22" t="str">
        <x:v>LÍNEA ÁRABE</x:v>
      </x:c>
      <x:c r="D86" s="27" t="str"/>
      <x:c r="E86" s="28" t="str">
        <x:f>IF(ISNUMBER(D86),ROUND(D86*'AJUSTES'!$B$6,2),"")</x:f>
      </x:c>
      <x:c r="F86" s="28" t="str">
        <x:f>IF(ISNUMBER(D86),ROUND(D86*'AJUSTES'!$B$7,2),"")</x:f>
      </x:c>
      <x:c r="G86" s="22" t="str"/>
      <x:c r="H86" s="22" t="str">
        <x:v>Excel TOP QUALITY filas 89</x:v>
      </x:c>
    </x:row>
    <x:row r="87" ht="25" customHeight="1">
      <x:c r="A87" s="22" t="str">
        <x:v>TQ-083</x:v>
      </x:c>
      <x:c r="B87" s="22" t="str">
        <x:v>Odissey Oud</x:v>
      </x:c>
      <x:c r="C87" s="22" t="str">
        <x:v>LÍNEA ÁRABE</x:v>
      </x:c>
      <x:c r="D87" s="27" t="str"/>
      <x:c r="E87" s="28" t="str">
        <x:f>IF(ISNUMBER(D87),ROUND(D87*'AJUSTES'!$B$6,2),"")</x:f>
      </x:c>
      <x:c r="F87" s="28" t="str">
        <x:f>IF(ISNUMBER(D87),ROUND(D87*'AJUSTES'!$B$7,2),"")</x:f>
      </x:c>
      <x:c r="G87" s="22" t="str"/>
      <x:c r="H87" s="22" t="str">
        <x:v>Excel TOP QUALITY filas 90</x:v>
      </x:c>
    </x:row>
    <x:row r="88" ht="25" customHeight="1">
      <x:c r="A88" s="22" t="str">
        <x:v>TQ-084</x:v>
      </x:c>
      <x:c r="B88" s="22" t="str">
        <x:v>Odissey Mega</x:v>
      </x:c>
      <x:c r="C88" s="22" t="str">
        <x:v>LÍNEA ÁRABE</x:v>
      </x:c>
      <x:c r="D88" s="27" t="str"/>
      <x:c r="E88" s="28" t="str">
        <x:f>IF(ISNUMBER(D88),ROUND(D88*'AJUSTES'!$B$6,2),"")</x:f>
      </x:c>
      <x:c r="F88" s="28" t="str">
        <x:f>IF(ISNUMBER(D88),ROUND(D88*'AJUSTES'!$B$7,2),"")</x:f>
      </x:c>
      <x:c r="G88" s="22" t="str"/>
      <x:c r="H88" s="22" t="str">
        <x:v>Excel TOP QUALITY filas 91</x:v>
      </x:c>
    </x:row>
    <x:row r="89" ht="25" customHeight="1">
      <x:c r="A89" s="22" t="str">
        <x:v>TQ-085</x:v>
      </x:c>
      <x:c r="B89" s="22" t="str">
        <x:v>Odissey Wild</x:v>
      </x:c>
      <x:c r="C89" s="22" t="str">
        <x:v>LÍNEA ÁRABE</x:v>
      </x:c>
      <x:c r="D89" s="27" t="str"/>
      <x:c r="E89" s="28" t="str">
        <x:f>IF(ISNUMBER(D89),ROUND(D89*'AJUSTES'!$B$6,2),"")</x:f>
      </x:c>
      <x:c r="F89" s="28" t="str">
        <x:f>IF(ISNUMBER(D89),ROUND(D89*'AJUSTES'!$B$7,2),"")</x:f>
      </x:c>
      <x:c r="G89" s="22" t="str"/>
      <x:c r="H89" s="22" t="str">
        <x:v>Excel TOP QUALITY filas 92</x:v>
      </x:c>
    </x:row>
    <x:row r="90" ht="25" customHeight="1">
      <x:c r="A90" s="22" t="str">
        <x:v>TQ-086</x:v>
      </x:c>
      <x:c r="B90" s="22" t="str">
        <x:v>Odissey Tyrant</x:v>
      </x:c>
      <x:c r="C90" s="22" t="str">
        <x:v>LÍNEA ÁRABE</x:v>
      </x:c>
      <x:c r="D90" s="27" t="str"/>
      <x:c r="E90" s="28" t="str">
        <x:f>IF(ISNUMBER(D90),ROUND(D90*'AJUSTES'!$B$6,2),"")</x:f>
      </x:c>
      <x:c r="F90" s="28" t="str">
        <x:f>IF(ISNUMBER(D90),ROUND(D90*'AJUSTES'!$B$7,2),"")</x:f>
      </x:c>
      <x:c r="G90" s="22" t="str"/>
      <x:c r="H90" s="22" t="str">
        <x:v>Excel TOP QUALITY filas 93</x:v>
      </x:c>
    </x:row>
    <x:row r="91" ht="25" customHeight="1">
      <x:c r="A91" s="22" t="str">
        <x:v>TQ-087</x:v>
      </x:c>
      <x:c r="B91" s="22" t="str">
        <x:v>Odissey Homme</x:v>
      </x:c>
      <x:c r="C91" s="22" t="str">
        <x:v>LÍNEA ÁRABE</x:v>
      </x:c>
      <x:c r="D91" s="27" t="str"/>
      <x:c r="E91" s="28" t="str">
        <x:f>IF(ISNUMBER(D91),ROUND(D91*'AJUSTES'!$B$6,2),"")</x:f>
      </x:c>
      <x:c r="F91" s="28" t="str">
        <x:f>IF(ISNUMBER(D91),ROUND(D91*'AJUSTES'!$B$7,2),"")</x:f>
      </x:c>
      <x:c r="G91" s="22" t="str"/>
      <x:c r="H91" s="22" t="str">
        <x:v>Excel TOP QUALITY filas 94</x:v>
      </x:c>
    </x:row>
    <x:row r="92" ht="25" customHeight="1">
      <x:c r="A92" s="22" t="str">
        <x:v>TQ-088</x:v>
      </x:c>
      <x:c r="B92" s="22" t="str">
        <x:v>Odissey Spectra</x:v>
      </x:c>
      <x:c r="C92" s="22" t="str">
        <x:v>LÍNEA ÁRABE</x:v>
      </x:c>
      <x:c r="D92" s="27" t="str"/>
      <x:c r="E92" s="28" t="str">
        <x:f>IF(ISNUMBER(D92),ROUND(D92*'AJUSTES'!$B$6,2),"")</x:f>
      </x:c>
      <x:c r="F92" s="28" t="str">
        <x:f>IF(ISNUMBER(D92),ROUND(D92*'AJUSTES'!$B$7,2),"")</x:f>
      </x:c>
      <x:c r="G92" s="22" t="str"/>
      <x:c r="H92" s="22" t="str">
        <x:v>Excel TOP QUALITY filas 95</x:v>
      </x:c>
    </x:row>
    <x:row r="93" ht="25" customHeight="1">
      <x:c r="A93" s="22" t="str">
        <x:v>TQ-089</x:v>
      </x:c>
      <x:c r="B93" s="22" t="str">
        <x:v>Odissey Candee</x:v>
      </x:c>
      <x:c r="C93" s="22" t="str">
        <x:v>LÍNEA ÁRABE</x:v>
      </x:c>
      <x:c r="D93" s="27" t="str"/>
      <x:c r="E93" s="28" t="str">
        <x:f>IF(ISNUMBER(D93),ROUND(D93*'AJUSTES'!$B$6,2),"")</x:f>
      </x:c>
      <x:c r="F93" s="28" t="str">
        <x:f>IF(ISNUMBER(D93),ROUND(D93*'AJUSTES'!$B$7,2),"")</x:f>
      </x:c>
      <x:c r="G93" s="22" t="str"/>
      <x:c r="H93" s="22" t="str">
        <x:v>Excel TOP QUALITY filas 96</x:v>
      </x:c>
    </x:row>
    <x:row r="94" ht="25" customHeight="1">
      <x:c r="A94" s="22" t="str">
        <x:v>TQ-090</x:v>
      </x:c>
      <x:c r="B94" s="22" t="str">
        <x:v>Club De Nuit Lyon Heart Woman</x:v>
      </x:c>
      <x:c r="C94" s="22" t="str">
        <x:v>LÍNEA ÁRABE</x:v>
      </x:c>
      <x:c r="D94" s="27" t="str"/>
      <x:c r="E94" s="28" t="str">
        <x:f>IF(ISNUMBER(D94),ROUND(D94*'AJUSTES'!$B$6,2),"")</x:f>
      </x:c>
      <x:c r="F94" s="28" t="str">
        <x:f>IF(ISNUMBER(D94),ROUND(D94*'AJUSTES'!$B$7,2),"")</x:f>
      </x:c>
      <x:c r="G94" s="22" t="str"/>
      <x:c r="H94" s="22" t="str">
        <x:v>Excel TOP QUALITY filas 97</x:v>
      </x:c>
    </x:row>
    <x:row r="95" ht="25" customHeight="1">
      <x:c r="A95" s="22" t="str">
        <x:v>TQ-091</x:v>
      </x:c>
      <x:c r="B95" s="22" t="str">
        <x:v>Club de Nuit Intense</x:v>
      </x:c>
      <x:c r="C95" s="22" t="str">
        <x:v>LÍNEA ÁRABE</x:v>
      </x:c>
      <x:c r="D95" s="27" t="str"/>
      <x:c r="E95" s="28" t="str">
        <x:f>IF(ISNUMBER(D95),ROUND(D95*'AJUSTES'!$B$6,2),"")</x:f>
      </x:c>
      <x:c r="F95" s="28" t="str">
        <x:f>IF(ISNUMBER(D95),ROUND(D95*'AJUSTES'!$B$7,2),"")</x:f>
      </x:c>
      <x:c r="G95" s="22" t="str"/>
      <x:c r="H95" s="22" t="str">
        <x:v>Excel TOP QUALITY filas 98</x:v>
      </x:c>
    </x:row>
    <x:row r="96" ht="25" customHeight="1">
      <x:c r="A96" s="22" t="str">
        <x:v>TQ-092</x:v>
      </x:c>
      <x:c r="B96" s="22" t="str">
        <x:v>Club de Nuit Urban Elixir</x:v>
      </x:c>
      <x:c r="C96" s="22" t="str">
        <x:v>LÍNEA ÁRABE</x:v>
      </x:c>
      <x:c r="D96" s="27" t="str"/>
      <x:c r="E96" s="28" t="str">
        <x:f>IF(ISNUMBER(D96),ROUND(D96*'AJUSTES'!$B$6,2),"")</x:f>
      </x:c>
      <x:c r="F96" s="28" t="str">
        <x:f>IF(ISNUMBER(D96),ROUND(D96*'AJUSTES'!$B$7,2),"")</x:f>
      </x:c>
      <x:c r="G96" s="22" t="str"/>
      <x:c r="H96" s="22" t="str">
        <x:v>Excel TOP QUALITY filas 99</x:v>
      </x:c>
    </x:row>
    <x:row r="97" ht="25" customHeight="1">
      <x:c r="A97" s="22" t="str">
        <x:v>TQ-093</x:v>
      </x:c>
      <x:c r="B97" s="22" t="str">
        <x:v>Club De Nuit Lyon Heart Man</x:v>
      </x:c>
      <x:c r="C97" s="22" t="str">
        <x:v>LÍNEA ÁRABE</x:v>
      </x:c>
      <x:c r="D97" s="27" t="str"/>
      <x:c r="E97" s="28" t="str">
        <x:f>IF(ISNUMBER(D97),ROUND(D97*'AJUSTES'!$B$6,2),"")</x:f>
      </x:c>
      <x:c r="F97" s="28" t="str">
        <x:f>IF(ISNUMBER(D97),ROUND(D97*'AJUSTES'!$B$7,2),"")</x:f>
      </x:c>
      <x:c r="G97" s="22" t="str"/>
      <x:c r="H97" s="22" t="str">
        <x:v>Excel TOP QUALITY filas 100</x:v>
      </x:c>
    </x:row>
    <x:row r="98" ht="25" customHeight="1">
      <x:c r="A98" s="22" t="str">
        <x:v>TQ-094</x:v>
      </x:c>
      <x:c r="B98" s="22" t="str">
        <x:v>Club De Nuit Sillage</x:v>
      </x:c>
      <x:c r="C98" s="22" t="str">
        <x:v>LÍNEA ÁRABE</x:v>
      </x:c>
      <x:c r="D98" s="27" t="str"/>
      <x:c r="E98" s="28" t="str">
        <x:f>IF(ISNUMBER(D98),ROUND(D98*'AJUSTES'!$B$6,2),"")</x:f>
      </x:c>
      <x:c r="F98" s="28" t="str">
        <x:f>IF(ISNUMBER(D98),ROUND(D98*'AJUSTES'!$B$7,2),"")</x:f>
      </x:c>
      <x:c r="G98" s="22" t="str"/>
      <x:c r="H98" s="22" t="str">
        <x:v>Excel TOP QUALITY filas 101</x:v>
      </x:c>
    </x:row>
    <x:row r="99" ht="25" customHeight="1">
      <x:c r="A99" s="22" t="str">
        <x:v>TQ-095</x:v>
      </x:c>
      <x:c r="B99" s="22" t="str">
        <x:v>Club De Nuit Iconic</x:v>
      </x:c>
      <x:c r="C99" s="22" t="str">
        <x:v>LÍNEA ÁRABE</x:v>
      </x:c>
      <x:c r="D99" s="27" t="str"/>
      <x:c r="E99" s="28" t="str">
        <x:f>IF(ISNUMBER(D99),ROUND(D99*'AJUSTES'!$B$6,2),"")</x:f>
      </x:c>
      <x:c r="F99" s="28" t="str">
        <x:f>IF(ISNUMBER(D99),ROUND(D99*'AJUSTES'!$B$7,2),"")</x:f>
      </x:c>
      <x:c r="G99" s="22" t="str"/>
      <x:c r="H99" s="22" t="str">
        <x:v>Excel TOP QUALITY filas 102</x:v>
      </x:c>
    </x:row>
    <x:row r="100" ht="25" customHeight="1">
      <x:c r="A100" s="22" t="str">
        <x:v>TQ-096</x:v>
      </x:c>
      <x:c r="B100" s="22" t="str">
        <x:v>Club De Nuit Untold</x:v>
      </x:c>
      <x:c r="C100" s="22" t="str">
        <x:v>LÍNEA ÁRABE</x:v>
      </x:c>
      <x:c r="D100" s="27" t="str"/>
      <x:c r="E100" s="28" t="str">
        <x:f>IF(ISNUMBER(D100),ROUND(D100*'AJUSTES'!$B$6,2),"")</x:f>
      </x:c>
      <x:c r="F100" s="28" t="str">
        <x:f>IF(ISNUMBER(D100),ROUND(D100*'AJUSTES'!$B$7,2),"")</x:f>
      </x:c>
      <x:c r="G100" s="22" t="str"/>
      <x:c r="H100" s="22" t="str">
        <x:v>Excel TOP QUALITY filas 103</x:v>
      </x:c>
    </x:row>
    <x:row r="101" ht="25" customHeight="1">
      <x:c r="A101" s="22" t="str">
        <x:v>TQ-097</x:v>
      </x:c>
      <x:c r="B101" s="22" t="str">
        <x:v>Club De Nuit Woman</x:v>
      </x:c>
      <x:c r="C101" s="22" t="str">
        <x:v>LÍNEA ÁRABE</x:v>
      </x:c>
      <x:c r="D101" s="27" t="str"/>
      <x:c r="E101" s="28" t="str">
        <x:f>IF(ISNUMBER(D101),ROUND(D101*'AJUSTES'!$B$6,2),"")</x:f>
      </x:c>
      <x:c r="F101" s="28" t="str">
        <x:f>IF(ISNUMBER(D101),ROUND(D101*'AJUSTES'!$B$7,2),"")</x:f>
      </x:c>
      <x:c r="G101" s="22" t="str"/>
      <x:c r="H101" s="22" t="str">
        <x:v>Excel TOP QUALITY filas 104</x:v>
      </x:c>
    </x:row>
    <x:row r="102" ht="25" customHeight="1">
      <x:c r="A102" s="22" t="str">
        <x:v>TQ-098</x:v>
      </x:c>
      <x:c r="B102" s="22" t="str">
        <x:v>Club De Nuit Milestone</x:v>
      </x:c>
      <x:c r="C102" s="22" t="str">
        <x:v>LÍNEA ÁRABE</x:v>
      </x:c>
      <x:c r="D102" s="27" t="str"/>
      <x:c r="E102" s="28" t="str">
        <x:f>IF(ISNUMBER(D102),ROUND(D102*'AJUSTES'!$B$6,2),"")</x:f>
      </x:c>
      <x:c r="F102" s="28" t="str">
        <x:f>IF(ISNUMBER(D102),ROUND(D102*'AJUSTES'!$B$7,2),"")</x:f>
      </x:c>
      <x:c r="G102" s="22" t="str"/>
      <x:c r="H102" s="22" t="str">
        <x:v>Excel TOP QUALITY filas 105</x:v>
      </x:c>
    </x:row>
    <x:row r="103" ht="25" customHeight="1">
      <x:c r="A103" s="22" t="str">
        <x:v>TQ-099</x:v>
      </x:c>
      <x:c r="B103" s="22" t="str">
        <x:v>Club De Nuit Imperiale</x:v>
      </x:c>
      <x:c r="C103" s="22" t="str">
        <x:v>LÍNEA ÁRABE</x:v>
      </x:c>
      <x:c r="D103" s="27" t="str"/>
      <x:c r="E103" s="28" t="str">
        <x:f>IF(ISNUMBER(D103),ROUND(D103*'AJUSTES'!$B$6,2),"")</x:f>
      </x:c>
      <x:c r="F103" s="28" t="str">
        <x:f>IF(ISNUMBER(D103),ROUND(D103*'AJUSTES'!$B$7,2),"")</x:f>
      </x:c>
      <x:c r="G103" s="22" t="str"/>
      <x:c r="H103" s="22" t="str">
        <x:v>Excel TOP QUALITY filas 106</x:v>
      </x:c>
    </x:row>
    <x:row r="104" ht="25" customHeight="1">
      <x:c r="A104" s="22" t="str">
        <x:v>TQ-100</x:v>
      </x:c>
      <x:c r="B104" s="22" t="str">
        <x:v>Le Male</x:v>
      </x:c>
      <x:c r="C104" s="22" t="str">
        <x:v>LÍNEA CLÁSICA O DISEÑADOR</x:v>
      </x:c>
      <x:c r="D104" s="27" t="str"/>
      <x:c r="E104" s="28" t="str">
        <x:f>IF(ISNUMBER(D104),ROUND(D104*'AJUSTES'!$B$6,2),"")</x:f>
      </x:c>
      <x:c r="F104" s="28" t="str">
        <x:f>IF(ISNUMBER(D104),ROUND(D104*'AJUSTES'!$B$7,2),"")</x:f>
      </x:c>
      <x:c r="G104" s="22" t="str"/>
      <x:c r="H104" s="22" t="str">
        <x:v>Excel TOP QUALITY filas 107</x:v>
      </x:c>
    </x:row>
    <x:row r="105" ht="25" customHeight="1">
      <x:c r="A105" s="22" t="str">
        <x:v>TQ-101</x:v>
      </x:c>
      <x:c r="B105" s="22" t="str">
        <x:v>Le Beau</x:v>
      </x:c>
      <x:c r="C105" s="22" t="str">
        <x:v>LÍNEA CLÁSICA O DISEÑADOR</x:v>
      </x:c>
      <x:c r="D105" s="27" t="str"/>
      <x:c r="E105" s="28" t="str">
        <x:f>IF(ISNUMBER(D105),ROUND(D105*'AJUSTES'!$B$6,2),"")</x:f>
      </x:c>
      <x:c r="F105" s="28" t="str">
        <x:f>IF(ISNUMBER(D105),ROUND(D105*'AJUSTES'!$B$7,2),"")</x:f>
      </x:c>
      <x:c r="G105" s="22" t="str"/>
      <x:c r="H105" s="22" t="str">
        <x:v>Excel TOP QUALITY filas 108</x:v>
      </x:c>
    </x:row>
    <x:row r="106" ht="25" customHeight="1">
      <x:c r="A106" s="22" t="str">
        <x:v>TQ-102</x:v>
      </x:c>
      <x:c r="B106" s="22" t="str">
        <x:v>Le Bea Paradise Garden</x:v>
      </x:c>
      <x:c r="C106" s="22" t="str">
        <x:v>LÍNEA CLÁSICA O DISEÑADOR</x:v>
      </x:c>
      <x:c r="D106" s="27" t="str"/>
      <x:c r="E106" s="28" t="str">
        <x:f>IF(ISNUMBER(D106),ROUND(D106*'AJUSTES'!$B$6,2),"")</x:f>
      </x:c>
      <x:c r="F106" s="28" t="str">
        <x:f>IF(ISNUMBER(D106),ROUND(D106*'AJUSTES'!$B$7,2),"")</x:f>
      </x:c>
      <x:c r="G106" s="22" t="str"/>
      <x:c r="H106" s="22" t="str">
        <x:v>Excel TOP QUALITY filas 109</x:v>
      </x:c>
    </x:row>
    <x:row r="107" ht="25" customHeight="1">
      <x:c r="A107" s="22" t="str">
        <x:v>TQ-103</x:v>
      </x:c>
      <x:c r="B107" s="22" t="str">
        <x:v>Le Male Elixir</x:v>
      </x:c>
      <x:c r="C107" s="22" t="str">
        <x:v>LÍNEA CLÁSICA O DISEÑADOR</x:v>
      </x:c>
      <x:c r="D107" s="27" t="str"/>
      <x:c r="E107" s="28" t="str">
        <x:f>IF(ISNUMBER(D107),ROUND(D107*'AJUSTES'!$B$6,2),"")</x:f>
      </x:c>
      <x:c r="F107" s="28" t="str">
        <x:f>IF(ISNUMBER(D107),ROUND(D107*'AJUSTES'!$B$7,2),"")</x:f>
      </x:c>
      <x:c r="G107" s="22" t="str"/>
      <x:c r="H107" s="22" t="str">
        <x:v>Excel TOP QUALITY filas 110</x:v>
      </x:c>
    </x:row>
    <x:row r="108" ht="25" customHeight="1">
      <x:c r="A108" s="22" t="str">
        <x:v>TQ-104</x:v>
      </x:c>
      <x:c r="B108" s="22" t="str">
        <x:v>Divine</x:v>
      </x:c>
      <x:c r="C108" s="22" t="str">
        <x:v>LÍNEA CLÁSICA O DISEÑADOR</x:v>
      </x:c>
      <x:c r="D108" s="27" t="str"/>
      <x:c r="E108" s="28" t="str">
        <x:f>IF(ISNUMBER(D108),ROUND(D108*'AJUSTES'!$B$6,2),"")</x:f>
      </x:c>
      <x:c r="F108" s="28" t="str">
        <x:f>IF(ISNUMBER(D108),ROUND(D108*'AJUSTES'!$B$7,2),"")</x:f>
      </x:c>
      <x:c r="G108" s="22" t="str"/>
      <x:c r="H108" s="22" t="str">
        <x:v>Excel TOP QUALITY filas 112</x:v>
      </x:c>
    </x:row>
    <x:row r="109" ht="25" customHeight="1">
      <x:c r="A109" s="22" t="str">
        <x:v>TQ-105</x:v>
      </x:c>
      <x:c r="B109" s="22" t="str">
        <x:v>Cloud 2.0</x:v>
      </x:c>
      <x:c r="C109" s="22" t="str">
        <x:v>LÍNEA CLÁSICA O DISEÑADOR</x:v>
      </x:c>
      <x:c r="D109" s="27" t="str"/>
      <x:c r="E109" s="28" t="str">
        <x:f>IF(ISNUMBER(D109),ROUND(D109*'AJUSTES'!$B$6,2),"")</x:f>
      </x:c>
      <x:c r="F109" s="28" t="str">
        <x:f>IF(ISNUMBER(D109),ROUND(D109*'AJUSTES'!$B$7,2),"")</x:f>
      </x:c>
      <x:c r="G109" s="22" t="str"/>
      <x:c r="H109" s="22" t="str">
        <x:v>Excel TOP QUALITY filas 114</x:v>
      </x:c>
    </x:row>
    <x:row r="110" ht="25" customHeight="1">
      <x:c r="A110" s="22" t="str">
        <x:v>TQ-106</x:v>
      </x:c>
      <x:c r="B110" s="22" t="str">
        <x:v>Thank U Next</x:v>
      </x:c>
      <x:c r="C110" s="22" t="str">
        <x:v>LÍNEA CLÁSICA O DISEÑADOR</x:v>
      </x:c>
      <x:c r="D110" s="27" t="str"/>
      <x:c r="E110" s="28" t="str">
        <x:f>IF(ISNUMBER(D110),ROUND(D110*'AJUSTES'!$B$6,2),"")</x:f>
      </x:c>
      <x:c r="F110" s="28" t="str">
        <x:f>IF(ISNUMBER(D110),ROUND(D110*'AJUSTES'!$B$7,2),"")</x:f>
      </x:c>
      <x:c r="G110" s="22" t="str"/>
      <x:c r="H110" s="22" t="str">
        <x:v>Excel TOP QUALITY filas 115</x:v>
      </x:c>
    </x:row>
    <x:row r="111" ht="25" customHeight="1">
      <x:c r="A111" s="22" t="str">
        <x:v>TQ-107</x:v>
      </x:c>
      <x:c r="B111" s="22" t="str">
        <x:v>Sweet Like Candy</x:v>
      </x:c>
      <x:c r="C111" s="22" t="str">
        <x:v>LÍNEA CLÁSICA O DISEÑADOR</x:v>
      </x:c>
      <x:c r="D111" s="27" t="str"/>
      <x:c r="E111" s="28" t="str">
        <x:f>IF(ISNUMBER(D111),ROUND(D111*'AJUSTES'!$B$6,2),"")</x:f>
      </x:c>
      <x:c r="F111" s="28" t="str">
        <x:f>IF(ISNUMBER(D111),ROUND(D111*'AJUSTES'!$B$7,2),"")</x:f>
      </x:c>
      <x:c r="G111" s="22" t="str"/>
      <x:c r="H111" s="22" t="str">
        <x:v>Excel TOP QUALITY filas 116</x:v>
      </x:c>
    </x:row>
    <x:row r="112" ht="25" customHeight="1">
      <x:c r="A112" s="22" t="str">
        <x:v>TQ-108</x:v>
      </x:c>
      <x:c r="B112" s="22" t="str">
        <x:v>R.E.M</x:v>
      </x:c>
      <x:c r="C112" s="22" t="str">
        <x:v>LÍNEA CLÁSICA O DISEÑADOR</x:v>
      </x:c>
      <x:c r="D112" s="27" t="str"/>
      <x:c r="E112" s="28" t="str">
        <x:f>IF(ISNUMBER(D112),ROUND(D112*'AJUSTES'!$B$6,2),"")</x:f>
      </x:c>
      <x:c r="F112" s="28" t="str">
        <x:f>IF(ISNUMBER(D112),ROUND(D112*'AJUSTES'!$B$7,2),"")</x:f>
      </x:c>
      <x:c r="G112" s="22" t="str"/>
      <x:c r="H112" s="22" t="str">
        <x:v>Excel TOP QUALITY filas 117</x:v>
      </x:c>
    </x:row>
    <x:row r="113" ht="25" customHeight="1">
      <x:c r="A113" s="22" t="str">
        <x:v>TQ-109</x:v>
      </x:c>
      <x:c r="B113" s="22" t="str">
        <x:v>Mood Vainilla</x:v>
      </x:c>
      <x:c r="C113" s="22" t="str">
        <x:v>LÍNEA CLÁSICA O DISEÑADOR</x:v>
      </x:c>
      <x:c r="D113" s="27" t="str"/>
      <x:c r="E113" s="28" t="str">
        <x:f>IF(ISNUMBER(D113),ROUND(D113*'AJUSTES'!$B$6,2),"")</x:f>
      </x:c>
      <x:c r="F113" s="28" t="str">
        <x:f>IF(ISNUMBER(D113),ROUND(D113*'AJUSTES'!$B$7,2),"")</x:f>
      </x:c>
      <x:c r="G113" s="22" t="str"/>
      <x:c r="H113" s="22" t="str">
        <x:v>Excel TOP QUALITY filas 118</x:v>
      </x:c>
    </x:row>
    <x:row r="114" ht="25" customHeight="1">
      <x:c r="A114" s="22" t="str">
        <x:v>TQ-110</x:v>
      </x:c>
      <x:c r="B114" s="22" t="str">
        <x:v>Mood Blush</x:v>
      </x:c>
      <x:c r="C114" s="22" t="str">
        <x:v>LÍNEA CLÁSICA O DISEÑADOR</x:v>
      </x:c>
      <x:c r="D114" s="27" t="str"/>
      <x:c r="E114" s="28" t="str">
        <x:f>IF(ISNUMBER(D114),ROUND(D114*'AJUSTES'!$B$6,2),"")</x:f>
      </x:c>
      <x:c r="F114" s="28" t="str">
        <x:f>IF(ISNUMBER(D114),ROUND(D114*'AJUSTES'!$B$7,2),"")</x:f>
      </x:c>
      <x:c r="G114" s="22" t="str"/>
      <x:c r="H114" s="22" t="str">
        <x:v>Excel TOP QUALITY filas 119</x:v>
      </x:c>
    </x:row>
    <x:row r="115" ht="25" customHeight="1">
      <x:c r="A115" s="22" t="str">
        <x:v>TQ-111</x:v>
      </x:c>
      <x:c r="B115" s="22" t="str">
        <x:v>212 Vip Fem</x:v>
      </x:c>
      <x:c r="C115" s="22" t="str">
        <x:v>LÍNEA CLÁSICA O DISEÑADOR</x:v>
      </x:c>
      <x:c r="D115" s="27" t="str"/>
      <x:c r="E115" s="28" t="str">
        <x:f>IF(ISNUMBER(D115),ROUND(D115*'AJUSTES'!$B$6,2),"")</x:f>
      </x:c>
      <x:c r="F115" s="28" t="str">
        <x:f>IF(ISNUMBER(D115),ROUND(D115*'AJUSTES'!$B$7,2),"")</x:f>
      </x:c>
      <x:c r="G115" s="22" t="str"/>
      <x:c r="H115" s="22" t="str">
        <x:v>Excel TOP QUALITY filas 120</x:v>
      </x:c>
    </x:row>
    <x:row r="116" ht="25" customHeight="1">
      <x:c r="A116" s="22" t="str">
        <x:v>TQ-112</x:v>
      </x:c>
      <x:c r="B116" s="22" t="str">
        <x:v>212 Vip Rose</x:v>
      </x:c>
      <x:c r="C116" s="22" t="str">
        <x:v>LÍNEA CLÁSICA O DISEÑADOR</x:v>
      </x:c>
      <x:c r="D116" s="27" t="str"/>
      <x:c r="E116" s="28" t="str">
        <x:f>IF(ISNUMBER(D116),ROUND(D116*'AJUSTES'!$B$6,2),"")</x:f>
      </x:c>
      <x:c r="F116" s="28" t="str">
        <x:f>IF(ISNUMBER(D116),ROUND(D116*'AJUSTES'!$B$7,2),"")</x:f>
      </x:c>
      <x:c r="G116" s="22" t="str"/>
      <x:c r="H116" s="22" t="str">
        <x:v>Excel TOP QUALITY filas 121</x:v>
      </x:c>
    </x:row>
    <x:row r="117" ht="25" customHeight="1">
      <x:c r="A117" s="22" t="str">
        <x:v>TQ-113</x:v>
      </x:c>
      <x:c r="B117" s="22" t="str">
        <x:v>212 Sexy Fem</x:v>
      </x:c>
      <x:c r="C117" s="22" t="str">
        <x:v>LÍNEA CLÁSICA O DISEÑADOR</x:v>
      </x:c>
      <x:c r="D117" s="27" t="str"/>
      <x:c r="E117" s="28" t="str">
        <x:f>IF(ISNUMBER(D117),ROUND(D117*'AJUSTES'!$B$6,2),"")</x:f>
      </x:c>
      <x:c r="F117" s="28" t="str">
        <x:f>IF(ISNUMBER(D117),ROUND(D117*'AJUSTES'!$B$7,2),"")</x:f>
      </x:c>
      <x:c r="G117" s="22" t="str"/>
      <x:c r="H117" s="22" t="str">
        <x:v>Excel TOP QUALITY filas 122</x:v>
      </x:c>
    </x:row>
    <x:row r="118" ht="25" customHeight="1">
      <x:c r="A118" s="22" t="str">
        <x:v>TQ-114</x:v>
      </x:c>
      <x:c r="B118" s="22" t="str">
        <x:v>212 Heroes Fem</x:v>
      </x:c>
      <x:c r="C118" s="22" t="str">
        <x:v>LÍNEA CLÁSICA O DISEÑADOR</x:v>
      </x:c>
      <x:c r="D118" s="27" t="str"/>
      <x:c r="E118" s="28" t="str">
        <x:f>IF(ISNUMBER(D118),ROUND(D118*'AJUSTES'!$B$6,2),"")</x:f>
      </x:c>
      <x:c r="F118" s="28" t="str">
        <x:f>IF(ISNUMBER(D118),ROUND(D118*'AJUSTES'!$B$7,2),"")</x:f>
      </x:c>
      <x:c r="G118" s="22" t="str"/>
      <x:c r="H118" s="22" t="str">
        <x:v>Excel TOP QUALITY filas 123</x:v>
      </x:c>
    </x:row>
    <x:row r="119" ht="25" customHeight="1">
      <x:c r="A119" s="22" t="str">
        <x:v>TQ-115</x:v>
      </x:c>
      <x:c r="B119" s="22" t="str">
        <x:v>Good Girl Legere</x:v>
      </x:c>
      <x:c r="C119" s="22" t="str">
        <x:v>LÍNEA CLÁSICA O DISEÑADOR</x:v>
      </x:c>
      <x:c r="D119" s="27" t="str"/>
      <x:c r="E119" s="28" t="str">
        <x:f>IF(ISNUMBER(D119),ROUND(D119*'AJUSTES'!$B$6,2),"")</x:f>
      </x:c>
      <x:c r="F119" s="28" t="str">
        <x:f>IF(ISNUMBER(D119),ROUND(D119*'AJUSTES'!$B$7,2),"")</x:f>
      </x:c>
      <x:c r="G119" s="22" t="str"/>
      <x:c r="H119" s="22" t="str">
        <x:v>Excel TOP QUALITY filas 126</x:v>
      </x:c>
    </x:row>
    <x:row r="120" ht="25" customHeight="1">
      <x:c r="A120" s="22" t="str">
        <x:v>TQ-116</x:v>
      </x:c>
      <x:c r="B120" s="22" t="str">
        <x:v>Ch Fem</x:v>
      </x:c>
      <x:c r="C120" s="22" t="str">
        <x:v>LÍNEA CLÁSICA O DISEÑADOR</x:v>
      </x:c>
      <x:c r="D120" s="27" t="str"/>
      <x:c r="E120" s="28" t="str">
        <x:f>IF(ISNUMBER(D120),ROUND(D120*'AJUSTES'!$B$6,2),"")</x:f>
      </x:c>
      <x:c r="F120" s="28" t="str">
        <x:f>IF(ISNUMBER(D120),ROUND(D120*'AJUSTES'!$B$7,2),"")</x:f>
      </x:c>
      <x:c r="G120" s="22" t="str"/>
      <x:c r="H120" s="22" t="str">
        <x:v>Excel TOP QUALITY filas 128</x:v>
      </x:c>
    </x:row>
    <x:row r="121" ht="25" customHeight="1">
      <x:c r="A121" s="22" t="str">
        <x:v>TQ-117</x:v>
      </x:c>
      <x:c r="B121" s="22" t="str">
        <x:v>Can Can</x:v>
      </x:c>
      <x:c r="C121" s="22" t="str">
        <x:v>LÍNEA CLÁSICA O DISEÑADOR</x:v>
      </x:c>
      <x:c r="D121" s="27" t="str"/>
      <x:c r="E121" s="28" t="str">
        <x:f>IF(ISNUMBER(D121),ROUND(D121*'AJUSTES'!$B$6,2),"")</x:f>
      </x:c>
      <x:c r="F121" s="28" t="str">
        <x:f>IF(ISNUMBER(D121),ROUND(D121*'AJUSTES'!$B$7,2),"")</x:f>
      </x:c>
      <x:c r="G121" s="22" t="str"/>
      <x:c r="H121" s="22" t="str">
        <x:v>Excel TOP QUALITY filas 129</x:v>
      </x:c>
    </x:row>
    <x:row r="122" ht="25" customHeight="1">
      <x:c r="A122" s="22" t="str">
        <x:v>TQ-118</x:v>
      </x:c>
      <x:c r="B122" s="22" t="str">
        <x:v>Heiress</x:v>
      </x:c>
      <x:c r="C122" s="22" t="str">
        <x:v>LÍNEA CLÁSICA O DISEÑADOR</x:v>
      </x:c>
      <x:c r="D122" s="27" t="str"/>
      <x:c r="E122" s="28" t="str">
        <x:f>IF(ISNUMBER(D122),ROUND(D122*'AJUSTES'!$B$6,2),"")</x:f>
      </x:c>
      <x:c r="F122" s="28" t="str">
        <x:f>IF(ISNUMBER(D122),ROUND(D122*'AJUSTES'!$B$7,2),"")</x:f>
      </x:c>
      <x:c r="G122" s="22" t="str"/>
      <x:c r="H122" s="22" t="str">
        <x:v>Excel TOP QUALITY filas 130</x:v>
      </x:c>
    </x:row>
    <x:row r="123" ht="25" customHeight="1">
      <x:c r="A123" s="22" t="str">
        <x:v>TQ-119</x:v>
      </x:c>
      <x:c r="B123" s="22" t="str">
        <x:v>Fantasy</x:v>
      </x:c>
      <x:c r="C123" s="22" t="str">
        <x:v>LÍNEA CLÁSICA O DISEÑADOR</x:v>
      </x:c>
      <x:c r="D123" s="27" t="n">
        <x:v>12</x:v>
      </x:c>
      <x:c r="E123" s="28" t="n">
        <x:f>IF(ISNUMBER(D123),ROUND(D123*'AJUSTES'!$B$6,2),"")</x:f>
        <x:v>20.4</x:v>
      </x:c>
      <x:c r="F123" s="28" t="n">
        <x:f>IF(ISNUMBER(D123),ROUND(D123*'AJUSTES'!$B$7,2),"")</x:f>
        <x:v>26.4</x:v>
      </x:c>
      <x:c r="G123" s="22" t="str"/>
      <x:c r="H123" s="22" t="str">
        <x:v>Excel TOP QUALITY filas 131, 212</x:v>
      </x:c>
    </x:row>
    <x:row r="124" ht="25" customHeight="1">
      <x:c r="A124" s="22" t="str">
        <x:v>TQ-120</x:v>
      </x:c>
      <x:c r="B124" s="22" t="str">
        <x:v>Fantasy Midnight</x:v>
      </x:c>
      <x:c r="C124" s="22" t="str">
        <x:v>LÍNEA CLÁSICA O DISEÑADOR</x:v>
      </x:c>
      <x:c r="D124" s="27" t="str"/>
      <x:c r="E124" s="28" t="str">
        <x:f>IF(ISNUMBER(D124),ROUND(D124*'AJUSTES'!$B$6,2),"")</x:f>
      </x:c>
      <x:c r="F124" s="28" t="str">
        <x:f>IF(ISNUMBER(D124),ROUND(D124*'AJUSTES'!$B$7,2),"")</x:f>
      </x:c>
      <x:c r="G124" s="22" t="str"/>
      <x:c r="H124" s="22" t="str">
        <x:v>Excel TOP QUALITY filas 132</x:v>
      </x:c>
    </x:row>
    <x:row r="125" ht="25" customHeight="1">
      <x:c r="A125" s="22" t="str">
        <x:v>TQ-121</x:v>
      </x:c>
      <x:c r="B125" s="22" t="str">
        <x:v>Fantasy Circus</x:v>
      </x:c>
      <x:c r="C125" s="22" t="str">
        <x:v>LÍNEA CLÁSICA O DISEÑADOR</x:v>
      </x:c>
      <x:c r="D125" s="27" t="str"/>
      <x:c r="E125" s="28" t="str">
        <x:f>IF(ISNUMBER(D125),ROUND(D125*'AJUSTES'!$B$6,2),"")</x:f>
      </x:c>
      <x:c r="F125" s="28" t="str">
        <x:f>IF(ISNUMBER(D125),ROUND(D125*'AJUSTES'!$B$7,2),"")</x:f>
      </x:c>
      <x:c r="G125" s="22" t="str"/>
      <x:c r="H125" s="22" t="str">
        <x:v>Excel TOP QUALITY filas 133</x:v>
      </x:c>
    </x:row>
    <x:row r="126" ht="25" customHeight="1">
      <x:c r="A126" s="22" t="str">
        <x:v>TQ-122</x:v>
      </x:c>
      <x:c r="B126" s="22" t="str">
        <x:v>Sorbeto Rosso</x:v>
      </x:c>
      <x:c r="C126" s="22" t="str">
        <x:v>LÍNEA CLÁSICA O DISEÑADOR</x:v>
      </x:c>
      <x:c r="D126" s="27" t="str"/>
      <x:c r="E126" s="28" t="str">
        <x:f>IF(ISNUMBER(D126),ROUND(D126*'AJUSTES'!$B$6,2),"")</x:f>
      </x:c>
      <x:c r="F126" s="28" t="str">
        <x:f>IF(ISNUMBER(D126),ROUND(D126*'AJUSTES'!$B$7,2),"")</x:f>
      </x:c>
      <x:c r="G126" s="22" t="str"/>
      <x:c r="H126" s="22" t="str">
        <x:v>Excel TOP QUALITY filas 134</x:v>
      </x:c>
    </x:row>
    <x:row r="127" ht="25" customHeight="1">
      <x:c r="A127" s="22" t="str">
        <x:v>TQ-123</x:v>
      </x:c>
      <x:c r="B127" s="22" t="str">
        <x:v>Agua De Sol</x:v>
      </x:c>
      <x:c r="C127" s="22" t="str">
        <x:v>LÍNEA CLÁSICA O DISEÑADOR</x:v>
      </x:c>
      <x:c r="D127" s="27" t="str"/>
      <x:c r="E127" s="28" t="str">
        <x:f>IF(ISNUMBER(D127),ROUND(D127*'AJUSTES'!$B$6,2),"")</x:f>
      </x:c>
      <x:c r="F127" s="28" t="str">
        <x:f>IF(ISNUMBER(D127),ROUND(D127*'AJUSTES'!$B$7,2),"")</x:f>
      </x:c>
      <x:c r="G127" s="22" t="str"/>
      <x:c r="H127" s="22" t="str">
        <x:v>Excel TOP QUALITY filas 135</x:v>
      </x:c>
    </x:row>
    <x:row r="128" ht="25" customHeight="1">
      <x:c r="A128" s="22" t="str">
        <x:v>TQ-124</x:v>
      </x:c>
      <x:c r="B128" s="22" t="str">
        <x:v>Rock In Rio</x:v>
      </x:c>
      <x:c r="C128" s="22" t="str">
        <x:v>LÍNEA CLÁSICA O DISEÑADOR</x:v>
      </x:c>
      <x:c r="D128" s="27" t="str"/>
      <x:c r="E128" s="28" t="str">
        <x:f>IF(ISNUMBER(D128),ROUND(D128*'AJUSTES'!$B$6,2),"")</x:f>
      </x:c>
      <x:c r="F128" s="28" t="str">
        <x:f>IF(ISNUMBER(D128),ROUND(D128*'AJUSTES'!$B$7,2),"")</x:f>
      </x:c>
      <x:c r="G128" s="22" t="str"/>
      <x:c r="H128" s="22" t="str">
        <x:v>Excel TOP QUALITY filas 136</x:v>
      </x:c>
    </x:row>
    <x:row r="129" ht="25" customHeight="1">
      <x:c r="A129" s="22" t="str">
        <x:v>TQ-125</x:v>
      </x:c>
      <x:c r="B129" s="22" t="str">
        <x:v>Fame</x:v>
      </x:c>
      <x:c r="C129" s="22" t="str">
        <x:v>LÍNEA CLÁSICA O DISEÑADOR</x:v>
      </x:c>
      <x:c r="D129" s="27" t="str"/>
      <x:c r="E129" s="28" t="str">
        <x:f>IF(ISNUMBER(D129),ROUND(D129*'AJUSTES'!$B$6,2),"")</x:f>
      </x:c>
      <x:c r="F129" s="28" t="str">
        <x:f>IF(ISNUMBER(D129),ROUND(D129*'AJUSTES'!$B$7,2),"")</x:f>
      </x:c>
      <x:c r="G129" s="22" t="str"/>
      <x:c r="H129" s="22" t="str">
        <x:v>Excel TOP QUALITY filas 137</x:v>
      </x:c>
    </x:row>
    <x:row r="130" ht="25" customHeight="1">
      <x:c r="A130" s="22" t="str">
        <x:v>TQ-126</x:v>
      </x:c>
      <x:c r="B130" s="22" t="str">
        <x:v>Fame Couture</x:v>
      </x:c>
      <x:c r="C130" s="22" t="str">
        <x:v>LÍNEA CLÁSICA O DISEÑADOR</x:v>
      </x:c>
      <x:c r="D130" s="27" t="str"/>
      <x:c r="E130" s="28" t="str">
        <x:f>IF(ISNUMBER(D130),ROUND(D130*'AJUSTES'!$B$6,2),"")</x:f>
      </x:c>
      <x:c r="F130" s="28" t="str">
        <x:f>IF(ISNUMBER(D130),ROUND(D130*'AJUSTES'!$B$7,2),"")</x:f>
      </x:c>
      <x:c r="G130" s="22" t="str"/>
      <x:c r="H130" s="22" t="str">
        <x:v>Excel TOP QUALITY filas 138</x:v>
      </x:c>
    </x:row>
    <x:row r="131" ht="25" customHeight="1">
      <x:c r="A131" s="22" t="str">
        <x:v>TQ-127</x:v>
      </x:c>
      <x:c r="B131" s="22" t="str">
        <x:v>Olympea</x:v>
      </x:c>
      <x:c r="C131" s="22" t="str">
        <x:v>LÍNEA CLÁSICA O DISEÑADOR</x:v>
      </x:c>
      <x:c r="D131" s="27" t="str"/>
      <x:c r="E131" s="28" t="str">
        <x:f>IF(ISNUMBER(D131),ROUND(D131*'AJUSTES'!$B$6,2),"")</x:f>
      </x:c>
      <x:c r="F131" s="28" t="str">
        <x:f>IF(ISNUMBER(D131),ROUND(D131*'AJUSTES'!$B$7,2),"")</x:f>
      </x:c>
      <x:c r="G131" s="22" t="str"/>
      <x:c r="H131" s="22" t="str">
        <x:v>Excel TOP QUALITY filas 139</x:v>
      </x:c>
    </x:row>
    <x:row r="132" ht="25" customHeight="1">
      <x:c r="A132" s="22" t="str">
        <x:v>TQ-128</x:v>
      </x:c>
      <x:c r="B132" s="22" t="str">
        <x:v>Toy Bubblegum</x:v>
      </x:c>
      <x:c r="C132" s="22" t="str">
        <x:v>LÍNEA CLÁSICA O DISEÑADOR</x:v>
      </x:c>
      <x:c r="D132" s="27" t="str"/>
      <x:c r="E132" s="28" t="str">
        <x:f>IF(ISNUMBER(D132),ROUND(D132*'AJUSTES'!$B$6,2),"")</x:f>
      </x:c>
      <x:c r="F132" s="28" t="str">
        <x:f>IF(ISNUMBER(D132),ROUND(D132*'AJUSTES'!$B$7,2),"")</x:f>
      </x:c>
      <x:c r="G132" s="22" t="str"/>
      <x:c r="H132" s="22" t="str">
        <x:v>Excel TOP QUALITY filas 140</x:v>
      </x:c>
    </x:row>
    <x:row r="133" ht="25" customHeight="1">
      <x:c r="A133" s="22" t="str">
        <x:v>TQ-129</x:v>
      </x:c>
      <x:c r="B133" s="22" t="str">
        <x:v>Toy 2</x:v>
      </x:c>
      <x:c r="C133" s="22" t="str">
        <x:v>LÍNEA CLÁSICA O DISEÑADOR</x:v>
      </x:c>
      <x:c r="D133" s="27" t="str"/>
      <x:c r="E133" s="28" t="str">
        <x:f>IF(ISNUMBER(D133),ROUND(D133*'AJUSTES'!$B$6,2),"")</x:f>
      </x:c>
      <x:c r="F133" s="28" t="str">
        <x:f>IF(ISNUMBER(D133),ROUND(D133*'AJUSTES'!$B$7,2),"")</x:f>
      </x:c>
      <x:c r="G133" s="22" t="str"/>
      <x:c r="H133" s="22" t="str">
        <x:v>Excel TOP QUALITY filas 141</x:v>
      </x:c>
    </x:row>
    <x:row r="134" ht="25" customHeight="1">
      <x:c r="A134" s="22" t="str">
        <x:v>TQ-130</x:v>
      </x:c>
      <x:c r="B134" s="22" t="str">
        <x:v>Toy Pearl</x:v>
      </x:c>
      <x:c r="C134" s="22" t="str">
        <x:v>LÍNEA CLÁSICA O DISEÑADOR</x:v>
      </x:c>
      <x:c r="D134" s="27" t="str"/>
      <x:c r="E134" s="28" t="str">
        <x:f>IF(ISNUMBER(D134),ROUND(D134*'AJUSTES'!$B$6,2),"")</x:f>
      </x:c>
      <x:c r="F134" s="28" t="str">
        <x:f>IF(ISNUMBER(D134),ROUND(D134*'AJUSTES'!$B$7,2),"")</x:f>
      </x:c>
      <x:c r="G134" s="22" t="str"/>
      <x:c r="H134" s="22" t="str">
        <x:v>Excel TOP QUALITY filas 142</x:v>
      </x:c>
    </x:row>
    <x:row r="135" ht="25" customHeight="1">
      <x:c r="A135" s="22" t="str">
        <x:v>TQ-131</x:v>
      </x:c>
      <x:c r="B135" s="22" t="str">
        <x:v>Chance Chanel</x:v>
      </x:c>
      <x:c r="C135" s="22" t="str">
        <x:v>LÍNEA CLÁSICA O DISEÑADOR</x:v>
      </x:c>
      <x:c r="D135" s="27" t="str"/>
      <x:c r="E135" s="28" t="str">
        <x:f>IF(ISNUMBER(D135),ROUND(D135*'AJUSTES'!$B$6,2),"")</x:f>
      </x:c>
      <x:c r="F135" s="28" t="str">
        <x:f>IF(ISNUMBER(D135),ROUND(D135*'AJUSTES'!$B$7,2),"")</x:f>
      </x:c>
      <x:c r="G135" s="22" t="str"/>
      <x:c r="H135" s="22" t="str">
        <x:v>Excel TOP QUALITY filas 143</x:v>
      </x:c>
    </x:row>
    <x:row r="136" ht="25" customHeight="1">
      <x:c r="A136" s="22" t="str">
        <x:v>TQ-132</x:v>
      </x:c>
      <x:c r="B136" s="22" t="str">
        <x:v>Cocomademoiselle</x:v>
      </x:c>
      <x:c r="C136" s="22" t="str">
        <x:v>LÍNEA CLÁSICA O DISEÑADOR</x:v>
      </x:c>
      <x:c r="D136" s="27" t="str"/>
      <x:c r="E136" s="28" t="str">
        <x:f>IF(ISNUMBER(D136),ROUND(D136*'AJUSTES'!$B$6,2),"")</x:f>
      </x:c>
      <x:c r="F136" s="28" t="str">
        <x:f>IF(ISNUMBER(D136),ROUND(D136*'AJUSTES'!$B$7,2),"")</x:f>
      </x:c>
      <x:c r="G136" s="22" t="str"/>
      <x:c r="H136" s="22" t="str">
        <x:v>Excel TOP QUALITY filas 144</x:v>
      </x:c>
    </x:row>
    <x:row r="137" ht="25" customHeight="1">
      <x:c r="A137" s="22" t="str">
        <x:v>TQ-133</x:v>
      </x:c>
      <x:c r="B137" s="22" t="str">
        <x:v>Chanel N5</x:v>
      </x:c>
      <x:c r="C137" s="22" t="str">
        <x:v>LÍNEA CLÁSICA O DISEÑADOR</x:v>
      </x:c>
      <x:c r="D137" s="27" t="str"/>
      <x:c r="E137" s="28" t="str">
        <x:f>IF(ISNUMBER(D137),ROUND(D137*'AJUSTES'!$B$6,2),"")</x:f>
      </x:c>
      <x:c r="F137" s="28" t="str">
        <x:f>IF(ISNUMBER(D137),ROUND(D137*'AJUSTES'!$B$7,2),"")</x:f>
      </x:c>
      <x:c r="G137" s="22" t="str"/>
      <x:c r="H137" s="22" t="str">
        <x:v>Excel TOP QUALITY filas 145</x:v>
      </x:c>
    </x:row>
    <x:row r="138" ht="25" customHeight="1">
      <x:c r="A138" s="22" t="str">
        <x:v>TQ-134</x:v>
      </x:c>
      <x:c r="B138" s="22" t="str">
        <x:v>Meow</x:v>
      </x:c>
      <x:c r="C138" s="22" t="str">
        <x:v>LÍNEA CLÁSICA O DISEÑADOR</x:v>
      </x:c>
      <x:c r="D138" s="27" t="str"/>
      <x:c r="E138" s="28" t="str">
        <x:f>IF(ISNUMBER(D138),ROUND(D138*'AJUSTES'!$B$6,2),"")</x:f>
      </x:c>
      <x:c r="F138" s="28" t="str">
        <x:f>IF(ISNUMBER(D138),ROUND(D138*'AJUSTES'!$B$7,2),"")</x:f>
      </x:c>
      <x:c r="G138" s="22" t="str"/>
      <x:c r="H138" s="22" t="str">
        <x:v>Excel TOP QUALITY filas 146</x:v>
      </x:c>
    </x:row>
    <x:row r="139" ht="25" customHeight="1">
      <x:c r="A139" s="22" t="str">
        <x:v>TQ-135</x:v>
      </x:c>
      <x:c r="B139" s="22" t="str">
        <x:v>Prr</x:v>
      </x:c>
      <x:c r="C139" s="22" t="str">
        <x:v>LÍNEA CLÁSICA O DISEÑADOR</x:v>
      </x:c>
      <x:c r="D139" s="27" t="str"/>
      <x:c r="E139" s="28" t="str">
        <x:f>IF(ISNUMBER(D139),ROUND(D139*'AJUSTES'!$B$6,2),"")</x:f>
      </x:c>
      <x:c r="F139" s="28" t="str">
        <x:f>IF(ISNUMBER(D139),ROUND(D139*'AJUSTES'!$B$7,2),"")</x:f>
      </x:c>
      <x:c r="G139" s="22" t="str"/>
      <x:c r="H139" s="22" t="str">
        <x:v>Excel TOP QUALITY filas 147</x:v>
      </x:c>
    </x:row>
    <x:row r="140" ht="25" customHeight="1">
      <x:c r="A140" s="22" t="str">
        <x:v>TQ-136</x:v>
      </x:c>
      <x:c r="B140" s="22" t="str">
        <x:v>Brighcrystal</x:v>
      </x:c>
      <x:c r="C140" s="22" t="str">
        <x:v>LÍNEA CLÁSICA O DISEÑADOR</x:v>
      </x:c>
      <x:c r="D140" s="27" t="str"/>
      <x:c r="E140" s="28" t="str">
        <x:f>IF(ISNUMBER(D140),ROUND(D140*'AJUSTES'!$B$6,2),"")</x:f>
      </x:c>
      <x:c r="F140" s="28" t="str">
        <x:f>IF(ISNUMBER(D140),ROUND(D140*'AJUSTES'!$B$7,2),"")</x:f>
      </x:c>
      <x:c r="G140" s="22" t="str"/>
      <x:c r="H140" s="22" t="str">
        <x:v>Excel TOP QUALITY filas 148</x:v>
      </x:c>
    </x:row>
    <x:row r="141" ht="25" customHeight="1">
      <x:c r="A141" s="22" t="str">
        <x:v>TQ-137</x:v>
      </x:c>
      <x:c r="B141" s="22" t="str">
        <x:v>Yellow Diamonds</x:v>
      </x:c>
      <x:c r="C141" s="22" t="str">
        <x:v>LÍNEA CLÁSICA O DISEÑADOR</x:v>
      </x:c>
      <x:c r="D141" s="27" t="str"/>
      <x:c r="E141" s="28" t="str">
        <x:f>IF(ISNUMBER(D141),ROUND(D141*'AJUSTES'!$B$6,2),"")</x:f>
      </x:c>
      <x:c r="F141" s="28" t="str">
        <x:f>IF(ISNUMBER(D141),ROUND(D141*'AJUSTES'!$B$7,2),"")</x:f>
      </x:c>
      <x:c r="G141" s="22" t="str"/>
      <x:c r="H141" s="22" t="str">
        <x:v>Excel TOP QUALITY filas 149</x:v>
      </x:c>
    </x:row>
    <x:row r="142" ht="25" customHeight="1">
      <x:c r="A142" s="22" t="str">
        <x:v>TQ-138</x:v>
      </x:c>
      <x:c r="B142" s="22" t="str">
        <x:v>Tommy Girls</x:v>
      </x:c>
      <x:c r="C142" s="22" t="str">
        <x:v>LÍNEA CLÁSICA O DISEÑADOR</x:v>
      </x:c>
      <x:c r="D142" s="27" t="str"/>
      <x:c r="E142" s="28" t="str">
        <x:f>IF(ISNUMBER(D142),ROUND(D142*'AJUSTES'!$B$6,2),"")</x:f>
      </x:c>
      <x:c r="F142" s="28" t="str">
        <x:f>IF(ISNUMBER(D142),ROUND(D142*'AJUSTES'!$B$7,2),"")</x:f>
      </x:c>
      <x:c r="G142" s="22" t="str"/>
      <x:c r="H142" s="22" t="str">
        <x:v>Excel TOP QUALITY filas 150</x:v>
      </x:c>
    </x:row>
    <x:row r="143" ht="25" customHeight="1">
      <x:c r="A143" s="22" t="str">
        <x:v>TQ-139</x:v>
      </x:c>
      <x:c r="B143" s="22" t="str">
        <x:v>Viva La Juicy</x:v>
      </x:c>
      <x:c r="C143" s="22" t="str">
        <x:v>LÍNEA CLÁSICA O DISEÑADOR</x:v>
      </x:c>
      <x:c r="D143" s="27" t="str"/>
      <x:c r="E143" s="28" t="str">
        <x:f>IF(ISNUMBER(D143),ROUND(D143*'AJUSTES'!$B$6,2),"")</x:f>
      </x:c>
      <x:c r="F143" s="28" t="str">
        <x:f>IF(ISNUMBER(D143),ROUND(D143*'AJUSTES'!$B$7,2),"")</x:f>
      </x:c>
      <x:c r="G143" s="22" t="str"/>
      <x:c r="H143" s="22" t="str">
        <x:v>Excel TOP QUALITY filas 151</x:v>
      </x:c>
    </x:row>
    <x:row r="144" ht="25" customHeight="1">
      <x:c r="A144" s="22" t="str">
        <x:v>TQ-140</x:v>
      </x:c>
      <x:c r="B144" s="22" t="str">
        <x:v>Scandal Fem</x:v>
      </x:c>
      <x:c r="C144" s="22" t="str">
        <x:v>LÍNEA CLÁSICA O DISEÑADOR</x:v>
      </x:c>
      <x:c r="D144" s="27" t="str"/>
      <x:c r="E144" s="28" t="str">
        <x:f>IF(ISNUMBER(D144),ROUND(D144*'AJUSTES'!$B$6,2),"")</x:f>
      </x:c>
      <x:c r="F144" s="28" t="str">
        <x:f>IF(ISNUMBER(D144),ROUND(D144*'AJUSTES'!$B$7,2),"")</x:f>
      </x:c>
      <x:c r="G144" s="22" t="str"/>
      <x:c r="H144" s="22" t="str">
        <x:v>Excel TOP QUALITY filas 152</x:v>
      </x:c>
    </x:row>
    <x:row r="145" ht="25" customHeight="1">
      <x:c r="A145" s="22" t="str">
        <x:v>TQ-141</x:v>
      </x:c>
      <x:c r="B145" s="22" t="str">
        <x:v>Light Blue Fem</x:v>
      </x:c>
      <x:c r="C145" s="22" t="str">
        <x:v>LÍNEA CLÁSICA O DISEÑADOR</x:v>
      </x:c>
      <x:c r="D145" s="27" t="str"/>
      <x:c r="E145" s="28" t="str">
        <x:f>IF(ISNUMBER(D145),ROUND(D145*'AJUSTES'!$B$6,2),"")</x:f>
      </x:c>
      <x:c r="F145" s="28" t="str">
        <x:f>IF(ISNUMBER(D145),ROUND(D145*'AJUSTES'!$B$7,2),"")</x:f>
      </x:c>
      <x:c r="G145" s="22" t="str"/>
      <x:c r="H145" s="22" t="str">
        <x:v>Excel TOP QUALITY filas 153</x:v>
      </x:c>
    </x:row>
    <x:row r="146" ht="25" customHeight="1">
      <x:c r="A146" s="22" t="str">
        <x:v>TQ-142</x:v>
      </x:c>
      <x:c r="B146" s="22" t="str">
        <x:v>J'Dore</x:v>
      </x:c>
      <x:c r="C146" s="22" t="str">
        <x:v>LÍNEA CLÁSICA O DISEÑADOR</x:v>
      </x:c>
      <x:c r="D146" s="27" t="str"/>
      <x:c r="E146" s="28" t="str">
        <x:f>IF(ISNUMBER(D146),ROUND(D146*'AJUSTES'!$B$6,2),"")</x:f>
      </x:c>
      <x:c r="F146" s="28" t="str">
        <x:f>IF(ISNUMBER(D146),ROUND(D146*'AJUSTES'!$B$7,2),"")</x:f>
      </x:c>
      <x:c r="G146" s="22" t="str"/>
      <x:c r="H146" s="22" t="str">
        <x:v>Excel TOP QUALITY filas 154</x:v>
      </x:c>
    </x:row>
    <x:row r="147" ht="25" customHeight="1">
      <x:c r="A147" s="22" t="str">
        <x:v>TQ-143</x:v>
      </x:c>
      <x:c r="B147" s="22" t="str">
        <x:v>Funny</x:v>
      </x:c>
      <x:c r="C147" s="22" t="str">
        <x:v>LÍNEA CLÁSICA O DISEÑADOR</x:v>
      </x:c>
      <x:c r="D147" s="27" t="str"/>
      <x:c r="E147" s="28" t="str">
        <x:f>IF(ISNUMBER(D147),ROUND(D147*'AJUSTES'!$B$6,2),"")</x:f>
      </x:c>
      <x:c r="F147" s="28" t="str">
        <x:f>IF(ISNUMBER(D147),ROUND(D147*'AJUSTES'!$B$7,2),"")</x:f>
      </x:c>
      <x:c r="G147" s="22" t="str"/>
      <x:c r="H147" s="22" t="str">
        <x:v>Excel TOP QUALITY filas 155</x:v>
      </x:c>
    </x:row>
    <x:row r="148" ht="25" customHeight="1">
      <x:c r="A148" s="22" t="str">
        <x:v>TQ-144</x:v>
      </x:c>
      <x:c r="B148" s="22" t="str">
        <x:v>Bombshell</x:v>
      </x:c>
      <x:c r="C148" s="22" t="str">
        <x:v>LÍNEA CLÁSICA O DISEÑADOR</x:v>
      </x:c>
      <x:c r="D148" s="27" t="str"/>
      <x:c r="E148" s="28" t="str">
        <x:f>IF(ISNUMBER(D148),ROUND(D148*'AJUSTES'!$B$6,2),"")</x:f>
      </x:c>
      <x:c r="F148" s="28" t="str">
        <x:f>IF(ISNUMBER(D148),ROUND(D148*'AJUSTES'!$B$7,2),"")</x:f>
      </x:c>
      <x:c r="G148" s="22" t="str"/>
      <x:c r="H148" s="22" t="str">
        <x:v>Excel TOP QUALITY filas 156</x:v>
      </x:c>
    </x:row>
    <x:row r="149" ht="25" customHeight="1">
      <x:c r="A149" s="22" t="str">
        <x:v>TQ-145</x:v>
      </x:c>
      <x:c r="B149" s="22" t="str">
        <x:v>360 Fem</x:v>
      </x:c>
      <x:c r="C149" s="22" t="str">
        <x:v>LÍNEA CLÁSICA O DISEÑADOR</x:v>
      </x:c>
      <x:c r="D149" s="27" t="str"/>
      <x:c r="E149" s="28" t="str">
        <x:f>IF(ISNUMBER(D149),ROUND(D149*'AJUSTES'!$B$6,2),"")</x:f>
      </x:c>
      <x:c r="F149" s="28" t="str">
        <x:f>IF(ISNUMBER(D149),ROUND(D149*'AJUSTES'!$B$7,2),"")</x:f>
      </x:c>
      <x:c r="G149" s="22" t="str"/>
      <x:c r="H149" s="22" t="str">
        <x:v>Excel TOP QUALITY filas 157</x:v>
      </x:c>
    </x:row>
    <x:row r="150" ht="25" customHeight="1">
      <x:c r="A150" s="22" t="str">
        <x:v>TQ-146</x:v>
      </x:c>
      <x:c r="B150" s="22" t="str">
        <x:v>360 Coral</x:v>
      </x:c>
      <x:c r="C150" s="22" t="str">
        <x:v>LÍNEA CLÁSICA O DISEÑADOR</x:v>
      </x:c>
      <x:c r="D150" s="27" t="str"/>
      <x:c r="E150" s="28" t="str">
        <x:f>IF(ISNUMBER(D150),ROUND(D150*'AJUSTES'!$B$6,2),"")</x:f>
      </x:c>
      <x:c r="F150" s="28" t="str">
        <x:f>IF(ISNUMBER(D150),ROUND(D150*'AJUSTES'!$B$7,2),"")</x:f>
      </x:c>
      <x:c r="G150" s="22" t="str"/>
      <x:c r="H150" s="22" t="str">
        <x:v>Excel TOP QUALITY filas 158</x:v>
      </x:c>
    </x:row>
    <x:row r="151" ht="25" customHeight="1">
      <x:c r="A151" s="22" t="str">
        <x:v>TQ-147</x:v>
      </x:c>
      <x:c r="B151" s="22" t="str">
        <x:v>360 Red</x:v>
      </x:c>
      <x:c r="C151" s="22" t="str">
        <x:v>LÍNEA CLÁSICA O DISEÑADOR</x:v>
      </x:c>
      <x:c r="D151" s="27" t="str"/>
      <x:c r="E151" s="28" t="str">
        <x:f>IF(ISNUMBER(D151),ROUND(D151*'AJUSTES'!$B$6,2),"")</x:f>
      </x:c>
      <x:c r="F151" s="28" t="str">
        <x:f>IF(ISNUMBER(D151),ROUND(D151*'AJUSTES'!$B$7,2),"")</x:f>
      </x:c>
      <x:c r="G151" s="22" t="str"/>
      <x:c r="H151" s="22" t="str">
        <x:v>Excel TOP QUALITY filas 159</x:v>
      </x:c>
    </x:row>
    <x:row r="152" ht="25" customHeight="1">
      <x:c r="A152" s="22" t="str">
        <x:v>TQ-148</x:v>
      </x:c>
      <x:c r="B152" s="22" t="str">
        <x:v>212 Vip Men</x:v>
      </x:c>
      <x:c r="C152" s="22" t="str">
        <x:v>LÍNEA CLÁSICA O DISEÑADOR</x:v>
      </x:c>
      <x:c r="D152" s="27" t="n">
        <x:v>12</x:v>
      </x:c>
      <x:c r="E152" s="28" t="n">
        <x:f>IF(ISNUMBER(D152),ROUND(D152*'AJUSTES'!$B$6,2),"")</x:f>
        <x:v>20.4</x:v>
      </x:c>
      <x:c r="F152" s="28" t="n">
        <x:f>IF(ISNUMBER(D152),ROUND(D152*'AJUSTES'!$B$7,2),"")</x:f>
        <x:v>26.4</x:v>
      </x:c>
      <x:c r="G152" s="22" t="str"/>
      <x:c r="H152" s="22" t="str">
        <x:v>Excel TOP QUALITY filas 161</x:v>
      </x:c>
    </x:row>
    <x:row r="153" ht="25" customHeight="1">
      <x:c r="A153" s="22" t="str">
        <x:v>TQ-149</x:v>
      </x:c>
      <x:c r="B153" s="22" t="str">
        <x:v>212 Vip Black</x:v>
      </x:c>
      <x:c r="C153" s="22" t="str">
        <x:v>LÍNEA CLÁSICA O DISEÑADOR</x:v>
      </x:c>
      <x:c r="D153" s="27" t="str"/>
      <x:c r="E153" s="28" t="str">
        <x:f>IF(ISNUMBER(D153),ROUND(D153*'AJUSTES'!$B$6,2),"")</x:f>
      </x:c>
      <x:c r="F153" s="28" t="str">
        <x:f>IF(ISNUMBER(D153),ROUND(D153*'AJUSTES'!$B$7,2),"")</x:f>
      </x:c>
      <x:c r="G153" s="22" t="str"/>
      <x:c r="H153" s="22" t="str">
        <x:v>Excel TOP QUALITY filas 162</x:v>
      </x:c>
    </x:row>
    <x:row r="154" ht="25" customHeight="1">
      <x:c r="A154" s="22" t="str">
        <x:v>TQ-150</x:v>
      </x:c>
      <x:c r="B154" s="22" t="str">
        <x:v>212 Men</x:v>
      </x:c>
      <x:c r="C154" s="22" t="str">
        <x:v>LÍNEA CLÁSICA O DISEÑADOR</x:v>
      </x:c>
      <x:c r="D154" s="27" t="str"/>
      <x:c r="E154" s="28" t="str">
        <x:f>IF(ISNUMBER(D154),ROUND(D154*'AJUSTES'!$B$6,2),"")</x:f>
      </x:c>
      <x:c r="F154" s="28" t="str">
        <x:f>IF(ISNUMBER(D154),ROUND(D154*'AJUSTES'!$B$7,2),"")</x:f>
      </x:c>
      <x:c r="G154" s="22" t="str"/>
      <x:c r="H154" s="22" t="str">
        <x:v>Excel TOP QUALITY filas 163</x:v>
      </x:c>
    </x:row>
    <x:row r="155" ht="25" customHeight="1">
      <x:c r="A155" s="22" t="str">
        <x:v>TQ-151</x:v>
      </x:c>
      <x:c r="B155" s="22" t="str">
        <x:v>212 Vip Black Red</x:v>
      </x:c>
      <x:c r="C155" s="22" t="str">
        <x:v>LÍNEA CLÁSICA O DISEÑADOR</x:v>
      </x:c>
      <x:c r="D155" s="27" t="str"/>
      <x:c r="E155" s="28" t="str">
        <x:f>IF(ISNUMBER(D155),ROUND(D155*'AJUSTES'!$B$6,2),"")</x:f>
      </x:c>
      <x:c r="F155" s="28" t="str">
        <x:f>IF(ISNUMBER(D155),ROUND(D155*'AJUSTES'!$B$7,2),"")</x:f>
      </x:c>
      <x:c r="G155" s="22" t="str"/>
      <x:c r="H155" s="22" t="str">
        <x:v>Excel TOP QUALITY filas 164</x:v>
      </x:c>
    </x:row>
    <x:row r="156" ht="25" customHeight="1">
      <x:c r="A156" s="22" t="str">
        <x:v>TQ-152</x:v>
      </x:c>
      <x:c r="B156" s="22" t="str">
        <x:v>212 Vip Wins</x:v>
      </x:c>
      <x:c r="C156" s="22" t="str">
        <x:v>LÍNEA CLÁSICA O DISEÑADOR</x:v>
      </x:c>
      <x:c r="D156" s="27" t="str"/>
      <x:c r="E156" s="28" t="str">
        <x:f>IF(ISNUMBER(D156),ROUND(D156*'AJUSTES'!$B$6,2),"")</x:f>
      </x:c>
      <x:c r="F156" s="28" t="str">
        <x:f>IF(ISNUMBER(D156),ROUND(D156*'AJUSTES'!$B$7,2),"")</x:f>
      </x:c>
      <x:c r="G156" s="22" t="str"/>
      <x:c r="H156" s="22" t="str">
        <x:v>Excel TOP QUALITY filas 165</x:v>
      </x:c>
    </x:row>
    <x:row r="157" ht="25" customHeight="1">
      <x:c r="A157" s="22" t="str">
        <x:v>TQ-153</x:v>
      </x:c>
      <x:c r="B157" s="22" t="str">
        <x:v>212 Heroes Men</x:v>
      </x:c>
      <x:c r="C157" s="22" t="str">
        <x:v>LÍNEA CLÁSICA O DISEÑADOR</x:v>
      </x:c>
      <x:c r="D157" s="27" t="str"/>
      <x:c r="E157" s="28" t="str">
        <x:f>IF(ISNUMBER(D157),ROUND(D157*'AJUSTES'!$B$6,2),"")</x:f>
      </x:c>
      <x:c r="F157" s="28" t="str">
        <x:f>IF(ISNUMBER(D157),ROUND(D157*'AJUSTES'!$B$7,2),"")</x:f>
      </x:c>
      <x:c r="G157" s="22" t="str"/>
      <x:c r="H157" s="22" t="str">
        <x:v>Excel TOP QUALITY filas 166</x:v>
      </x:c>
    </x:row>
    <x:row r="158" ht="25" customHeight="1">
      <x:c r="A158" s="22" t="str">
        <x:v>TQ-154</x:v>
      </x:c>
      <x:c r="B158" s="22" t="str">
        <x:v>Lacoste Rouge</x:v>
      </x:c>
      <x:c r="C158" s="22" t="str">
        <x:v>LÍNEA CLÁSICA O DISEÑADOR</x:v>
      </x:c>
      <x:c r="D158" s="27" t="str"/>
      <x:c r="E158" s="28" t="str">
        <x:f>IF(ISNUMBER(D158),ROUND(D158*'AJUSTES'!$B$6,2),"")</x:f>
      </x:c>
      <x:c r="F158" s="28" t="str">
        <x:f>IF(ISNUMBER(D158),ROUND(D158*'AJUSTES'!$B$7,2),"")</x:f>
      </x:c>
      <x:c r="G158" s="22" t="str"/>
      <x:c r="H158" s="22" t="str">
        <x:v>Excel TOP QUALITY filas 167</x:v>
      </x:c>
    </x:row>
    <x:row r="159" ht="25" customHeight="1">
      <x:c r="A159" s="22" t="str">
        <x:v>TQ-155</x:v>
      </x:c>
      <x:c r="B159" s="22" t="str">
        <x:v>Lacoste Blanc</x:v>
      </x:c>
      <x:c r="C159" s="22" t="str">
        <x:v>LÍNEA CLÁSICA O DISEÑADOR</x:v>
      </x:c>
      <x:c r="D159" s="27" t="str"/>
      <x:c r="E159" s="28" t="str">
        <x:f>IF(ISNUMBER(D159),ROUND(D159*'AJUSTES'!$B$6,2),"")</x:f>
      </x:c>
      <x:c r="F159" s="28" t="str">
        <x:f>IF(ISNUMBER(D159),ROUND(D159*'AJUSTES'!$B$7,2),"")</x:f>
      </x:c>
      <x:c r="G159" s="22" t="str"/>
      <x:c r="H159" s="22" t="str">
        <x:v>Excel TOP QUALITY filas 168</x:v>
      </x:c>
    </x:row>
    <x:row r="160" ht="25" customHeight="1">
      <x:c r="A160" s="22" t="str">
        <x:v>TQ-156</x:v>
      </x:c>
      <x:c r="B160" s="22" t="str">
        <x:v>Lacoste Noir</x:v>
      </x:c>
      <x:c r="C160" s="22" t="str">
        <x:v>LÍNEA CLÁSICA O DISEÑADOR</x:v>
      </x:c>
      <x:c r="D160" s="27" t="str"/>
      <x:c r="E160" s="28" t="str">
        <x:f>IF(ISNUMBER(D160),ROUND(D160*'AJUSTES'!$B$6,2),"")</x:f>
      </x:c>
      <x:c r="F160" s="28" t="str">
        <x:f>IF(ISNUMBER(D160),ROUND(D160*'AJUSTES'!$B$7,2),"")</x:f>
      </x:c>
      <x:c r="G160" s="22" t="str"/>
      <x:c r="H160" s="22" t="str">
        <x:v>Excel TOP QUALITY filas 169</x:v>
      </x:c>
    </x:row>
    <x:row r="161" ht="25" customHeight="1">
      <x:c r="A161" s="22" t="str">
        <x:v>TQ-157</x:v>
      </x:c>
      <x:c r="B161" s="22" t="str">
        <x:v>Lacoste Essencial</x:v>
      </x:c>
      <x:c r="C161" s="22" t="str">
        <x:v>LÍNEA CLÁSICA O DISEÑADOR</x:v>
      </x:c>
      <x:c r="D161" s="27" t="str"/>
      <x:c r="E161" s="28" t="str">
        <x:f>IF(ISNUMBER(D161),ROUND(D161*'AJUSTES'!$B$6,2),"")</x:f>
      </x:c>
      <x:c r="F161" s="28" t="str">
        <x:f>IF(ISNUMBER(D161),ROUND(D161*'AJUSTES'!$B$7,2),"")</x:f>
      </x:c>
      <x:c r="G161" s="22" t="str"/>
      <x:c r="H161" s="22" t="str">
        <x:v>Excel TOP QUALITY filas 170</x:v>
      </x:c>
    </x:row>
    <x:row r="162" ht="25" customHeight="1">
      <x:c r="A162" s="22" t="str">
        <x:v>TQ-158</x:v>
      </x:c>
      <x:c r="B162" s="22" t="str">
        <x:v>Legend Spirit</x:v>
      </x:c>
      <x:c r="C162" s="22" t="str">
        <x:v>LÍNEA CLÁSICA O DISEÑADOR</x:v>
      </x:c>
      <x:c r="D162" s="27" t="str"/>
      <x:c r="E162" s="28" t="str">
        <x:f>IF(ISNUMBER(D162),ROUND(D162*'AJUSTES'!$B$6,2),"")</x:f>
      </x:c>
      <x:c r="F162" s="28" t="str">
        <x:f>IF(ISNUMBER(D162),ROUND(D162*'AJUSTES'!$B$7,2),"")</x:f>
      </x:c>
      <x:c r="G162" s="22" t="str"/>
      <x:c r="H162" s="22" t="str">
        <x:v>Excel TOP QUALITY filas 171</x:v>
      </x:c>
    </x:row>
    <x:row r="163" ht="25" customHeight="1">
      <x:c r="A163" s="22" t="str">
        <x:v>TQ-159</x:v>
      </x:c>
      <x:c r="B163" s="22" t="str">
        <x:v>Legend</x:v>
      </x:c>
      <x:c r="C163" s="22" t="str">
        <x:v>LÍNEA CLÁSICA O DISEÑADOR</x:v>
      </x:c>
      <x:c r="D163" s="27" t="str"/>
      <x:c r="E163" s="28" t="str">
        <x:f>IF(ISNUMBER(D163),ROUND(D163*'AJUSTES'!$B$6,2),"")</x:f>
      </x:c>
      <x:c r="F163" s="28" t="str">
        <x:f>IF(ISNUMBER(D163),ROUND(D163*'AJUSTES'!$B$7,2),"")</x:f>
      </x:c>
      <x:c r="G163" s="22" t="str"/>
      <x:c r="H163" s="22" t="str">
        <x:v>Excel TOP QUALITY filas 172</x:v>
      </x:c>
    </x:row>
    <x:row r="164" ht="25" customHeight="1">
      <x:c r="A164" s="22" t="str">
        <x:v>TQ-160</x:v>
      </x:c>
      <x:c r="B164" s="22" t="str">
        <x:v>Emblem</x:v>
      </x:c>
      <x:c r="C164" s="22" t="str">
        <x:v>LÍNEA CLÁSICA O DISEÑADOR</x:v>
      </x:c>
      <x:c r="D164" s="27" t="str"/>
      <x:c r="E164" s="28" t="str">
        <x:f>IF(ISNUMBER(D164),ROUND(D164*'AJUSTES'!$B$6,2),"")</x:f>
      </x:c>
      <x:c r="F164" s="28" t="str">
        <x:f>IF(ISNUMBER(D164),ROUND(D164*'AJUSTES'!$B$7,2),"")</x:f>
      </x:c>
      <x:c r="G164" s="22" t="str"/>
      <x:c r="H164" s="22" t="str">
        <x:v>Excel TOP QUALITY filas 173</x:v>
      </x:c>
    </x:row>
    <x:row r="165" ht="25" customHeight="1">
      <x:c r="A165" s="22" t="str">
        <x:v>TQ-161</x:v>
      </x:c>
      <x:c r="B165" s="22" t="str">
        <x:v>Starwalker</x:v>
      </x:c>
      <x:c r="C165" s="22" t="str">
        <x:v>LÍNEA CLÁSICA O DISEÑADOR</x:v>
      </x:c>
      <x:c r="D165" s="27" t="str"/>
      <x:c r="E165" s="28" t="str">
        <x:f>IF(ISNUMBER(D165),ROUND(D165*'AJUSTES'!$B$6,2),"")</x:f>
      </x:c>
      <x:c r="F165" s="28" t="str">
        <x:f>IF(ISNUMBER(D165),ROUND(D165*'AJUSTES'!$B$7,2),"")</x:f>
      </x:c>
      <x:c r="G165" s="22" t="str"/>
      <x:c r="H165" s="22" t="str">
        <x:v>Excel TOP QUALITY filas 174</x:v>
      </x:c>
    </x:row>
    <x:row r="166" ht="25" customHeight="1">
      <x:c r="A166" s="22" t="str">
        <x:v>TQ-162</x:v>
      </x:c>
      <x:c r="B166" s="22" t="str">
        <x:v>Eros Flame</x:v>
      </x:c>
      <x:c r="C166" s="22" t="str">
        <x:v>LÍNEA CLÁSICA O DISEÑADOR</x:v>
      </x:c>
      <x:c r="D166" s="27" t="n">
        <x:v>12</x:v>
      </x:c>
      <x:c r="E166" s="28" t="n">
        <x:f>IF(ISNUMBER(D166),ROUND(D166*'AJUSTES'!$B$6,2),"")</x:f>
        <x:v>20.4</x:v>
      </x:c>
      <x:c r="F166" s="28" t="n">
        <x:f>IF(ISNUMBER(D166),ROUND(D166*'AJUSTES'!$B$7,2),"")</x:f>
        <x:v>26.4</x:v>
      </x:c>
      <x:c r="G166" s="22" t="str"/>
      <x:c r="H166" s="22" t="str">
        <x:v>Excel TOP QUALITY filas 176</x:v>
      </x:c>
    </x:row>
    <x:row r="167" ht="25" customHeight="1">
      <x:c r="A167" s="22" t="str">
        <x:v>TQ-163</x:v>
      </x:c>
      <x:c r="B167" s="22" t="str">
        <x:v>Eros Energy</x:v>
      </x:c>
      <x:c r="C167" s="22" t="str">
        <x:v>LÍNEA CLÁSICA O DISEÑADOR</x:v>
      </x:c>
      <x:c r="D167" s="27" t="str"/>
      <x:c r="E167" s="28" t="str">
        <x:f>IF(ISNUMBER(D167),ROUND(D167*'AJUSTES'!$B$6,2),"")</x:f>
      </x:c>
      <x:c r="F167" s="28" t="str">
        <x:f>IF(ISNUMBER(D167),ROUND(D167*'AJUSTES'!$B$7,2),"")</x:f>
      </x:c>
      <x:c r="G167" s="22" t="str"/>
      <x:c r="H167" s="22" t="str">
        <x:v>Excel TOP QUALITY filas 177</x:v>
      </x:c>
    </x:row>
    <x:row r="168" ht="25" customHeight="1">
      <x:c r="A168" s="22" t="str">
        <x:v>TQ-164</x:v>
      </x:c>
      <x:c r="B168" s="22" t="str">
        <x:v>Eau Frinche</x:v>
      </x:c>
      <x:c r="C168" s="22" t="str">
        <x:v>LÍNEA CLÁSICA O DISEÑADOR</x:v>
      </x:c>
      <x:c r="D168" s="27" t="str"/>
      <x:c r="E168" s="28" t="str">
        <x:f>IF(ISNUMBER(D168),ROUND(D168*'AJUSTES'!$B$6,2),"")</x:f>
      </x:c>
      <x:c r="F168" s="28" t="str">
        <x:f>IF(ISNUMBER(D168),ROUND(D168*'AJUSTES'!$B$7,2),"")</x:f>
      </x:c>
      <x:c r="G168" s="22" t="str"/>
      <x:c r="H168" s="22" t="str">
        <x:v>Excel TOP QUALITY filas 178</x:v>
      </x:c>
    </x:row>
    <x:row r="169" ht="25" customHeight="1">
      <x:c r="A169" s="22" t="str">
        <x:v>TQ-165</x:v>
      </x:c>
      <x:c r="B169" s="22" t="str">
        <x:v>Aqua Di Gio Profum</x:v>
      </x:c>
      <x:c r="C169" s="22" t="str">
        <x:v>LÍNEA CLÁSICA O DISEÑADOR</x:v>
      </x:c>
      <x:c r="D169" s="27" t="str"/>
      <x:c r="E169" s="28" t="str">
        <x:f>IF(ISNUMBER(D169),ROUND(D169*'AJUSTES'!$B$6,2),"")</x:f>
      </x:c>
      <x:c r="F169" s="28" t="str">
        <x:f>IF(ISNUMBER(D169),ROUND(D169*'AJUSTES'!$B$7,2),"")</x:f>
      </x:c>
      <x:c r="G169" s="22" t="str"/>
      <x:c r="H169" s="22" t="str">
        <x:v>Excel TOP QUALITY filas 180</x:v>
      </x:c>
    </x:row>
    <x:row r="170" ht="25" customHeight="1">
      <x:c r="A170" s="22" t="str">
        <x:v>TQ-166</x:v>
      </x:c>
      <x:c r="B170" s="22" t="str">
        <x:v>Polo Blue</x:v>
      </x:c>
      <x:c r="C170" s="22" t="str">
        <x:v>LÍNEA CLÁSICA O DISEÑADOR</x:v>
      </x:c>
      <x:c r="D170" s="27" t="n">
        <x:v>18</x:v>
      </x:c>
      <x:c r="E170" s="28" t="n">
        <x:f>IF(ISNUMBER(D170),ROUND(D170*'AJUSTES'!$B$6,2),"")</x:f>
        <x:v>30.6</x:v>
      </x:c>
      <x:c r="F170" s="28" t="n">
        <x:f>IF(ISNUMBER(D170),ROUND(D170*'AJUSTES'!$B$7,2),"")</x:f>
        <x:v>39.6</x:v>
      </x:c>
      <x:c r="G170" s="22" t="str"/>
      <x:c r="H170" s="22" t="str">
        <x:v>Excel TOP QUALITY filas 181</x:v>
      </x:c>
    </x:row>
    <x:row r="171" ht="25" customHeight="1">
      <x:c r="A171" s="22" t="str">
        <x:v>TQ-167</x:v>
      </x:c>
      <x:c r="B171" s="22" t="str">
        <x:v>Polo Red</x:v>
      </x:c>
      <x:c r="C171" s="22" t="str">
        <x:v>LÍNEA CLÁSICA O DISEÑADOR</x:v>
      </x:c>
      <x:c r="D171" s="27" t="str"/>
      <x:c r="E171" s="28" t="str">
        <x:f>IF(ISNUMBER(D171),ROUND(D171*'AJUSTES'!$B$6,2),"")</x:f>
      </x:c>
      <x:c r="F171" s="28" t="str">
        <x:f>IF(ISNUMBER(D171),ROUND(D171*'AJUSTES'!$B$7,2),"")</x:f>
      </x:c>
      <x:c r="G171" s="22" t="str"/>
      <x:c r="H171" s="22" t="str">
        <x:v>Excel TOP QUALITY filas 182</x:v>
      </x:c>
    </x:row>
    <x:row r="172" ht="25" customHeight="1">
      <x:c r="A172" s="22" t="str">
        <x:v>TQ-168</x:v>
      </x:c>
      <x:c r="B172" s="22" t="str">
        <x:v>Valentino Uomo</x:v>
      </x:c>
      <x:c r="C172" s="22" t="str">
        <x:v>LÍNEA CLÁSICA O DISEÑADOR</x:v>
      </x:c>
      <x:c r="D172" s="27" t="str"/>
      <x:c r="E172" s="28" t="str">
        <x:f>IF(ISNUMBER(D172),ROUND(D172*'AJUSTES'!$B$6,2),"")</x:f>
      </x:c>
      <x:c r="F172" s="28" t="str">
        <x:f>IF(ISNUMBER(D172),ROUND(D172*'AJUSTES'!$B$7,2),"")</x:f>
      </x:c>
      <x:c r="G172" s="22" t="str"/>
      <x:c r="H172" s="22" t="str">
        <x:v>Excel TOP QUALITY filas 183</x:v>
      </x:c>
    </x:row>
    <x:row r="173" ht="25" customHeight="1">
      <x:c r="A173" s="22" t="str">
        <x:v>TQ-169</x:v>
      </x:c>
      <x:c r="B173" s="22" t="str">
        <x:v>Issey Miyake</x:v>
      </x:c>
      <x:c r="C173" s="22" t="str">
        <x:v>LÍNEA CLÁSICA O DISEÑADOR</x:v>
      </x:c>
      <x:c r="D173" s="27" t="str"/>
      <x:c r="E173" s="28" t="str">
        <x:f>IF(ISNUMBER(D173),ROUND(D173*'AJUSTES'!$B$6,2),"")</x:f>
      </x:c>
      <x:c r="F173" s="28" t="str">
        <x:f>IF(ISNUMBER(D173),ROUND(D173*'AJUSTES'!$B$7,2),"")</x:f>
      </x:c>
      <x:c r="G173" s="22" t="str"/>
      <x:c r="H173" s="22" t="str">
        <x:v>Excel TOP QUALITY filas 185</x:v>
      </x:c>
    </x:row>
    <x:row r="174" ht="25" customHeight="1">
      <x:c r="A174" s="22" t="str">
        <x:v>TQ-170</x:v>
      </x:c>
      <x:c r="B174" s="22" t="str">
        <x:v>Scandal Men</x:v>
      </x:c>
      <x:c r="C174" s="22" t="str">
        <x:v>LÍNEA CLÁSICA O DISEÑADOR</x:v>
      </x:c>
      <x:c r="D174" s="27" t="str"/>
      <x:c r="E174" s="28" t="str">
        <x:f>IF(ISNUMBER(D174),ROUND(D174*'AJUSTES'!$B$6,2),"")</x:f>
      </x:c>
      <x:c r="F174" s="28" t="str">
        <x:f>IF(ISNUMBER(D174),ROUND(D174*'AJUSTES'!$B$7,2),"")</x:f>
      </x:c>
      <x:c r="G174" s="22" t="str"/>
      <x:c r="H174" s="22" t="str">
        <x:v>Excel TOP QUALITY filas 187</x:v>
      </x:c>
    </x:row>
    <x:row r="175" ht="25" customHeight="1">
      <x:c r="A175" s="22" t="str">
        <x:v>TQ-171</x:v>
      </x:c>
      <x:c r="B175" s="22" t="str">
        <x:v>K Dolce Gabanna</x:v>
      </x:c>
      <x:c r="C175" s="22" t="str">
        <x:v>LÍNEA CLÁSICA O DISEÑADOR</x:v>
      </x:c>
      <x:c r="D175" s="27" t="str"/>
      <x:c r="E175" s="28" t="str">
        <x:f>IF(ISNUMBER(D175),ROUND(D175*'AJUSTES'!$B$6,2),"")</x:f>
      </x:c>
      <x:c r="F175" s="28" t="str">
        <x:f>IF(ISNUMBER(D175),ROUND(D175*'AJUSTES'!$B$7,2),"")</x:f>
      </x:c>
      <x:c r="G175" s="22" t="str"/>
      <x:c r="H175" s="22" t="str">
        <x:v>Excel TOP QUALITY filas 188</x:v>
      </x:c>
    </x:row>
    <x:row r="176" ht="25" customHeight="1">
      <x:c r="A176" s="22" t="str">
        <x:v>TQ-172</x:v>
      </x:c>
      <x:c r="B176" s="22" t="str">
        <x:v>Light Blue Men</x:v>
      </x:c>
      <x:c r="C176" s="22" t="str">
        <x:v>LÍNEA CLÁSICA O DISEÑADOR</x:v>
      </x:c>
      <x:c r="D176" s="27" t="str"/>
      <x:c r="E176" s="28" t="str">
        <x:f>IF(ISNUMBER(D176),ROUND(D176*'AJUSTES'!$B$6,2),"")</x:f>
      </x:c>
      <x:c r="F176" s="28" t="str">
        <x:f>IF(ISNUMBER(D176),ROUND(D176*'AJUSTES'!$B$7,2),"")</x:f>
      </x:c>
      <x:c r="G176" s="22" t="str"/>
      <x:c r="H176" s="22" t="str">
        <x:v>Excel TOP QUALITY filas 189</x:v>
      </x:c>
    </x:row>
    <x:row r="177" ht="25" customHeight="1">
      <x:c r="A177" s="22" t="str">
        <x:v>TQ-173</x:v>
      </x:c>
      <x:c r="B177" s="22" t="str">
        <x:v>Unlimited</x:v>
      </x:c>
      <x:c r="C177" s="22" t="str">
        <x:v>LÍNEA CLÁSICA O DISEÑADOR</x:v>
      </x:c>
      <x:c r="D177" s="27" t="str"/>
      <x:c r="E177" s="28" t="str">
        <x:f>IF(ISNUMBER(D177),ROUND(D177*'AJUSTES'!$B$6,2),"")</x:f>
      </x:c>
      <x:c r="F177" s="28" t="str">
        <x:f>IF(ISNUMBER(D177),ROUND(D177*'AJUSTES'!$B$7,2),"")</x:f>
      </x:c>
      <x:c r="G177" s="22" t="str"/>
      <x:c r="H177" s="22" t="str">
        <x:v>Excel TOP QUALITY filas 190</x:v>
      </x:c>
    </x:row>
    <x:row r="178" ht="25" customHeight="1">
      <x:c r="A178" s="22" t="str">
        <x:v>TQ-174</x:v>
      </x:c>
      <x:c r="B178" s="22" t="str">
        <x:v>Justdiferent</x:v>
      </x:c>
      <x:c r="C178" s="22" t="str">
        <x:v>LÍNEA CLÁSICA O DISEÑADOR</x:v>
      </x:c>
      <x:c r="D178" s="27" t="str"/>
      <x:c r="E178" s="28" t="str">
        <x:f>IF(ISNUMBER(D178),ROUND(D178*'AJUSTES'!$B$6,2),"")</x:f>
      </x:c>
      <x:c r="F178" s="28" t="str">
        <x:f>IF(ISNUMBER(D178),ROUND(D178*'AJUSTES'!$B$7,2),"")</x:f>
      </x:c>
      <x:c r="G178" s="22" t="str"/>
      <x:c r="H178" s="22" t="str">
        <x:v>Excel TOP QUALITY filas 191</x:v>
      </x:c>
    </x:row>
    <x:row r="179" ht="25" customHeight="1">
      <x:c r="A179" s="22" t="str">
        <x:v>TQ-175</x:v>
      </x:c>
      <x:c r="B179" s="22" t="str">
        <x:v>Ferrari Black</x:v>
      </x:c>
      <x:c r="C179" s="22" t="str">
        <x:v>LÍNEA CLÁSICA O DISEÑADOR</x:v>
      </x:c>
      <x:c r="D179" s="27" t="str"/>
      <x:c r="E179" s="28" t="str">
        <x:f>IF(ISNUMBER(D179),ROUND(D179*'AJUSTES'!$B$6,2),"")</x:f>
      </x:c>
      <x:c r="F179" s="28" t="str">
        <x:f>IF(ISNUMBER(D179),ROUND(D179*'AJUSTES'!$B$7,2),"")</x:f>
      </x:c>
      <x:c r="G179" s="22" t="str"/>
      <x:c r="H179" s="22" t="str">
        <x:v>Excel TOP QUALITY filas 192</x:v>
      </x:c>
    </x:row>
    <x:row r="180" ht="25" customHeight="1">
      <x:c r="A180" s="22" t="str">
        <x:v>TQ-176</x:v>
      </x:c>
      <x:c r="B180" s="22" t="str">
        <x:v>Black Seduction</x:v>
      </x:c>
      <x:c r="C180" s="22" t="str">
        <x:v>LÍNEA CLÁSICA O DISEÑADOR</x:v>
      </x:c>
      <x:c r="D180" s="27" t="str"/>
      <x:c r="E180" s="28" t="str">
        <x:f>IF(ISNUMBER(D180),ROUND(D180*'AJUSTES'!$B$6,2),"")</x:f>
      </x:c>
      <x:c r="F180" s="28" t="str">
        <x:f>IF(ISNUMBER(D180),ROUND(D180*'AJUSTES'!$B$7,2),"")</x:f>
      </x:c>
      <x:c r="G180" s="22" t="str"/>
      <x:c r="H180" s="22" t="str">
        <x:v>Excel TOP QUALITY filas 193</x:v>
      </x:c>
    </x:row>
    <x:row r="181" ht="25" customHeight="1">
      <x:c r="A181" s="22" t="str">
        <x:v>TQ-177</x:v>
      </x:c>
      <x:c r="B181" s="22" t="str">
        <x:v>Lyton</x:v>
      </x:c>
      <x:c r="C181" s="22" t="str">
        <x:v>LÍNEA CLÁSICA O DISEÑADOR</x:v>
      </x:c>
      <x:c r="D181" s="27" t="str"/>
      <x:c r="E181" s="28" t="str">
        <x:f>IF(ISNUMBER(D181),ROUND(D181*'AJUSTES'!$B$6,2),"")</x:f>
      </x:c>
      <x:c r="F181" s="28" t="str">
        <x:f>IF(ISNUMBER(D181),ROUND(D181*'AJUSTES'!$B$7,2),"")</x:f>
      </x:c>
      <x:c r="G181" s="22" t="str"/>
      <x:c r="H181" s="22" t="str">
        <x:v>Excel TOP QUALITY filas 194</x:v>
      </x:c>
    </x:row>
    <x:row r="182" ht="25" customHeight="1">
      <x:c r="A182" s="22" t="str">
        <x:v>TQ-178</x:v>
      </x:c>
      <x:c r="B182" s="22" t="str">
        <x:v>Azzaro Wanted</x:v>
      </x:c>
      <x:c r="C182" s="22" t="str">
        <x:v>LÍNEA CLÁSICA O DISEÑADOR</x:v>
      </x:c>
      <x:c r="D182" s="27" t="str"/>
      <x:c r="E182" s="28" t="str">
        <x:f>IF(ISNUMBER(D182),ROUND(D182*'AJUSTES'!$B$6,2),"")</x:f>
      </x:c>
      <x:c r="F182" s="28" t="str">
        <x:f>IF(ISNUMBER(D182),ROUND(D182*'AJUSTES'!$B$7,2),"")</x:f>
      </x:c>
      <x:c r="G182" s="22" t="str"/>
      <x:c r="H182" s="22" t="str">
        <x:v>Excel TOP QUALITY filas 195</x:v>
      </x:c>
    </x:row>
    <x:row r="183" ht="25" customHeight="1">
      <x:c r="A183" s="22" t="str">
        <x:v>TQ-179</x:v>
      </x:c>
      <x:c r="B183" s="22" t="str">
        <x:v>Happy Clinique Men</x:v>
      </x:c>
      <x:c r="C183" s="22" t="str">
        <x:v>LÍNEA CLÁSICA O DISEÑADOR</x:v>
      </x:c>
      <x:c r="D183" s="27" t="str"/>
      <x:c r="E183" s="28" t="str">
        <x:f>IF(ISNUMBER(D183),ROUND(D183*'AJUSTES'!$B$6,2),"")</x:f>
      </x:c>
      <x:c r="F183" s="28" t="str">
        <x:f>IF(ISNUMBER(D183),ROUND(D183*'AJUSTES'!$B$7,2),"")</x:f>
      </x:c>
      <x:c r="G183" s="22" t="str"/>
      <x:c r="H183" s="22" t="str">
        <x:v>Excel TOP QUALITY filas 196</x:v>
      </x:c>
    </x:row>
    <x:row r="184" ht="25" customHeight="1">
      <x:c r="A184" s="22" t="str">
        <x:v>TQ-180</x:v>
      </x:c>
      <x:c r="B184" s="22" t="str">
        <x:v>Bleu Chanel</x:v>
      </x:c>
      <x:c r="C184" s="22" t="str">
        <x:v>LÍNEA CLÁSICA O DISEÑADOR</x:v>
      </x:c>
      <x:c r="D184" s="27" t="str"/>
      <x:c r="E184" s="28" t="str">
        <x:f>IF(ISNUMBER(D184),ROUND(D184*'AJUSTES'!$B$6,2),"")</x:f>
      </x:c>
      <x:c r="F184" s="28" t="str">
        <x:f>IF(ISNUMBER(D184),ROUND(D184*'AJUSTES'!$B$7,2),"")</x:f>
      </x:c>
      <x:c r="G184" s="22" t="str"/>
      <x:c r="H184" s="22" t="str">
        <x:v>Excel TOP QUALITY filas 197</x:v>
      </x:c>
    </x:row>
    <x:row r="185" ht="25" customHeight="1">
      <x:c r="A185" s="22" t="str">
        <x:v>TQ-181</x:v>
      </x:c>
      <x:c r="B185" s="22" t="str">
        <x:v>Creed Aventus</x:v>
      </x:c>
      <x:c r="C185" s="22" t="str">
        <x:v>LÍNEA CLÁSICA O DISEÑADOR</x:v>
      </x:c>
      <x:c r="D185" s="27" t="str"/>
      <x:c r="E185" s="28" t="str">
        <x:f>IF(ISNUMBER(D185),ROUND(D185*'AJUSTES'!$B$6,2),"")</x:f>
      </x:c>
      <x:c r="F185" s="28" t="str">
        <x:f>IF(ISNUMBER(D185),ROUND(D185*'AJUSTES'!$B$7,2),"")</x:f>
      </x:c>
      <x:c r="G185" s="22" t="str"/>
      <x:c r="H185" s="22" t="str">
        <x:v>Excel TOP QUALITY filas 198</x:v>
      </x:c>
    </x:row>
    <x:row r="186" ht="25" customHeight="1">
      <x:c r="A186" s="22" t="str">
        <x:v>TQ-182</x:v>
      </x:c>
      <x:c r="B186" s="22" t="str">
        <x:v>Creed Silver Mountain</x:v>
      </x:c>
      <x:c r="C186" s="22" t="str">
        <x:v>LÍNEA CLÁSICA O DISEÑADOR</x:v>
      </x:c>
      <x:c r="D186" s="27" t="str"/>
      <x:c r="E186" s="28" t="str">
        <x:f>IF(ISNUMBER(D186),ROUND(D186*'AJUSTES'!$B$6,2),"")</x:f>
      </x:c>
      <x:c r="F186" s="28" t="str">
        <x:f>IF(ISNUMBER(D186),ROUND(D186*'AJUSTES'!$B$7,2),"")</x:f>
      </x:c>
      <x:c r="G186" s="22" t="str"/>
      <x:c r="H186" s="22" t="str">
        <x:v>Excel TOP QUALITY filas 199</x:v>
      </x:c>
    </x:row>
    <x:row r="187" ht="25" customHeight="1">
      <x:c r="A187" s="22" t="str">
        <x:v>TQ-183</x:v>
      </x:c>
      <x:c r="B187" s="22" t="str">
        <x:v>Invictus Parfum</x:v>
      </x:c>
      <x:c r="C187" s="22" t="str">
        <x:v>LÍNEA CLÁSICA O DISEÑADOR</x:v>
      </x:c>
      <x:c r="D187" s="27" t="str"/>
      <x:c r="E187" s="28" t="str">
        <x:f>IF(ISNUMBER(D187),ROUND(D187*'AJUSTES'!$B$6,2),"")</x:f>
      </x:c>
      <x:c r="F187" s="28" t="str">
        <x:f>IF(ISNUMBER(D187),ROUND(D187*'AJUSTES'!$B$7,2),"")</x:f>
      </x:c>
      <x:c r="G187" s="22" t="str"/>
      <x:c r="H187" s="22" t="str">
        <x:v>Excel TOP QUALITY filas 201</x:v>
      </x:c>
    </x:row>
    <x:row r="188" ht="25" customHeight="1">
      <x:c r="A188" s="22" t="str">
        <x:v>TQ-184</x:v>
      </x:c>
      <x:c r="B188" s="22" t="str">
        <x:v>Invictus Legend</x:v>
      </x:c>
      <x:c r="C188" s="22" t="str">
        <x:v>LÍNEA CLÁSICA O DISEÑADOR</x:v>
      </x:c>
      <x:c r="D188" s="27" t="str"/>
      <x:c r="E188" s="28" t="str">
        <x:f>IF(ISNUMBER(D188),ROUND(D188*'AJUSTES'!$B$6,2),"")</x:f>
      </x:c>
      <x:c r="F188" s="28" t="str">
        <x:f>IF(ISNUMBER(D188),ROUND(D188*'AJUSTES'!$B$7,2),"")</x:f>
      </x:c>
      <x:c r="G188" s="22" t="str"/>
      <x:c r="H188" s="22" t="str">
        <x:v>Excel TOP QUALITY filas 202</x:v>
      </x:c>
    </x:row>
    <x:row r="189" ht="25" customHeight="1">
      <x:c r="A189" s="22" t="str">
        <x:v>TQ-185</x:v>
      </x:c>
      <x:c r="B189" s="22" t="str">
        <x:v>Invictus Victory</x:v>
      </x:c>
      <x:c r="C189" s="22" t="str">
        <x:v>LÍNEA CLÁSICA O DISEÑADOR</x:v>
      </x:c>
      <x:c r="D189" s="27" t="str"/>
      <x:c r="E189" s="28" t="str">
        <x:f>IF(ISNUMBER(D189),ROUND(D189*'AJUSTES'!$B$6,2),"")</x:f>
      </x:c>
      <x:c r="F189" s="28" t="str">
        <x:f>IF(ISNUMBER(D189),ROUND(D189*'AJUSTES'!$B$7,2),"")</x:f>
      </x:c>
      <x:c r="G189" s="22" t="str"/>
      <x:c r="H189" s="22" t="str">
        <x:v>Excel TOP QUALITY filas 203</x:v>
      </x:c>
    </x:row>
    <x:row r="190" ht="25" customHeight="1">
      <x:c r="A190" s="22" t="str">
        <x:v>TQ-186</x:v>
      </x:c>
      <x:c r="B190" s="22" t="str">
        <x:v>Invictus Onix</x:v>
      </x:c>
      <x:c r="C190" s="22" t="str">
        <x:v>LÍNEA CLÁSICA O DISEÑADOR</x:v>
      </x:c>
      <x:c r="D190" s="27" t="str"/>
      <x:c r="E190" s="28" t="str">
        <x:f>IF(ISNUMBER(D190),ROUND(D190*'AJUSTES'!$B$6,2),"")</x:f>
      </x:c>
      <x:c r="F190" s="28" t="str">
        <x:f>IF(ISNUMBER(D190),ROUND(D190*'AJUSTES'!$B$7,2),"")</x:f>
      </x:c>
      <x:c r="G190" s="22" t="str"/>
      <x:c r="H190" s="22" t="str">
        <x:v>Excel TOP QUALITY filas 204</x:v>
      </x:c>
    </x:row>
    <x:row r="191" ht="25" customHeight="1">
      <x:c r="A191" s="22" t="str">
        <x:v>TQ-187</x:v>
      </x:c>
      <x:c r="B191" s="22" t="str">
        <x:v>One Million Elixir</x:v>
      </x:c>
      <x:c r="C191" s="22" t="str">
        <x:v>LÍNEA CLÁSICA O DISEÑADOR</x:v>
      </x:c>
      <x:c r="D191" s="27" t="str"/>
      <x:c r="E191" s="28" t="str">
        <x:f>IF(ISNUMBER(D191),ROUND(D191*'AJUSTES'!$B$6,2),"")</x:f>
      </x:c>
      <x:c r="F191" s="28" t="str">
        <x:f>IF(ISNUMBER(D191),ROUND(D191*'AJUSTES'!$B$7,2),"")</x:f>
      </x:c>
      <x:c r="G191" s="22" t="str"/>
      <x:c r="H191" s="22" t="str">
        <x:v>Excel TOP QUALITY filas 205</x:v>
      </x:c>
    </x:row>
    <x:row r="192" ht="25" customHeight="1">
      <x:c r="A192" s="22" t="str">
        <x:v>TQ-188</x:v>
      </x:c>
      <x:c r="B192" s="22" t="str">
        <x:v>One Million Prive</x:v>
      </x:c>
      <x:c r="C192" s="22" t="str">
        <x:v>LÍNEA CLÁSICA O DISEÑADOR</x:v>
      </x:c>
      <x:c r="D192" s="27" t="str"/>
      <x:c r="E192" s="28" t="str">
        <x:f>IF(ISNUMBER(D192),ROUND(D192*'AJUSTES'!$B$6,2),"")</x:f>
      </x:c>
      <x:c r="F192" s="28" t="str">
        <x:f>IF(ISNUMBER(D192),ROUND(D192*'AJUSTES'!$B$7,2),"")</x:f>
      </x:c>
      <x:c r="G192" s="22" t="str"/>
      <x:c r="H192" s="22" t="str">
        <x:v>Excel TOP QUALITY filas 206</x:v>
      </x:c>
    </x:row>
    <x:row r="193" ht="25" customHeight="1">
      <x:c r="A193" s="22" t="str">
        <x:v>TQ-189</x:v>
      </x:c>
      <x:c r="B193" s="22" t="str">
        <x:v>One Million Lucky</x:v>
      </x:c>
      <x:c r="C193" s="22" t="str">
        <x:v>LÍNEA CLÁSICA O DISEÑADOR</x:v>
      </x:c>
      <x:c r="D193" s="27" t="str"/>
      <x:c r="E193" s="28" t="str">
        <x:f>IF(ISNUMBER(D193),ROUND(D193*'AJUSTES'!$B$6,2),"")</x:f>
      </x:c>
      <x:c r="F193" s="28" t="str">
        <x:f>IF(ISNUMBER(D193),ROUND(D193*'AJUSTES'!$B$7,2),"")</x:f>
      </x:c>
      <x:c r="G193" s="22" t="str"/>
      <x:c r="H193" s="22" t="str">
        <x:v>Excel TOP QUALITY filas 207</x:v>
      </x:c>
    </x:row>
    <x:row r="194" ht="25" customHeight="1">
      <x:c r="A194" s="22" t="str">
        <x:v>TQ-190</x:v>
      </x:c>
      <x:c r="B194" s="22" t="str">
        <x:v>Phantom</x:v>
      </x:c>
      <x:c r="C194" s="22" t="str">
        <x:v>LÍNEA CLÁSICA O DISEÑADOR</x:v>
      </x:c>
      <x:c r="D194" s="27" t="str"/>
      <x:c r="E194" s="28" t="str">
        <x:f>IF(ISNUMBER(D194),ROUND(D194*'AJUSTES'!$B$6,2),"")</x:f>
      </x:c>
      <x:c r="F194" s="28" t="str">
        <x:f>IF(ISNUMBER(D194),ROUND(D194*'AJUSTES'!$B$7,2),"")</x:f>
      </x:c>
      <x:c r="G194" s="22" t="str"/>
      <x:c r="H194" s="22" t="str">
        <x:v>Excel TOP QUALITY filas 208</x:v>
      </x:c>
    </x:row>
    <x:row r="195" ht="25" customHeight="1">
      <x:c r="A195" s="22" t="str">
        <x:v>TQ-191</x:v>
      </x:c>
      <x:c r="B195" s="22" t="str">
        <x:v>Black Xs L'Cess</x:v>
      </x:c>
      <x:c r="C195" s="22" t="str">
        <x:v>LÍNEA CLÁSICA O DISEÑADOR</x:v>
      </x:c>
      <x:c r="D195" s="27" t="str"/>
      <x:c r="E195" s="28" t="str">
        <x:f>IF(ISNUMBER(D195),ROUND(D195*'AJUSTES'!$B$6,2),"")</x:f>
      </x:c>
      <x:c r="F195" s="28" t="str">
        <x:f>IF(ISNUMBER(D195),ROUND(D195*'AJUSTES'!$B$7,2),"")</x:f>
      </x:c>
      <x:c r="G195" s="22" t="str"/>
      <x:c r="H195" s="22" t="str">
        <x:v>Excel TOP QUALITY filas 209</x:v>
      </x:c>
    </x:row>
    <x:row r="196" ht="25" customHeight="1">
      <x:c r="A196" s="22" t="str">
        <x:v>TQ-192</x:v>
      </x:c>
      <x:c r="B196" s="22" t="str">
        <x:v>Black Xs</x:v>
      </x:c>
      <x:c r="C196" s="22" t="str">
        <x:v>LÍNEA CLÁSICA O DISEÑADOR</x:v>
      </x:c>
      <x:c r="D196" s="27" t="str"/>
      <x:c r="E196" s="28" t="str">
        <x:f>IF(ISNUMBER(D196),ROUND(D196*'AJUSTES'!$B$6,2),"")</x:f>
      </x:c>
      <x:c r="F196" s="28" t="str">
        <x:f>IF(ISNUMBER(D196),ROUND(D196*'AJUSTES'!$B$7,2),"")</x:f>
      </x:c>
      <x:c r="G196" s="22" t="str"/>
      <x:c r="H196" s="22" t="str">
        <x:v>Excel TOP QUALITY filas 210</x:v>
      </x:c>
    </x:row>
    <x:row r="197" ht="25" customHeight="1">
      <x:c r="A197" s="22" t="str">
        <x:v>TQ-193</x:v>
      </x:c>
      <x:c r="B197" s="22" t="str">
        <x:v>Pure Xs</x:v>
      </x:c>
      <x:c r="C197" s="22" t="str">
        <x:v>LÍNEA CLÁSICA O DISEÑADOR</x:v>
      </x:c>
      <x:c r="D197" s="27" t="str"/>
      <x:c r="E197" s="28" t="str">
        <x:f>IF(ISNUMBER(D197),ROUND(D197*'AJUSTES'!$B$6,2),"")</x:f>
      </x:c>
      <x:c r="F197" s="28" t="str">
        <x:f>IF(ISNUMBER(D197),ROUND(D197*'AJUSTES'!$B$7,2),"")</x:f>
      </x:c>
      <x:c r="G197" s="22" t="str"/>
      <x:c r="H197" s="22" t="str">
        <x:v>Excel TOP QUALITY filas 211</x:v>
      </x:c>
    </x:row>
    <x:row r="198" ht="25" customHeight="1">
      <x:c r="A198" s="22" t="str">
        <x:v>TQ-194</x:v>
      </x:c>
      <x:c r="B198" s="22" t="str">
        <x:v>Santal 33</x:v>
      </x:c>
      <x:c r="C198" s="22" t="str">
        <x:v>LÍNEA CLÁSICA O DISEÑADOR</x:v>
      </x:c>
      <x:c r="D198" s="27" t="n">
        <x:v>12</x:v>
      </x:c>
      <x:c r="E198" s="28" t="n">
        <x:f>IF(ISNUMBER(D198),ROUND(D198*'AJUSTES'!$B$6,2),"")</x:f>
        <x:v>20.4</x:v>
      </x:c>
      <x:c r="F198" s="28" t="n">
        <x:f>IF(ISNUMBER(D198),ROUND(D198*'AJUSTES'!$B$7,2),"")</x:f>
        <x:v>26.4</x:v>
      </x:c>
      <x:c r="G198" s="22" t="str"/>
      <x:c r="H198" s="22" t="str">
        <x:v>Excel TOP QUALITY filas 214</x:v>
      </x:c>
    </x:row>
    <x:row r="199" ht="25" customHeight="1">
      <x:c r="A199" s="22" t="str">
        <x:v>TQ-195</x:v>
      </x:c>
      <x:c r="B199" s="22" t="str">
        <x:v>Sauvage Dior</x:v>
      </x:c>
      <x:c r="C199" s="22" t="str">
        <x:v>LÍNEA CLÁSICA O DISEÑADOR</x:v>
      </x:c>
      <x:c r="D199" s="27" t="n">
        <x:v>12</x:v>
      </x:c>
      <x:c r="E199" s="28" t="n">
        <x:f>IF(ISNUMBER(D199),ROUND(D199*'AJUSTES'!$B$6,2),"")</x:f>
        <x:v>20.4</x:v>
      </x:c>
      <x:c r="F199" s="28" t="n">
        <x:f>IF(ISNUMBER(D199),ROUND(D199*'AJUSTES'!$B$7,2),"")</x:f>
        <x:v>26.4</x:v>
      </x:c>
      <x:c r="G199" s="22" t="str"/>
      <x:c r="H199" s="22" t="str">
        <x:v>Excel TOP QUALITY filas 215</x:v>
      </x:c>
    </x:row>
  </x:sheetData>
  <x:conditionalFormatting sqref="D5:D199">
    <x:cfRule type="containsBlanks" dxfId="0" priority="1"/>
  </x:conditionalFormatting>
  <x:pageMargins left="0.7" right="0.7" top="0.75" bottom="0.75" header="0.3" footer="0.3"/>
  <x:tableParts count="1">
    <x:tablePart xmlns:r="http://schemas.openxmlformats.org/officeDocument/2006/relationships" r:id="R8fe12a94e9524efa"/>
  </x:tableParts>
</x:worksheet>
</file>

<file path=xl/worksheets/sheet7.xml><?xml version="1.0" encoding="utf-8"?>
<x:worksheet xmlns:x="http://schemas.openxmlformats.org/spreadsheetml/2006/main">
  <x:sheetPr>
    <x:tabColor rgb="FFBCC9CF"/>
  </x:sheetPr>
  <x:sheetViews>
    <x:sheetView showGridLines="0" workbookViewId="0">
      <x:pane xSplit="1" ySplit="4" topLeftCell="B5" activePane="bottomRight" state="frozen"/>
    </x:sheetView>
  </x:sheetViews>
  <x:sheetFormatPr defaultRowHeight="15"/>
  <x:cols>
    <x:col min="1" max="1" width="13" hidden="0" customWidth="1"/>
    <x:col min="2" max="2" width="53" hidden="0" customWidth="1"/>
    <x:col min="3" max="3" width="20" hidden="0" customWidth="1"/>
    <x:col min="4" max="4" width="18" hidden="0" customWidth="1"/>
    <x:col min="5" max="5" width="20" hidden="0" customWidth="1"/>
    <x:col min="6" max="6" width="44" hidden="0" customWidth="1"/>
  </x:cols>
  <x:sheetData>
    <x:row r="1">
      <x:c r="A1" s="22"/>
      <x:c r="B1" s="22"/>
      <x:c r="C1" s="22"/>
      <x:c r="D1" s="22"/>
      <x:c r="E1" s="22"/>
      <x:c r="F1" s="22"/>
    </x:row>
    <x:row r="2">
      <x:c r="A2" s="23" t="str">
        <x:v>Precios · Originales</x:v>
      </x:c>
      <x:c r="B2" s="22"/>
      <x:c r="C2" s="22"/>
      <x:c r="D2" s="22"/>
      <x:c r="E2" s="22"/>
      <x:c r="F2" s="22"/>
    </x:row>
    <x:row r="3">
      <x:c r="A3" s="24" t="str">
        <x:v>Precio original editable. Descuentos Team y Revendedor configurables en AJUSTES.</x:v>
      </x:c>
      <x:c r="B3" s="22"/>
      <x:c r="C3" s="22"/>
      <x:c r="D3" s="22"/>
      <x:c r="E3" s="22"/>
      <x:c r="F3" s="22"/>
    </x:row>
    <x:row r="4" ht="34" customHeight="1">
      <x:c r="A4" s="11" t="str">
        <x:v>Código</x:v>
      </x:c>
      <x:c r="B4" s="11" t="str">
        <x:v>Producto original</x:v>
      </x:c>
      <x:c r="C4" s="11" t="str">
        <x:v>Precio original $</x:v>
      </x:c>
      <x:c r="D4" s="11" t="str">
        <x:v>Team $</x:v>
      </x:c>
      <x:c r="E4" s="11" t="str">
        <x:v>Revendedor $</x:v>
      </x:c>
      <x:c r="F4" s="11" t="str">
        <x:v>Fuente</x:v>
      </x:c>
    </x:row>
    <x:row r="5" ht="25" customHeight="1">
      <x:c r="A5" s="22" t="str">
        <x:v>OR-001</x:v>
      </x:c>
      <x:c r="B5" s="22" t="str">
        <x:v>A.Banderas, black seduction</x:v>
      </x:c>
      <x:c r="C5" s="27" t="n">
        <x:v>50</x:v>
      </x:c>
      <x:c r="D5" s="28" t="n">
        <x:f>IF(ISNUMBER(C5),ROUND(C5*(1-'AJUSTES'!$B$8),2),"")</x:f>
        <x:v>37.5</x:v>
      </x:c>
      <x:c r="E5" s="28" t="n">
        <x:f>IF(ISNUMBER(C5),ROUND(C5*(1-'AJUSTES'!$B$9),2),"")</x:f>
        <x:v>42.5</x:v>
      </x:c>
      <x:c r="F5" s="22" t="str">
        <x:v>Excel ORIGINALES!fila 4</x:v>
      </x:c>
    </x:row>
    <x:row r="6" ht="25" customHeight="1">
      <x:c r="A6" s="22" t="str">
        <x:v>OR-002</x:v>
      </x:c>
      <x:c r="B6" s="22" t="str">
        <x:v>A. Banderas, Blue seduction</x:v>
      </x:c>
      <x:c r="C6" s="27" t="n">
        <x:v>50</x:v>
      </x:c>
      <x:c r="D6" s="28" t="n">
        <x:f>IF(ISNUMBER(C6),ROUND(C6*(1-'AJUSTES'!$B$8),2),"")</x:f>
        <x:v>37.5</x:v>
      </x:c>
      <x:c r="E6" s="28" t="n">
        <x:f>IF(ISNUMBER(C6),ROUND(C6*(1-'AJUSTES'!$B$9),2),"")</x:f>
        <x:v>42.5</x:v>
      </x:c>
      <x:c r="F6" s="22" t="str">
        <x:v>Excel ORIGINALES!fila 5</x:v>
      </x:c>
    </x:row>
    <x:row r="7" ht="25" customHeight="1">
      <x:c r="A7" s="22" t="str">
        <x:v>OR-003</x:v>
      </x:c>
      <x:c r="B7" s="22" t="str">
        <x:v>A. Banderas, The Golden secret</x:v>
      </x:c>
      <x:c r="C7" s="27" t="n">
        <x:v>50</x:v>
      </x:c>
      <x:c r="D7" s="28" t="n">
        <x:f>IF(ISNUMBER(C7),ROUND(C7*(1-'AJUSTES'!$B$8),2),"")</x:f>
        <x:v>37.5</x:v>
      </x:c>
      <x:c r="E7" s="28" t="n">
        <x:f>IF(ISNUMBER(C7),ROUND(C7*(1-'AJUSTES'!$B$9),2),"")</x:f>
        <x:v>42.5</x:v>
      </x:c>
      <x:c r="F7" s="22" t="str">
        <x:v>Excel ORIGINALES!fila 6</x:v>
      </x:c>
    </x:row>
    <x:row r="8" ht="25" customHeight="1">
      <x:c r="A8" s="22" t="str">
        <x:v>OR-004</x:v>
      </x:c>
      <x:c r="B8" s="22" t="str">
        <x:v>A. Banderas the icon</x:v>
      </x:c>
      <x:c r="C8" s="27" t="n">
        <x:v>50</x:v>
      </x:c>
      <x:c r="D8" s="28" t="n">
        <x:f>IF(ISNUMBER(C8),ROUND(C8*(1-'AJUSTES'!$B$8),2),"")</x:f>
        <x:v>37.5</x:v>
      </x:c>
      <x:c r="E8" s="28" t="n">
        <x:f>IF(ISNUMBER(C8),ROUND(C8*(1-'AJUSTES'!$B$9),2),"")</x:f>
        <x:v>42.5</x:v>
      </x:c>
      <x:c r="F8" s="22" t="str">
        <x:v>Excel ORIGINALES!fila 7</x:v>
      </x:c>
    </x:row>
    <x:row r="9" ht="25" customHeight="1">
      <x:c r="A9" s="22" t="str">
        <x:v>OR-005</x:v>
      </x:c>
      <x:c r="B9" s="22" t="str">
        <x:v>A. Banderas The Icon (Black)</x:v>
      </x:c>
      <x:c r="C9" s="27" t="n">
        <x:v>50</x:v>
      </x:c>
      <x:c r="D9" s="28" t="n">
        <x:f>IF(ISNUMBER(C9),ROUND(C9*(1-'AJUSTES'!$B$8),2),"")</x:f>
        <x:v>37.5</x:v>
      </x:c>
      <x:c r="E9" s="28" t="n">
        <x:f>IF(ISNUMBER(C9),ROUND(C9*(1-'AJUSTES'!$B$9),2),"")</x:f>
        <x:v>42.5</x:v>
      </x:c>
      <x:c r="F9" s="22" t="str">
        <x:v>Excel ORIGINALES!fila 8</x:v>
      </x:c>
    </x:row>
    <x:row r="10" ht="25" customHeight="1">
      <x:c r="A10" s="22" t="str">
        <x:v>OR-006</x:v>
      </x:c>
      <x:c r="B10" s="22" t="str">
        <x:v>Afnan, 9pm</x:v>
      </x:c>
      <x:c r="C10" s="27" t="n">
        <x:v>67</x:v>
      </x:c>
      <x:c r="D10" s="28" t="n">
        <x:f>IF(ISNUMBER(C10),ROUND(C10*(1-'AJUSTES'!$B$8),2),"")</x:f>
        <x:v>50.25</x:v>
      </x:c>
      <x:c r="E10" s="28" t="n">
        <x:f>IF(ISNUMBER(C10),ROUND(C10*(1-'AJUSTES'!$B$9),2),"")</x:f>
        <x:v>56.95</x:v>
      </x:c>
      <x:c r="F10" s="22" t="str">
        <x:v>Excel ORIGINALES!fila 9</x:v>
      </x:c>
    </x:row>
    <x:row r="11" ht="25" customHeight="1">
      <x:c r="A11" s="22" t="str">
        <x:v>OR-007</x:v>
      </x:c>
      <x:c r="B11" s="22" t="str">
        <x:v>Ariana grande, CLOUD</x:v>
      </x:c>
      <x:c r="C11" s="27" t="n">
        <x:v>120</x:v>
      </x:c>
      <x:c r="D11" s="28" t="n">
        <x:f>IF(ISNUMBER(C11),ROUND(C11*(1-'AJUSTES'!$B$8),2),"")</x:f>
        <x:v>90</x:v>
      </x:c>
      <x:c r="E11" s="28" t="n">
        <x:f>IF(ISNUMBER(C11),ROUND(C11*(1-'AJUSTES'!$B$9),2),"")</x:f>
        <x:v>102</x:v>
      </x:c>
      <x:c r="F11" s="22" t="str">
        <x:v>Excel ORIGINALES!fila 10</x:v>
      </x:c>
    </x:row>
    <x:row r="12" ht="25" customHeight="1">
      <x:c r="A12" s="22" t="str">
        <x:v>OR-008</x:v>
      </x:c>
      <x:c r="B12" s="22" t="str">
        <x:v>Armaf, club de nuit iconic</x:v>
      </x:c>
      <x:c r="C12" s="27" t="n">
        <x:v>93</x:v>
      </x:c>
      <x:c r="D12" s="28" t="n">
        <x:f>IF(ISNUMBER(C12),ROUND(C12*(1-'AJUSTES'!$B$8),2),"")</x:f>
        <x:v>69.75</x:v>
      </x:c>
      <x:c r="E12" s="28" t="n">
        <x:f>IF(ISNUMBER(C12),ROUND(C12*(1-'AJUSTES'!$B$9),2),"")</x:f>
        <x:v>79.05</x:v>
      </x:c>
      <x:c r="F12" s="22" t="str">
        <x:v>Excel ORIGINALES!fila 11</x:v>
      </x:c>
    </x:row>
    <x:row r="13" ht="25" customHeight="1">
      <x:c r="A13" s="22" t="str">
        <x:v>OR-009</x:v>
      </x:c>
      <x:c r="B13" s="22" t="str">
        <x:v>Armaf, Club de nuit intense man</x:v>
      </x:c>
      <x:c r="C13" s="27" t="n">
        <x:v>68</x:v>
      </x:c>
      <x:c r="D13" s="28" t="n">
        <x:f>IF(ISNUMBER(C13),ROUND(C13*(1-'AJUSTES'!$B$8),2),"")</x:f>
        <x:v>51</x:v>
      </x:c>
      <x:c r="E13" s="28" t="n">
        <x:f>IF(ISNUMBER(C13),ROUND(C13*(1-'AJUSTES'!$B$9),2),"")</x:f>
        <x:v>57.8</x:v>
      </x:c>
      <x:c r="F13" s="22" t="str">
        <x:v>Excel ORIGINALES!fila 12</x:v>
      </x:c>
    </x:row>
    <x:row r="14" ht="25" customHeight="1">
      <x:c r="A14" s="22" t="str">
        <x:v>OR-010</x:v>
      </x:c>
      <x:c r="B14" s="22" t="str">
        <x:v>Armaf, Club de nuit Urban man</x:v>
      </x:c>
      <x:c r="C14" s="27" t="n">
        <x:v>75</x:v>
      </x:c>
      <x:c r="D14" s="28" t="n">
        <x:f>IF(ISNUMBER(C14),ROUND(C14*(1-'AJUSTES'!$B$8),2),"")</x:f>
        <x:v>56.25</x:v>
      </x:c>
      <x:c r="E14" s="28" t="n">
        <x:f>IF(ISNUMBER(C14),ROUND(C14*(1-'AJUSTES'!$B$9),2),"")</x:f>
        <x:v>63.75</x:v>
      </x:c>
      <x:c r="F14" s="22" t="str">
        <x:v>Excel ORIGINALES!fila 13</x:v>
      </x:c>
    </x:row>
    <x:row r="15" ht="25" customHeight="1">
      <x:c r="A15" s="22" t="str">
        <x:v>OR-011</x:v>
      </x:c>
      <x:c r="B15" s="22" t="str">
        <x:v>Armaf, club de nuit woman</x:v>
      </x:c>
      <x:c r="C15" s="27" t="n">
        <x:v>66</x:v>
      </x:c>
      <x:c r="D15" s="28" t="n">
        <x:f>IF(ISNUMBER(C15),ROUND(C15*(1-'AJUSTES'!$B$8),2),"")</x:f>
        <x:v>49.5</x:v>
      </x:c>
      <x:c r="E15" s="28" t="n">
        <x:f>IF(ISNUMBER(C15),ROUND(C15*(1-'AJUSTES'!$B$9),2),"")</x:f>
        <x:v>56.1</x:v>
      </x:c>
      <x:c r="F15" s="22" t="str">
        <x:v>Excel ORIGINALES!fila 14</x:v>
      </x:c>
    </x:row>
    <x:row r="16" ht="25" customHeight="1">
      <x:c r="A16" s="22" t="str">
        <x:v>OR-012</x:v>
      </x:c>
      <x:c r="B16" s="22" t="str">
        <x:v>Armaf, Odyssey marshmallow</x:v>
      </x:c>
      <x:c r="C16" s="27" t="n">
        <x:v>72</x:v>
      </x:c>
      <x:c r="D16" s="28" t="n">
        <x:f>IF(ISNUMBER(C16),ROUND(C16*(1-'AJUSTES'!$B$8),2),"")</x:f>
        <x:v>54</x:v>
      </x:c>
      <x:c r="E16" s="28" t="n">
        <x:f>IF(ISNUMBER(C16),ROUND(C16*(1-'AJUSTES'!$B$9),2),"")</x:f>
        <x:v>61.2</x:v>
      </x:c>
      <x:c r="F16" s="22" t="str">
        <x:v>Excel ORIGINALES!fila 15</x:v>
      </x:c>
    </x:row>
    <x:row r="17" ht="25" customHeight="1">
      <x:c r="A17" s="22" t="str">
        <x:v>OR-013</x:v>
      </x:c>
      <x:c r="B17" s="22" t="str">
        <x:v>Benetton, Colors cold</x:v>
      </x:c>
      <x:c r="C17" s="27" t="n">
        <x:v>32</x:v>
      </x:c>
      <x:c r="D17" s="28" t="n">
        <x:f>IF(ISNUMBER(C17),ROUND(C17*(1-'AJUSTES'!$B$8),2),"")</x:f>
        <x:v>24</x:v>
      </x:c>
      <x:c r="E17" s="28" t="n">
        <x:f>IF(ISNUMBER(C17),ROUND(C17*(1-'AJUSTES'!$B$9),2),"")</x:f>
        <x:v>27.2</x:v>
      </x:c>
      <x:c r="F17" s="22" t="str">
        <x:v>Excel ORIGINALES!fila 16</x:v>
      </x:c>
    </x:row>
    <x:row r="18" ht="25" customHeight="1">
      <x:c r="A18" s="22" t="str">
        <x:v>OR-014</x:v>
      </x:c>
      <x:c r="B18" s="22" t="str">
        <x:v>Benetton, Colors Man black</x:v>
      </x:c>
      <x:c r="C18" s="27" t="n">
        <x:v>43</x:v>
      </x:c>
      <x:c r="D18" s="28" t="n">
        <x:f>IF(ISNUMBER(C18),ROUND(C18*(1-'AJUSTES'!$B$8),2),"")</x:f>
        <x:v>32.25</x:v>
      </x:c>
      <x:c r="E18" s="28" t="n">
        <x:f>IF(ISNUMBER(C18),ROUND(C18*(1-'AJUSTES'!$B$9),2),"")</x:f>
        <x:v>36.55</x:v>
      </x:c>
      <x:c r="F18" s="22" t="str">
        <x:v>Excel ORIGINALES!fila 17</x:v>
      </x:c>
    </x:row>
    <x:row r="19" ht="25" customHeight="1">
      <x:c r="A19" s="22" t="str">
        <x:v>OR-015</x:v>
      </x:c>
      <x:c r="B19" s="22" t="str">
        <x:v>Benetton, Colors Man Blue</x:v>
      </x:c>
      <x:c r="C19" s="27" t="n">
        <x:v>45</x:v>
      </x:c>
      <x:c r="D19" s="28" t="n">
        <x:f>IF(ISNUMBER(C19),ROUND(C19*(1-'AJUSTES'!$B$8),2),"")</x:f>
        <x:v>33.75</x:v>
      </x:c>
      <x:c r="E19" s="28" t="n">
        <x:f>IF(ISNUMBER(C19),ROUND(C19*(1-'AJUSTES'!$B$9),2),"")</x:f>
        <x:v>38.25</x:v>
      </x:c>
      <x:c r="F19" s="22" t="str">
        <x:v>Excel ORIGINALES!fila 18</x:v>
      </x:c>
    </x:row>
    <x:row r="20" ht="25" customHeight="1">
      <x:c r="A20" s="22" t="str">
        <x:v>OR-016</x:v>
      </x:c>
      <x:c r="B20" s="22" t="str">
        <x:v>Benetton, Colors TDH</x:v>
      </x:c>
      <x:c r="C20" s="27" t="n">
        <x:v>30</x:v>
      </x:c>
      <x:c r="D20" s="28" t="n">
        <x:f>IF(ISNUMBER(C20),ROUND(C20*(1-'AJUSTES'!$B$8),2),"")</x:f>
        <x:v>22.5</x:v>
      </x:c>
      <x:c r="E20" s="28" t="n">
        <x:f>IF(ISNUMBER(C20),ROUND(C20*(1-'AJUSTES'!$B$9),2),"")</x:f>
        <x:v>25.5</x:v>
      </x:c>
      <x:c r="F20" s="22" t="str">
        <x:v>Excel ORIGINALES!fila 19</x:v>
      </x:c>
    </x:row>
    <x:row r="21" ht="25" customHeight="1">
      <x:c r="A21" s="22" t="str">
        <x:v>OR-017</x:v>
      </x:c>
      <x:c r="B21" s="22" t="str">
        <x:v>Benetton, Colors woman rose</x:v>
      </x:c>
      <x:c r="C21" s="27" t="n">
        <x:v>45</x:v>
      </x:c>
      <x:c r="D21" s="28" t="n">
        <x:f>IF(ISNUMBER(C21),ROUND(C21*(1-'AJUSTES'!$B$8),2),"")</x:f>
        <x:v>33.75</x:v>
      </x:c>
      <x:c r="E21" s="28" t="n">
        <x:f>IF(ISNUMBER(C21),ROUND(C21*(1-'AJUSTES'!$B$9),2),"")</x:f>
        <x:v>38.25</x:v>
      </x:c>
      <x:c r="F21" s="22" t="str">
        <x:v>Excel ORIGINALES!fila 20</x:v>
      </x:c>
    </x:row>
    <x:row r="22" ht="25" customHeight="1">
      <x:c r="A22" s="22" t="str">
        <x:v>OR-018</x:v>
      </x:c>
      <x:c r="B22" s="22" t="str">
        <x:v>Bharara King</x:v>
      </x:c>
      <x:c r="C22" s="27" t="n">
        <x:v>119</x:v>
      </x:c>
      <x:c r="D22" s="28" t="n">
        <x:f>IF(ISNUMBER(C22),ROUND(C22*(1-'AJUSTES'!$B$8),2),"")</x:f>
        <x:v>89.25</x:v>
      </x:c>
      <x:c r="E22" s="28" t="n">
        <x:f>IF(ISNUMBER(C22),ROUND(C22*(1-'AJUSTES'!$B$9),2),"")</x:f>
        <x:v>101.15</x:v>
      </x:c>
      <x:c r="F22" s="22" t="str">
        <x:v>Excel ORIGINALES!fila 21</x:v>
      </x:c>
    </x:row>
    <x:row r="23" ht="25" customHeight="1">
      <x:c r="A23" s="22" t="str">
        <x:v>OR-019</x:v>
      </x:c>
      <x:c r="B23" s="22" t="str">
        <x:v>Bharara queen</x:v>
      </x:c>
      <x:c r="C23" s="27" t="n">
        <x:v>119</x:v>
      </x:c>
      <x:c r="D23" s="28" t="n">
        <x:f>IF(ISNUMBER(C23),ROUND(C23*(1-'AJUSTES'!$B$8),2),"")</x:f>
        <x:v>89.25</x:v>
      </x:c>
      <x:c r="E23" s="28" t="n">
        <x:f>IF(ISNUMBER(C23),ROUND(C23*(1-'AJUSTES'!$B$9),2),"")</x:f>
        <x:v>101.15</x:v>
      </x:c>
      <x:c r="F23" s="22" t="str">
        <x:v>Excel ORIGINALES!fila 22</x:v>
      </x:c>
    </x:row>
    <x:row r="24" ht="25" customHeight="1">
      <x:c r="A24" s="22" t="str">
        <x:v>OR-020</x:v>
      </x:c>
      <x:c r="B24" s="22" t="str">
        <x:v>CKIN2U</x:v>
      </x:c>
      <x:c r="C24" s="27" t="n">
        <x:v>56</x:v>
      </x:c>
      <x:c r="D24" s="28" t="n">
        <x:f>IF(ISNUMBER(C24),ROUND(C24*(1-'AJUSTES'!$B$8),2),"")</x:f>
        <x:v>42</x:v>
      </x:c>
      <x:c r="E24" s="28" t="n">
        <x:f>IF(ISNUMBER(C24),ROUND(C24*(1-'AJUSTES'!$B$9),2),"")</x:f>
        <x:v>47.6</x:v>
      </x:c>
      <x:c r="F24" s="22" t="str">
        <x:v>Excel ORIGINALES!fila 23</x:v>
      </x:c>
    </x:row>
    <x:row r="25" ht="25" customHeight="1">
      <x:c r="A25" s="22" t="str">
        <x:v>OR-021</x:v>
      </x:c>
      <x:c r="B25" s="22" t="str">
        <x:v>CKIN2U men</x:v>
      </x:c>
      <x:c r="C25" s="27" t="n">
        <x:v>56</x:v>
      </x:c>
      <x:c r="D25" s="28" t="n">
        <x:f>IF(ISNUMBER(C25),ROUND(C25*(1-'AJUSTES'!$B$8),2),"")</x:f>
        <x:v>42</x:v>
      </x:c>
      <x:c r="E25" s="28" t="n">
        <x:f>IF(ISNUMBER(C25),ROUND(C25*(1-'AJUSTES'!$B$9),2),"")</x:f>
        <x:v>47.6</x:v>
      </x:c>
      <x:c r="F25" s="22" t="str">
        <x:v>Excel ORIGINALES!fila 24</x:v>
      </x:c>
    </x:row>
    <x:row r="26" ht="25" customHeight="1">
      <x:c r="A26" s="22" t="str">
        <x:v>OR-022</x:v>
      </x:c>
      <x:c r="B26" s="22" t="str">
        <x:v>Guess night</x:v>
      </x:c>
      <x:c r="C26" s="27" t="n">
        <x:v>56</x:v>
      </x:c>
      <x:c r="D26" s="28" t="n">
        <x:f>IF(ISNUMBER(C26),ROUND(C26*(1-'AJUSTES'!$B$8),2),"")</x:f>
        <x:v>42</x:v>
      </x:c>
      <x:c r="E26" s="28" t="n">
        <x:f>IF(ISNUMBER(C26),ROUND(C26*(1-'AJUSTES'!$B$9),2),"")</x:f>
        <x:v>47.6</x:v>
      </x:c>
      <x:c r="F26" s="22" t="str">
        <x:v>Excel ORIGINALES!fila 25</x:v>
      </x:c>
    </x:row>
    <x:row r="27" ht="25" customHeight="1">
      <x:c r="A27" s="22" t="str">
        <x:v>OR-023</x:v>
      </x:c>
      <x:c r="B27" s="22" t="str">
        <x:v>Guess seductive Homme Blue</x:v>
      </x:c>
      <x:c r="C27" s="27" t="n">
        <x:v>56</x:v>
      </x:c>
      <x:c r="D27" s="28" t="n">
        <x:f>IF(ISNUMBER(C27),ROUND(C27*(1-'AJUSTES'!$B$8),2),"")</x:f>
        <x:v>42</x:v>
      </x:c>
      <x:c r="E27" s="28" t="n">
        <x:f>IF(ISNUMBER(C27),ROUND(C27*(1-'AJUSTES'!$B$9),2),"")</x:f>
        <x:v>47.6</x:v>
      </x:c>
      <x:c r="F27" s="22" t="str">
        <x:v>Excel ORIGINALES!fila 26</x:v>
      </x:c>
    </x:row>
    <x:row r="28" ht="25" customHeight="1">
      <x:c r="A28" s="22" t="str">
        <x:v>OR-024</x:v>
      </x:c>
      <x:c r="B28" s="22" t="str">
        <x:v>Issey Miyake Duo Nomade</x:v>
      </x:c>
      <x:c r="C28" s="27" t="n">
        <x:v>110</x:v>
      </x:c>
      <x:c r="D28" s="28" t="n">
        <x:f>IF(ISNUMBER(C28),ROUND(C28*(1-'AJUSTES'!$B$8),2),"")</x:f>
        <x:v>82.5</x:v>
      </x:c>
      <x:c r="E28" s="28" t="n">
        <x:f>IF(ISNUMBER(C28),ROUND(C28*(1-'AJUSTES'!$B$9),2),"")</x:f>
        <x:v>93.5</x:v>
      </x:c>
      <x:c r="F28" s="22" t="str">
        <x:v>Excel ORIGINALES!fila 27</x:v>
      </x:c>
    </x:row>
    <x:row r="29" ht="25" customHeight="1">
      <x:c r="A29" s="22" t="str">
        <x:v>OR-025</x:v>
      </x:c>
      <x:c r="B29" s="22" t="str">
        <x:v>Lattafa Yara Elixir</x:v>
      </x:c>
      <x:c r="C29" s="27" t="n">
        <x:v>77</x:v>
      </x:c>
      <x:c r="D29" s="28" t="n">
        <x:f>IF(ISNUMBER(C29),ROUND(C29*(1-'AJUSTES'!$B$8),2),"")</x:f>
        <x:v>57.75</x:v>
      </x:c>
      <x:c r="E29" s="28" t="n">
        <x:f>IF(ISNUMBER(C29),ROUND(C29*(1-'AJUSTES'!$B$9),2),"")</x:f>
        <x:v>65.45</x:v>
      </x:c>
      <x:c r="F29" s="22" t="str">
        <x:v>Excel ORIGINALES!fila 28</x:v>
      </x:c>
    </x:row>
    <x:row r="30" ht="25" customHeight="1">
      <x:c r="A30" s="22" t="str">
        <x:v>OR-026</x:v>
      </x:c>
      <x:c r="B30" s="22" t="str">
        <x:v>Nautica CLASSIC</x:v>
      </x:c>
      <x:c r="C30" s="27" t="n">
        <x:v>45</x:v>
      </x:c>
      <x:c r="D30" s="28" t="n">
        <x:f>IF(ISNUMBER(C30),ROUND(C30*(1-'AJUSTES'!$B$8),2),"")</x:f>
        <x:v>33.75</x:v>
      </x:c>
      <x:c r="E30" s="28" t="n">
        <x:f>IF(ISNUMBER(C30),ROUND(C30*(1-'AJUSTES'!$B$9),2),"")</x:f>
        <x:v>38.25</x:v>
      </x:c>
      <x:c r="F30" s="22" t="str">
        <x:v>Excel ORIGINALES!fila 29</x:v>
      </x:c>
    </x:row>
    <x:row r="31" ht="25" customHeight="1">
      <x:c r="A31" s="22" t="str">
        <x:v>OR-027</x:v>
      </x:c>
      <x:c r="B31" s="22" t="str">
        <x:v>Nautica Pure Blue</x:v>
      </x:c>
      <x:c r="C31" s="27" t="n">
        <x:v>45</x:v>
      </x:c>
      <x:c r="D31" s="28" t="n">
        <x:f>IF(ISNUMBER(C31),ROUND(C31*(1-'AJUSTES'!$B$8),2),"")</x:f>
        <x:v>33.75</x:v>
      </x:c>
      <x:c r="E31" s="28" t="n">
        <x:f>IF(ISNUMBER(C31),ROUND(C31*(1-'AJUSTES'!$B$9),2),"")</x:f>
        <x:v>38.25</x:v>
      </x:c>
      <x:c r="F31" s="22" t="str">
        <x:v>Excel ORIGINALES!fila 30</x:v>
      </x:c>
    </x:row>
    <x:row r="32" ht="25" customHeight="1">
      <x:c r="A32" s="22" t="str">
        <x:v>OR-028</x:v>
      </x:c>
      <x:c r="B32" s="22" t="str">
        <x:v>Nautica voyage sport</x:v>
      </x:c>
      <x:c r="C32" s="27" t="n">
        <x:v>45</x:v>
      </x:c>
      <x:c r="D32" s="28" t="n">
        <x:f>IF(ISNUMBER(C32),ROUND(C32*(1-'AJUSTES'!$B$8),2),"")</x:f>
        <x:v>33.75</x:v>
      </x:c>
      <x:c r="E32" s="28" t="n">
        <x:f>IF(ISNUMBER(C32),ROUND(C32*(1-'AJUSTES'!$B$9),2),"")</x:f>
        <x:v>38.25</x:v>
      </x:c>
      <x:c r="F32" s="22" t="str">
        <x:v>Excel ORIGINALES!fila 31</x:v>
      </x:c>
    </x:row>
    <x:row r="33" ht="25" customHeight="1">
      <x:c r="A33" s="22" t="str">
        <x:v>OR-029</x:v>
      </x:c>
      <x:c r="B33" s="22" t="str">
        <x:v>ODYSSEY MANDARIN SKY ELIXIR DE</x:v>
      </x:c>
      <x:c r="C33" s="27" t="n">
        <x:v>124</x:v>
      </x:c>
      <x:c r="D33" s="28" t="n">
        <x:f>IF(ISNUMBER(C33),ROUND(C33*(1-'AJUSTES'!$B$8),2),"")</x:f>
        <x:v>93</x:v>
      </x:c>
      <x:c r="E33" s="28" t="n">
        <x:f>IF(ISNUMBER(C33),ROUND(C33*(1-'AJUSTES'!$B$9),2),"")</x:f>
        <x:v>105.4</x:v>
      </x:c>
      <x:c r="F33" s="22" t="str">
        <x:v>Excel ORIGINALES!fila 32</x:v>
      </x:c>
    </x:row>
    <x:row r="34" ht="25" customHeight="1">
      <x:c r="A34" s="22" t="str">
        <x:v>OR-030</x:v>
      </x:c>
      <x:c r="B34" s="22" t="str">
        <x:v>ODYSSEY MANDARIN SKY, SET</x:v>
      </x:c>
      <x:c r="C34" s="27" t="n">
        <x:v>114</x:v>
      </x:c>
      <x:c r="D34" s="28" t="n">
        <x:f>IF(ISNUMBER(C34),ROUND(C34*(1-'AJUSTES'!$B$8),2),"")</x:f>
        <x:v>85.5</x:v>
      </x:c>
      <x:c r="E34" s="28" t="n">
        <x:f>IF(ISNUMBER(C34),ROUND(C34*(1-'AJUSTES'!$B$9),2),"")</x:f>
        <x:v>96.9</x:v>
      </x:c>
      <x:c r="F34" s="22" t="str">
        <x:v>Excel ORIGINALES!fila 33</x:v>
      </x:c>
    </x:row>
    <x:row r="35" ht="25" customHeight="1">
      <x:c r="A35" s="22" t="str">
        <x:v>OR-031</x:v>
      </x:c>
      <x:c r="B35" s="22" t="str">
        <x:v>Odyssey Mega 200ml</x:v>
      </x:c>
      <x:c r="C35" s="27" t="n">
        <x:v>98</x:v>
      </x:c>
      <x:c r="D35" s="28" t="n">
        <x:f>IF(ISNUMBER(C35),ROUND(C35*(1-'AJUSTES'!$B$8),2),"")</x:f>
        <x:v>73.5</x:v>
      </x:c>
      <x:c r="E35" s="28" t="n">
        <x:f>IF(ISNUMBER(C35),ROUND(C35*(1-'AJUSTES'!$B$9),2),"")</x:f>
        <x:v>83.3</x:v>
      </x:c>
      <x:c r="F35" s="22" t="str">
        <x:v>Excel ORIGINALES!fila 34</x:v>
      </x:c>
    </x:row>
    <x:row r="36" ht="25" customHeight="1">
      <x:c r="A36" s="22" t="str">
        <x:v>OR-032</x:v>
      </x:c>
      <x:c r="B36" s="22" t="str">
        <x:v>Paris Hilton, justo Me</x:v>
      </x:c>
      <x:c r="C36" s="27" t="n">
        <x:v>59</x:v>
      </x:c>
      <x:c r="D36" s="28" t="n">
        <x:f>IF(ISNUMBER(C36),ROUND(C36*(1-'AJUSTES'!$B$8),2),"")</x:f>
        <x:v>44.25</x:v>
      </x:c>
      <x:c r="E36" s="28" t="n">
        <x:f>IF(ISNUMBER(C36),ROUND(C36*(1-'AJUSTES'!$B$9),2),"")</x:f>
        <x:v>50.15</x:v>
      </x:c>
      <x:c r="F36" s="22" t="str">
        <x:v>Excel ORIGINALES!fila 35</x:v>
      </x:c>
    </x:row>
    <x:row r="37" ht="25" customHeight="1">
      <x:c r="A37" s="22" t="str">
        <x:v>OR-033</x:v>
      </x:c>
      <x:c r="B37" s="22" t="str">
        <x:v>Paris Hilton w</x:v>
      </x:c>
      <x:c r="C37" s="27" t="n">
        <x:v>61</x:v>
      </x:c>
      <x:c r="D37" s="28" t="n">
        <x:f>IF(ISNUMBER(C37),ROUND(C37*(1-'AJUSTES'!$B$8),2),"")</x:f>
        <x:v>45.75</x:v>
      </x:c>
      <x:c r="E37" s="28" t="n">
        <x:f>IF(ISNUMBER(C37),ROUND(C37*(1-'AJUSTES'!$B$9),2),"")</x:f>
        <x:v>51.85</x:v>
      </x:c>
      <x:c r="F37" s="22" t="str">
        <x:v>Excel ORIGINALES!fila 36</x:v>
      </x:c>
    </x:row>
  </x:sheetData>
  <x:pageMargins left="0.7" right="0.7" top="0.75" bottom="0.75" header="0.3" footer="0.3"/>
  <x:tableParts count="1">
    <x:tablePart xmlns:r="http://schemas.openxmlformats.org/officeDocument/2006/relationships" r:id="Rb28e9010a83d4b11"/>
  </x:tableParts>
</x:worksheet>
</file>

<file path=xl/worksheets/sheet8.xml><?xml version="1.0" encoding="utf-8"?>
<x:worksheet xmlns:x="http://schemas.openxmlformats.org/spreadsheetml/2006/main">
  <x:sheetPr>
    <x:tabColor rgb="FFBCC9CF"/>
  </x:sheetPr>
  <x:sheetViews>
    <x:sheetView showGridLines="0" workbookViewId="0">
      <x:pane xSplit="1" ySplit="4" topLeftCell="B5" activePane="bottomRight" state="frozen"/>
    </x:sheetView>
  </x:sheetViews>
  <x:sheetFormatPr defaultRowHeight="15"/>
  <x:cols>
    <x:col min="1" max="1" width="15" hidden="0" customWidth="1"/>
    <x:col min="2" max="2" width="25" hidden="0" customWidth="1"/>
    <x:col min="3" max="3" width="19" hidden="0" customWidth="1"/>
    <x:col min="4" max="4" width="76" hidden="0" customWidth="1"/>
    <x:col min="5" max="5" width="68" hidden="0" customWidth="1"/>
    <x:col min="6" max="6" width="49" hidden="0" customWidth="1"/>
    <x:col min="7" max="7" width="20" hidden="0" customWidth="1"/>
    <x:col min="8" max="8" width="65" hidden="0" customWidth="1"/>
  </x:cols>
  <x:sheetData>
    <x:row r="1">
      <x:c r="A1" s="22"/>
      <x:c r="B1" s="22"/>
      <x:c r="C1" s="22"/>
      <x:c r="D1" s="22"/>
      <x:c r="E1" s="22"/>
      <x:c r="F1" s="22"/>
      <x:c r="G1" s="22"/>
      <x:c r="H1" s="22"/>
    </x:row>
    <x:row r="2">
      <x:c r="A2" s="23" t="str">
        <x:v>Datos que requieren confirmación</x:v>
      </x:c>
      <x:c r="B2" s="22"/>
      <x:c r="C2" s="22"/>
      <x:c r="D2" s="22"/>
      <x:c r="E2" s="22"/>
      <x:c r="F2" s="22"/>
      <x:c r="G2" s="22"/>
      <x:c r="H2" s="22"/>
    </x:row>
    <x:row r="3">
      <x:c r="A3" s="24" t="str">
        <x:v>Corrija la fila indicada en VENTAS, PAGOS o GASTOS Y COMPRAS y luego marque la revisión como resuelta.</x:v>
      </x:c>
      <x:c r="B3" s="22"/>
      <x:c r="C3" s="22"/>
      <x:c r="D3" s="22"/>
      <x:c r="E3" s="22"/>
      <x:c r="F3" s="22"/>
      <x:c r="G3" s="22"/>
      <x:c r="H3" s="22"/>
    </x:row>
    <x:row r="4" ht="34" customHeight="1">
      <x:c r="A4" s="11" t="str">
        <x:v>ID revisión</x:v>
      </x:c>
      <x:c r="B4" s="11" t="str">
        <x:v>Tema</x:v>
      </x:c>
      <x:c r="C4" s="11" t="str">
        <x:v>Registro</x:v>
      </x:c>
      <x:c r="D4" s="11" t="str">
        <x:v>Hallazgo</x:v>
      </x:c>
      <x:c r="E4" s="11" t="str">
        <x:v>Acción necesaria</x:v>
      </x:c>
      <x:c r="F4" s="11" t="str">
        <x:v>Fuente</x:v>
      </x:c>
      <x:c r="G4" s="11" t="str">
        <x:v>Estado revisión</x:v>
      </x:c>
      <x:c r="H4" s="11" t="str">
        <x:v>Respuesta / soporte</x:v>
      </x:c>
    </x:row>
    <x:row r="5" ht="62" customHeight="1">
      <x:c r="A5" s="22" t="str">
        <x:v>R-001</x:v>
      </x:c>
      <x:c r="B5" s="22" t="str">
        <x:v>Fecha</x:v>
      </x:c>
      <x:c r="C5" s="22" t="str">
        <x:v>V-006</x:v>
      </x:c>
      <x:c r="D5" s="32" t="str">
        <x:v>Fecha en Excel: 22/06/2025. Los cobros son de julio de 2026; falta confirmar el año de la venta.</x:v>
      </x:c>
      <x:c r="E5" s="32" t="str">
        <x:v>Confirmar fecha de venta</x:v>
      </x:c>
      <x:c r="F5" s="32" t="str">
        <x:v>Excel VENTAS!fila 9</x:v>
      </x:c>
      <x:c r="G5" s="26" t="str">
        <x:v>Pendiente</x:v>
      </x:c>
      <x:c r="H5" s="26" t="str"/>
    </x:row>
    <x:row r="6" ht="62" customHeight="1">
      <x:c r="A6" s="22" t="str">
        <x:v>R-002</x:v>
      </x:c>
      <x:c r="B6" s="22" t="str">
        <x:v>Costo</x:v>
      </x:c>
      <x:c r="C6" s="22" t="str">
        <x:v>V-013</x:v>
      </x:c>
      <x:c r="D6" s="32" t="str">
        <x:v>Costo 51 mayor al precio 30; catálogo Top Quality y compra muestran Club de Nuit a 12.</x:v>
      </x:c>
      <x:c r="E6" s="32" t="str">
        <x:v>Confirmar costo histórico; no se usa costo de Originales</x:v>
      </x:c>
      <x:c r="F6" s="32" t="str">
        <x:v>Excel VENTAS!fila 16</x:v>
      </x:c>
      <x:c r="G6" s="26" t="str">
        <x:v>Pendiente</x:v>
      </x:c>
      <x:c r="H6" s="26" t="str"/>
    </x:row>
    <x:row r="7" ht="62" customHeight="1">
      <x:c r="A7" s="22" t="str">
        <x:v>R-003</x:v>
      </x:c>
      <x:c r="B7" s="22" t="str">
        <x:v>Fecha</x:v>
      </x:c>
      <x:c r="C7" s="22" t="str">
        <x:v>V-052</x:v>
      </x:c>
      <x:c r="D7" s="32" t="str">
        <x:v>Fecha original 26/08/0206 corregida a 26/08/2026 con la ficha del chat.</x:v>
      </x:c>
      <x:c r="E7" s="32" t="str">
        <x:v>Corrección aplicada mediante cruce con el chat.</x:v>
      </x:c>
      <x:c r="F7" s="32" t="str">
        <x:v>Excel VENTAS!fila 55</x:v>
      </x:c>
      <x:c r="G7" s="26" t="str">
        <x:v>Resuelto</x:v>
      </x:c>
      <x:c r="H7" s="26" t="str"/>
    </x:row>
    <x:row r="8" ht="62" customHeight="1">
      <x:c r="A8" s="22" t="str">
        <x:v>R-004</x:v>
      </x:c>
      <x:c r="B8" s="22" t="str">
        <x:v>Precio</x:v>
      </x:c>
      <x:c r="C8" s="22" t="str">
        <x:v>V-030</x:v>
      </x:c>
      <x:c r="D8" s="32" t="str">
        <x:v>Excel 22; ficha chat 30.0. Se conserva precio de la ficha del chat.</x:v>
      </x:c>
      <x:c r="E8" s="32" t="str">
        <x:v>Confirmar precio acordado</x:v>
      </x:c>
      <x:c r="F8" s="32" t="str">
        <x:v>M-0162</x:v>
      </x:c>
      <x:c r="G8" s="26" t="str">
        <x:v>Pendiente</x:v>
      </x:c>
      <x:c r="H8" s="26" t="str"/>
    </x:row>
    <x:row r="9" ht="62" customHeight="1">
      <x:c r="A9" s="22" t="str">
        <x:v>R-005</x:v>
      </x:c>
      <x:c r="B9" s="22" t="str">
        <x:v>Venta</x:v>
      </x:c>
      <x:c r="C9" s="22" t="str">
        <x:v>V-065</x:v>
      </x:c>
      <x:c r="D9" s="32" t="str">
        <x:v>Ficha con Issey Miyake y Acqua di Gio, y segunda ficha solo Acqua di Gio.</x:v>
      </x:c>
      <x:c r="E9" s="32" t="str">
        <x:v>Confirmar productos y precio de cada venta</x:v>
      </x:c>
      <x:c r="F9" s="32" t="str">
        <x:v>M-0213</x:v>
      </x:c>
      <x:c r="G9" s="26" t="str">
        <x:v>Pendiente</x:v>
      </x:c>
      <x:c r="H9" s="26" t="str"/>
    </x:row>
    <x:row r="10" ht="62" customHeight="1">
      <x:c r="A10" s="22" t="str">
        <x:v>R-006</x:v>
      </x:c>
      <x:c r="B10" s="22" t="str">
        <x:v>Venta</x:v>
      </x:c>
      <x:c r="C10" s="22" t="str">
        <x:v>V-066</x:v>
      </x:c>
      <x:c r="D10" s="32" t="str">
        <x:v>Ficha con Issey Miyake y Acqua di Gio, y segunda ficha solo Acqua di Gio.</x:v>
      </x:c>
      <x:c r="E10" s="32" t="str">
        <x:v>Confirmar productos y precio de cada venta</x:v>
      </x:c>
      <x:c r="F10" s="32" t="str">
        <x:v>M-0214</x:v>
      </x:c>
      <x:c r="G10" s="26" t="str">
        <x:v>Pendiente</x:v>
      </x:c>
      <x:c r="H10" s="26" t="str"/>
    </x:row>
    <x:row r="11" ht="62" customHeight="1">
      <x:c r="A11" s="22" t="str">
        <x:v>R-007</x:v>
      </x:c>
      <x:c r="B11" s="22" t="str">
        <x:v>Precio o inicial</x:v>
      </x:c>
      <x:c r="C11" s="22" t="str">
        <x:v>V-069</x:v>
      </x:c>
      <x:c r="D11" s="32" t="str">
        <x:v>Importe 13.0 bajo Inicial; no permite distinguir precio total y anticipo.</x:v>
      </x:c>
      <x:c r="E11" s="32" t="str">
        <x:v>Completar precio y confirmar inicial antes de cobrar saldo</x:v>
      </x:c>
      <x:c r="F11" s="32" t="str">
        <x:v>M-0418</x:v>
      </x:c>
      <x:c r="G11" s="26" t="str">
        <x:v>Pendiente</x:v>
      </x:c>
      <x:c r="H11" s="26" t="str"/>
    </x:row>
    <x:row r="12" ht="62" customHeight="1">
      <x:c r="A12" s="22" t="str">
        <x:v>R-008</x:v>
      </x:c>
      <x:c r="B12" s="22" t="str">
        <x:v>Precio o inicial</x:v>
      </x:c>
      <x:c r="C12" s="22" t="str">
        <x:v>V-071</x:v>
      </x:c>
      <x:c r="D12" s="32" t="str">
        <x:v>Importe 10.0 bajo Inicial; no permite distinguir precio total y anticipo.</x:v>
      </x:c>
      <x:c r="E12" s="32" t="str">
        <x:v>Completar precio y confirmar inicial antes de cobrar saldo</x:v>
      </x:c>
      <x:c r="F12" s="32" t="str">
        <x:v>M-0443</x:v>
      </x:c>
      <x:c r="G12" s="26" t="str">
        <x:v>Pendiente</x:v>
      </x:c>
      <x:c r="H12" s="26" t="str"/>
    </x:row>
    <x:row r="13" ht="62" customHeight="1">
      <x:c r="A13" s="22" t="str">
        <x:v>R-009</x:v>
      </x:c>
      <x:c r="B13" s="22" t="str">
        <x:v>Precio o inicial</x:v>
      </x:c>
      <x:c r="C13" s="22" t="str">
        <x:v>V-072</x:v>
      </x:c>
      <x:c r="D13" s="32" t="str">
        <x:v>Importe 26.0 bajo Inicial; no permite distinguir precio total y anticipo.</x:v>
      </x:c>
      <x:c r="E13" s="32" t="str">
        <x:v>Completar precio y confirmar inicial antes de cobrar saldo</x:v>
      </x:c>
      <x:c r="F13" s="32" t="str">
        <x:v>M-0444</x:v>
      </x:c>
      <x:c r="G13" s="26" t="str">
        <x:v>Pendiente</x:v>
      </x:c>
      <x:c r="H13" s="26" t="str"/>
    </x:row>
    <x:row r="14" ht="62" customHeight="1">
      <x:c r="A14" s="22" t="str">
        <x:v>R-010</x:v>
      </x:c>
      <x:c r="B14" s="22" t="str">
        <x:v>Precio o inicial</x:v>
      </x:c>
      <x:c r="C14" s="22" t="str">
        <x:v>V-073</x:v>
      </x:c>
      <x:c r="D14" s="32" t="str">
        <x:v>Importe 26.0 bajo Inicial; no permite distinguir precio total y anticipo.</x:v>
      </x:c>
      <x:c r="E14" s="32" t="str">
        <x:v>Completar precio y confirmar inicial antes de cobrar saldo</x:v>
      </x:c>
      <x:c r="F14" s="32" t="str">
        <x:v>M-0445</x:v>
      </x:c>
      <x:c r="G14" s="26" t="str">
        <x:v>Pendiente</x:v>
      </x:c>
      <x:c r="H14" s="26" t="str"/>
    </x:row>
    <x:row r="15" ht="62" customHeight="1">
      <x:c r="A15" s="22" t="str">
        <x:v>R-011</x:v>
      </x:c>
      <x:c r="B15" s="22" t="str">
        <x:v>Precio o inicial</x:v>
      </x:c>
      <x:c r="C15" s="22" t="str">
        <x:v>V-074</x:v>
      </x:c>
      <x:c r="D15" s="32" t="str">
        <x:v>Importe 26.0 bajo Inicial; no permite distinguir precio total y anticipo.</x:v>
      </x:c>
      <x:c r="E15" s="32" t="str">
        <x:v>Completar precio y confirmar inicial antes de cobrar saldo</x:v>
      </x:c>
      <x:c r="F15" s="32" t="str">
        <x:v>M-0446</x:v>
      </x:c>
      <x:c r="G15" s="26" t="str">
        <x:v>Pendiente</x:v>
      </x:c>
      <x:c r="H15" s="26" t="str"/>
    </x:row>
    <x:row r="16" ht="62" customHeight="1">
      <x:c r="A16" s="22" t="str">
        <x:v>R-012</x:v>
      </x:c>
      <x:c r="B16" s="22" t="str">
        <x:v>Precio o inicial</x:v>
      </x:c>
      <x:c r="C16" s="22" t="str">
        <x:v>V-075</x:v>
      </x:c>
      <x:c r="D16" s="32" t="str">
        <x:v>Importe 33.0 bajo Inicial; no permite distinguir precio total y anticipo.</x:v>
      </x:c>
      <x:c r="E16" s="32" t="str">
        <x:v>Completar precio y confirmar inicial antes de cobrar saldo</x:v>
      </x:c>
      <x:c r="F16" s="32" t="str">
        <x:v>M-0447</x:v>
      </x:c>
      <x:c r="G16" s="26" t="str">
        <x:v>Pendiente</x:v>
      </x:c>
      <x:c r="H16" s="26" t="str"/>
    </x:row>
    <x:row r="17" ht="62" customHeight="1">
      <x:c r="A17" s="22" t="str">
        <x:v>R-013</x:v>
      </x:c>
      <x:c r="B17" s="22" t="str">
        <x:v>Precio</x:v>
      </x:c>
      <x:c r="C17" s="22" t="str">
        <x:v>V-009</x:v>
      </x:c>
      <x:c r="D17" s="32" t="str">
        <x:v>Excel y ficha inicial indican 30. Mensaje siguiente dice venta 35 BCV, sin cliente. Dos pagos de 15 y cierre 2/2 respaldan 30.</x:v>
      </x:c>
      <x:c r="E17" s="32" t="str">
        <x:v>Confirmar a qué venta corresponde la corrección de 35</x:v>
      </x:c>
      <x:c r="F17" s="32" t="str">
        <x:v>Excel VENTAS!fila 12; M-0004</x:v>
      </x:c>
      <x:c r="G17" s="26" t="str">
        <x:v>Pendiente</x:v>
      </x:c>
      <x:c r="H17" s="26" t="str"/>
    </x:row>
    <x:row r="18" ht="62" customHeight="1">
      <x:c r="A18" s="22" t="str">
        <x:v>R-014</x:v>
      </x:c>
      <x:c r="B18" s="22" t="str">
        <x:v>Venta</x:v>
      </x:c>
      <x:c r="C18" s="22" t="str">
        <x:v>V-041</x:v>
      </x:c>
      <x:c r="D18" s="32" t="str">
        <x:v>Excel: Issey Miyake 15/08. Chat: 212 del 10/08. Podrían ser dos ventas o una corrección.</x:v>
      </x:c>
      <x:c r="E18" s="32" t="str">
        <x:v>Confirmar si son operaciones distintas</x:v>
      </x:c>
      <x:c r="F18" s="32" t="str">
        <x:v>Excel VENTAS!fila 44</x:v>
      </x:c>
      <x:c r="G18" s="26" t="str">
        <x:v>Pendiente</x:v>
      </x:c>
      <x:c r="H18" s="26" t="str"/>
    </x:row>
    <x:row r="19" ht="62" customHeight="1">
      <x:c r="A19" s="22" t="str">
        <x:v>R-015</x:v>
      </x:c>
      <x:c r="B19" s="22" t="str">
        <x:v>Venta</x:v>
      </x:c>
      <x:c r="C19" s="22" t="str">
        <x:v>V-064</x:v>
      </x:c>
      <x:c r="D19" s="32" t="str">
        <x:v>Excel: Issey Miyake 15/08. Chat: 212 del 10/08. Podrían ser dos ventas o una corrección.</x:v>
      </x:c>
      <x:c r="E19" s="32" t="str">
        <x:v>Confirmar si son operaciones distintas</x:v>
      </x:c>
      <x:c r="F19" s="32" t="str">
        <x:v>M-0179</x:v>
      </x:c>
      <x:c r="G19" s="26" t="str">
        <x:v>Pendiente</x:v>
      </x:c>
      <x:c r="H19" s="26" t="str"/>
    </x:row>
    <x:row r="20" ht="62" customHeight="1">
      <x:c r="A20" s="22" t="str">
        <x:v>R-016</x:v>
      </x:c>
      <x:c r="B20" s="22" t="str">
        <x:v>Importe Bs</x:v>
      </x:c>
      <x:c r="C20" s="22" t="str">
        <x:v>P-007</x:v>
      </x:c>
      <x:c r="D20" s="32" t="str">
        <x:v>CONTROL 11823; chat 11822.06; misma referencia 9373. Se conserva CONTROL.</x:v>
      </x:c>
      <x:c r="E20" s="32" t="str">
        <x:v>Verificar comprobante por diferencia de centavos</x:v>
      </x:c>
      <x:c r="F20" s="32" t="str">
        <x:v>M-0035</x:v>
      </x:c>
      <x:c r="G20" s="26" t="str">
        <x:v>Pendiente</x:v>
      </x:c>
      <x:c r="H20" s="26" t="str"/>
    </x:row>
    <x:row r="21" ht="62" customHeight="1">
      <x:c r="A21" s="22" t="str">
        <x:v>R-017</x:v>
      </x:c>
      <x:c r="B21" s="22" t="str">
        <x:v>Importe Bs</x:v>
      </x:c>
      <x:c r="C21" s="22" t="str">
        <x:v>P-029</x:v>
      </x:c>
      <x:c r="D21" s="32" t="str">
        <x:v>CONTROL 8854.58; chat 8854.48; misma referencia 1826. Se conserva CONTROL.</x:v>
      </x:c>
      <x:c r="E21" s="32" t="str">
        <x:v>Verificar comprobante por diferencia de centavos</x:v>
      </x:c>
      <x:c r="F21" s="32" t="str">
        <x:v>M-0122</x:v>
      </x:c>
      <x:c r="G21" s="26" t="str">
        <x:v>Pendiente</x:v>
      </x:c>
      <x:c r="H21" s="26" t="str"/>
    </x:row>
    <x:row r="22" ht="62" customHeight="1">
      <x:c r="A22" s="22" t="str">
        <x:v>R-018</x:v>
      </x:c>
      <x:c r="B22" s="22" t="str">
        <x:v>Inicial</x:v>
      </x:c>
      <x:c r="C22" s="22" t="str">
        <x:v>V-004</x:v>
      </x:c>
      <x:c r="D22" s="32" t="str">
        <x:v>Inicial 19.0; cobros explícitos conocidos 42.0; precio 42.</x:v>
      </x:c>
      <x:c r="E22" s="32" t="str">
        <x:v>Confirmar si la inicial ya está incluida o el precio es incorrecto</x:v>
      </x:c>
      <x:c r="F22" s="32" t="str">
        <x:v>Excel VENTAS!fila 7; M-0034</x:v>
      </x:c>
      <x:c r="G22" s="26" t="str">
        <x:v>Pendiente</x:v>
      </x:c>
      <x:c r="H22" s="26" t="str"/>
    </x:row>
    <x:row r="23" ht="62" customHeight="1">
      <x:c r="A23" s="22" t="str">
        <x:v>R-019</x:v>
      </x:c>
      <x:c r="B23" s="22" t="str">
        <x:v>Inicial</x:v>
      </x:c>
      <x:c r="C23" s="22" t="str">
        <x:v>V-012</x:v>
      </x:c>
      <x:c r="D23" s="32" t="str">
        <x:v>Inicial 11.0; cobros explícitos conocidos 22.0; precio 22.</x:v>
      </x:c>
      <x:c r="E23" s="32" t="str">
        <x:v>Confirmar si la inicial ya está incluida o el precio es incorrecto</x:v>
      </x:c>
      <x:c r="F23" s="32" t="str">
        <x:v>Excel VENTAS!fila 15; M-0014</x:v>
      </x:c>
      <x:c r="G23" s="26" t="str">
        <x:v>Pendiente</x:v>
      </x:c>
      <x:c r="H23" s="26" t="str"/>
    </x:row>
    <x:row r="24" ht="62" customHeight="1">
      <x:c r="A24" s="22" t="str">
        <x:v>R-020</x:v>
      </x:c>
      <x:c r="B24" s="22" t="str">
        <x:v>Inicial</x:v>
      </x:c>
      <x:c r="C24" s="22" t="str">
        <x:v>V-015</x:v>
      </x:c>
      <x:c r="D24" s="32" t="str">
        <x:v>Inicial 12.0; cobros explícitos conocidos 24.0; precio 24.</x:v>
      </x:c>
      <x:c r="E24" s="32" t="str">
        <x:v>Confirmar si la inicial ya está incluida o el precio es incorrecto</x:v>
      </x:c>
      <x:c r="F24" s="32" t="str">
        <x:v>Excel VENTAS!fila 18; M-0019</x:v>
      </x:c>
      <x:c r="G24" s="26" t="str">
        <x:v>Pendiente</x:v>
      </x:c>
      <x:c r="H24" s="26" t="str"/>
    </x:row>
    <x:row r="25" ht="62" customHeight="1">
      <x:c r="A25" s="22" t="str">
        <x:v>R-021</x:v>
      </x:c>
      <x:c r="B25" s="22" t="str">
        <x:v>Pago sin producto</x:v>
      </x:c>
      <x:c r="C25" s="22" t="str">
        <x:v>P-076</x:v>
      </x:c>
      <x:c r="D25" s="32" t="str">
        <x:v>Anderson: aviso de 7$; tiene Acqua di Gio y Yara Tous.</x:v>
      </x:c>
      <x:c r="E25" s="32" t="str">
        <x:v>Confirmar producto para aplicar cobro</x:v>
      </x:c>
      <x:c r="F25" s="32" t="str">
        <x:v>M-0358</x:v>
      </x:c>
      <x:c r="G25" s="26" t="str">
        <x:v>Pendiente</x:v>
      </x:c>
      <x:c r="H25" s="26" t="str"/>
    </x:row>
    <x:row r="26" ht="62" customHeight="1">
      <x:c r="A26" s="22" t="str">
        <x:v>R-022</x:v>
      </x:c>
      <x:c r="B26" s="22" t="str">
        <x:v>Aviso de importe</x:v>
      </x:c>
      <x:c r="C26" s="22" t="str">
        <x:v>P-077</x:v>
      </x:c>
      <x:c r="D26" s="32" t="str">
        <x:v>Ricardo 10$</x:v>
      </x:c>
      <x:c r="E26" s="32" t="str">
        <x:v>Confirmar si es un pago nuevo y su operación</x:v>
      </x:c>
      <x:c r="F26" s="32" t="str">
        <x:v>M-0385</x:v>
      </x:c>
      <x:c r="G26" s="26" t="str">
        <x:v>Pendiente</x:v>
      </x:c>
      <x:c r="H26" s="26" t="str"/>
    </x:row>
    <x:row r="27" ht="62" customHeight="1">
      <x:c r="A27" s="22" t="str">
        <x:v>R-023</x:v>
      </x:c>
      <x:c r="B27" s="22" t="str">
        <x:v>Lote</x:v>
      </x:c>
      <x:c r="C27" s="22" t="str">
        <x:v>E-005</x:v>
      </x:c>
      <x:c r="D27" s="32" t="str">
        <x:v>Ítems 235.50; total 236.00; diferencia 0.50.</x:v>
      </x:c>
      <x:c r="E27" s="32" t="str">
        <x:v>Revisar detalle y total del proveedor</x:v>
      </x:c>
      <x:c r="F27" s="32" t="str">
        <x:v>Excel GASTOS Y COMPRAS!filas 13,14,15,16,17,18,19,20,21,22,23,24,25,26,27,28,29,30,31</x:v>
      </x:c>
      <x:c r="G27" s="26" t="str">
        <x:v>Pendiente</x:v>
      </x:c>
      <x:c r="H27" s="26" t="str"/>
    </x:row>
    <x:row r="28" ht="62" customHeight="1">
      <x:c r="A28" s="22" t="str">
        <x:v>R-024</x:v>
      </x:c>
      <x:c r="B28" s="22" t="str">
        <x:v>Fecha compra</x:v>
      </x:c>
      <x:c r="C28" s="22" t="str">
        <x:v>E-009</x:v>
      </x:c>
      <x:c r="D28" s="32" t="str">
        <x:v>Excel dice 12/06/2026. Pago proveedor y venta relacionados figuran en agosto.</x:v>
      </x:c>
      <x:c r="E28" s="32" t="str">
        <x:v>Confirmar si corresponde al 12/08/2026</x:v>
      </x:c>
      <x:c r="F28" s="32" t="str">
        <x:v>Excel GASTOS Y COMPRAS!filas 65</x:v>
      </x:c>
      <x:c r="G28" s="26" t="str">
        <x:v>Pendiente</x:v>
      </x:c>
      <x:c r="H28" s="26" t="str"/>
    </x:row>
    <x:row r="29" ht="62" customHeight="1">
      <x:c r="A29" s="22" t="str">
        <x:v>R-025</x:v>
      </x:c>
      <x:c r="B29" s="22" t="str">
        <x:v>Lote</x:v>
      </x:c>
      <x:c r="C29" s="22" t="str">
        <x:v>E-010</x:v>
      </x:c>
      <x:c r="D29" s="32" t="str">
        <x:v>Ítems 57.15; total 59.00; diferencia 1.85.</x:v>
      </x:c>
      <x:c r="E29" s="32" t="str">
        <x:v>Revisar detalle y total del proveedor</x:v>
      </x:c>
      <x:c r="F29" s="32" t="str">
        <x:v>Excel GASTOS Y COMPRAS!filas 68,69,70,71,72,73,74</x:v>
      </x:c>
      <x:c r="G29" s="26" t="str">
        <x:v>Pendiente</x:v>
      </x:c>
      <x:c r="H29" s="26" t="str"/>
    </x:row>
    <x:row r="30" ht="62" customHeight="1">
      <x:c r="A30" s="22" t="str">
        <x:v>R-026</x:v>
      </x:c>
      <x:c r="B30" s="22" t="str">
        <x:v>Monto gasto / compra</x:v>
      </x:c>
      <x:c r="C30" s="22" t="str">
        <x:v>E-014</x:v>
      </x:c>
      <x:c r="D30" s="32" t="str">
        <x:v>Mercancía sin detalle</x:v>
      </x:c>
      <x:c r="E30" s="32" t="str">
        <x:v>Completar monto y moneda</x:v>
      </x:c>
      <x:c r="F30" s="32" t="str">
        <x:v>Chat Compra mercancía 20/08</x:v>
      </x:c>
      <x:c r="G30" s="26" t="str">
        <x:v>Pendiente</x:v>
      </x:c>
      <x:c r="H30" s="26" t="str"/>
    </x:row>
    <x:row r="31" ht="62" customHeight="1">
      <x:c r="A31" s="22" t="str">
        <x:v>R-027</x:v>
      </x:c>
      <x:c r="B31" s="22" t="str">
        <x:v>Monto gasto / compra</x:v>
      </x:c>
      <x:c r="C31" s="22" t="str">
        <x:v>E-015</x:v>
      </x:c>
      <x:c r="D31" s="32" t="str">
        <x:v>Transporte</x:v>
      </x:c>
      <x:c r="E31" s="32" t="str">
        <x:v>Completar monto y moneda</x:v>
      </x:c>
      <x:c r="F31" s="32" t="str">
        <x:v>Chat Gasto transporte 20/08</x:v>
      </x:c>
      <x:c r="G31" s="26" t="str">
        <x:v>Pendiente</x:v>
      </x:c>
      <x:c r="H31" s="26" t="str"/>
    </x:row>
    <x:row r="32" ht="62" customHeight="1">
      <x:c r="A32" s="22" t="str">
        <x:v>R-028</x:v>
      </x:c>
      <x:c r="B32" s="22" t="str">
        <x:v>Monto gasto / compra</x:v>
      </x:c>
      <x:c r="C32" s="22" t="str">
        <x:v>E-020</x:v>
      </x:c>
      <x:c r="D32" s="32" t="str">
        <x:v>Chichas para personal</x:v>
      </x:c>
      <x:c r="E32" s="32" t="str">
        <x:v>Completar monto y moneda</x:v>
      </x:c>
      <x:c r="F32" s="32" t="str">
        <x:v>Chat solicitud 22/09 y confirmación 24/09</x:v>
      </x:c>
      <x:c r="G32" s="26" t="str">
        <x:v>Pendiente</x:v>
      </x:c>
      <x:c r="H32" s="26" t="str"/>
    </x:row>
    <x:row r="33" ht="62" customHeight="1">
      <x:c r="A33" s="22" t="str">
        <x:v>R-029</x:v>
      </x:c>
      <x:c r="B33" s="22" t="str">
        <x:v>Costo catálogo</x:v>
      </x:c>
      <x:c r="C33" s="22" t="str">
        <x:v>TQ-012</x:v>
      </x:c>
      <x:c r="D33" s="32" t="str">
        <x:v>Acqua di Gio: 9.5 y 12</x:v>
      </x:c>
      <x:c r="E33" s="32" t="str">
        <x:v>Confirmar costo vigente</x:v>
      </x:c>
      <x:c r="F33" s="32" t="str">
        <x:v>Excel TOP QUALITY filas 15, 179</x:v>
      </x:c>
      <x:c r="G33" s="26" t="str">
        <x:v>Pendiente</x:v>
      </x:c>
      <x:c r="H33" s="26" t="str"/>
    </x:row>
    <x:row r="34" ht="62" customHeight="1">
      <x:c r="A34" s="22" t="str">
        <x:v>R-030</x:v>
      </x:c>
      <x:c r="B34" s="22" t="str">
        <x:v>Costo catálogo</x:v>
      </x:c>
      <x:c r="C34" s="22" t="str">
        <x:v>TQ-008</x:v>
      </x:c>
      <x:c r="D34" s="32" t="str">
        <x:v>Tommy: 9.5 y 12</x:v>
      </x:c>
      <x:c r="E34" s="32" t="str">
        <x:v>Confirmar costo vigente</x:v>
      </x:c>
      <x:c r="F34" s="32" t="str">
        <x:v>Excel TOP QUALITY filas 11, 184</x:v>
      </x:c>
      <x:c r="G34" s="26" t="str">
        <x:v>Pendiente</x:v>
      </x:c>
      <x:c r="H34" s="26" t="str"/>
    </x:row>
    <x:row r="35" ht="62" customHeight="1">
      <x:c r="A35" s="22" t="str">
        <x:v>R-031</x:v>
      </x:c>
      <x:c r="B35" s="22" t="str">
        <x:v>Conversión de cobro</x:v>
      </x:c>
      <x:c r="C35" s="22" t="str">
        <x:v>P-001</x:v>
      </x:c>
      <x:c r="D35" s="32" t="str">
        <x:v>Cristhian / Very Good Girl: Bs 7466.56</x:v>
      </x:c>
      <x:c r="E35" s="32" t="str">
        <x:v>Completar equivalente o tasa histórica</x:v>
      </x:c>
      <x:c r="F35" s="32" t="str">
        <x:v>Excel CONTROL!F4</x:v>
      </x:c>
      <x:c r="G35" s="26" t="str">
        <x:v>Pendiente</x:v>
      </x:c>
      <x:c r="H35" s="26" t="str"/>
    </x:row>
    <x:row r="36" ht="62" customHeight="1">
      <x:c r="A36" s="22" t="str">
        <x:v>R-032</x:v>
      </x:c>
      <x:c r="B36" s="22" t="str">
        <x:v>Conversión de cobro</x:v>
      </x:c>
      <x:c r="C36" s="22" t="str">
        <x:v>P-002</x:v>
      </x:c>
      <x:c r="D36" s="32" t="str">
        <x:v>Cristhian / Very Good Girl: Bs 7835.67</x:v>
      </x:c>
      <x:c r="E36" s="32" t="str">
        <x:v>Completar equivalente o tasa histórica</x:v>
      </x:c>
      <x:c r="F36" s="32" t="str">
        <x:v>Excel CONTROL!I4; M-0033</x:v>
      </x:c>
      <x:c r="G36" s="26" t="str">
        <x:v>Pendiente</x:v>
      </x:c>
      <x:c r="H36" s="26" t="str"/>
    </x:row>
    <x:row r="37" ht="62" customHeight="1">
      <x:c r="A37" s="22" t="str">
        <x:v>R-033</x:v>
      </x:c>
      <x:c r="B37" s="22" t="str">
        <x:v>Conversión de cobro</x:v>
      </x:c>
      <x:c r="C37" s="22" t="str">
        <x:v>P-003</x:v>
      </x:c>
      <x:c r="D37" s="32" t="str">
        <x:v>Amarista / Khamrah Qahwa: Bs 13066.48</x:v>
      </x:c>
      <x:c r="E37" s="32" t="str">
        <x:v>Completar equivalente o tasa histórica</x:v>
      </x:c>
      <x:c r="F37" s="32" t="str">
        <x:v>Excel CONTROL!F5</x:v>
      </x:c>
      <x:c r="G37" s="26" t="str">
        <x:v>Pendiente</x:v>
      </x:c>
      <x:c r="H37" s="26" t="str"/>
    </x:row>
    <x:row r="38" ht="62" customHeight="1">
      <x:c r="A38" s="22" t="str">
        <x:v>R-034</x:v>
      </x:c>
      <x:c r="B38" s="22" t="str">
        <x:v>Conversión de cobro</x:v>
      </x:c>
      <x:c r="C38" s="22" t="str">
        <x:v>P-005</x:v>
      </x:c>
      <x:c r="D38" s="32" t="str">
        <x:v>Ángel / Bharara King: Bs 13066.48</x:v>
      </x:c>
      <x:c r="E38" s="32" t="str">
        <x:v>Completar equivalente o tasa histórica</x:v>
      </x:c>
      <x:c r="F38" s="32" t="str">
        <x:v>Excel CONTROL!F6</x:v>
      </x:c>
      <x:c r="G38" s="26" t="str">
        <x:v>Pendiente</x:v>
      </x:c>
      <x:c r="H38" s="26" t="str"/>
    </x:row>
    <x:row r="39" ht="62" customHeight="1">
      <x:c r="A39" s="22" t="str">
        <x:v>R-035</x:v>
      </x:c>
      <x:c r="B39" s="22" t="str">
        <x:v>Conversión de cobro</x:v>
      </x:c>
      <x:c r="C39" s="22" t="str">
        <x:v>P-028</x:v>
      </x:c>
      <x:c r="D39" s="32" t="str">
        <x:v>Reinel / 212 Nyc: Bs 18183</x:v>
      </x:c>
      <x:c r="E39" s="32" t="str">
        <x:v>Completar equivalente o tasa histórica</x:v>
      </x:c>
      <x:c r="F39" s="32" t="str">
        <x:v>Excel CONTROL!F18; M-0163</x:v>
      </x:c>
      <x:c r="G39" s="26" t="str">
        <x:v>Pendiente</x:v>
      </x:c>
      <x:c r="H39" s="26" t="str"/>
    </x:row>
    <x:row r="40" ht="62" customHeight="1">
      <x:c r="A40" s="22" t="str">
        <x:v>R-036</x:v>
      </x:c>
      <x:c r="B40" s="22" t="str">
        <x:v>Conversión de cobro</x:v>
      </x:c>
      <x:c r="C40" s="22" t="str">
        <x:v>P-066</x:v>
      </x:c>
      <x:c r="D40" s="32" t="str">
        <x:v>Landaeta / Asad: Bs 848.55</x:v>
      </x:c>
      <x:c r="E40" s="32" t="str">
        <x:v>Completar equivalente o tasa histórica</x:v>
      </x:c>
      <x:c r="F40" s="32" t="str">
        <x:v>M-0372</x:v>
      </x:c>
      <x:c r="G40" s="26" t="str">
        <x:v>Pendiente</x:v>
      </x:c>
      <x:c r="H40" s="26" t="str"/>
    </x:row>
    <x:row r="41" ht="62" customHeight="1">
      <x:c r="A41" s="22" t="str">
        <x:v>R-037</x:v>
      </x:c>
      <x:c r="B41" s="22" t="str">
        <x:v>Conversión de cobro</x:v>
      </x:c>
      <x:c r="C41" s="22" t="str">
        <x:v>P-067</x:v>
      </x:c>
      <x:c r="D41" s="32" t="str">
        <x:v>Landaeta / Cloud: Bs 12231.45</x:v>
      </x:c>
      <x:c r="E41" s="32" t="str">
        <x:v>Completar equivalente o tasa histórica</x:v>
      </x:c>
      <x:c r="F41" s="32" t="str">
        <x:v>M-0380</x:v>
      </x:c>
      <x:c r="G41" s="26" t="str">
        <x:v>Pendiente</x:v>
      </x:c>
      <x:c r="H41" s="26" t="str"/>
    </x:row>
    <x:row r="42" ht="62" customHeight="1">
      <x:c r="A42" s="22" t="str">
        <x:v>R-038</x:v>
      </x:c>
      <x:c r="B42" s="22" t="str">
        <x:v>Anulación sin destinatario</x:v>
      </x:c>
      <x:c r="C42" s="22" t="str">
        <x:v>V-020</x:v>
      </x:c>
      <x:c r="D42" s="32" t="str">
        <x:v>El 22/08 se pidió «Eliminar el Aqua di gio» sin indicar cliente. Hay varias ventas anteriores posibles.</x:v>
      </x:c>
      <x:c r="E42" s="32" t="str">
        <x:v>Confirmar a qué venta se refiere antes de reclamar saldo</x:v>
      </x:c>
      <x:c r="F42" s="32" t="str">
        <x:v>Chat 22/08 13:34</x:v>
      </x:c>
      <x:c r="G42" s="26" t="str">
        <x:v>Pendiente</x:v>
      </x:c>
      <x:c r="H42" s="26" t="str"/>
    </x:row>
    <x:row r="43" ht="62" customHeight="1">
      <x:c r="A43" s="22" t="str">
        <x:v>R-039</x:v>
      </x:c>
      <x:c r="B43" s="22" t="str">
        <x:v>Anulación sin destinatario</x:v>
      </x:c>
      <x:c r="C43" s="22" t="str">
        <x:v>V-023</x:v>
      </x:c>
      <x:c r="D43" s="32" t="str">
        <x:v>El 22/08 se pidió «Eliminar el Aqua di gio» sin indicar cliente. Hay varias ventas anteriores posibles.</x:v>
      </x:c>
      <x:c r="E43" s="32" t="str">
        <x:v>Confirmar a qué venta se refiere antes de reclamar saldo</x:v>
      </x:c>
      <x:c r="F43" s="32" t="str">
        <x:v>Chat 22/08 13:34</x:v>
      </x:c>
      <x:c r="G43" s="26" t="str">
        <x:v>Pendiente</x:v>
      </x:c>
      <x:c r="H43" s="26" t="str"/>
    </x:row>
    <x:row r="44" ht="62" customHeight="1">
      <x:c r="A44" s="22" t="str">
        <x:v>R-040</x:v>
      </x:c>
      <x:c r="B44" s="22" t="str">
        <x:v>Cobro por conciliar</x:v>
      </x:c>
      <x:c r="C44" s="22" t="str">
        <x:v>V-025</x:v>
      </x:c>
      <x:c r="D44" s="32" t="str">
        <x:v>Gregor declaró el 19/09 que las cuentas de sus clientes estaban pagadas, sin montos ni comprobantes por operación.</x:v>
      </x:c>
      <x:c r="E44" s="32" t="str">
        <x:v>Confirmar cobros y liquidación antes de reclamar deuda</x:v>
      </x:c>
      <x:c r="F44" s="32" t="str">
        <x:v>Excel VENTAS!fila 28; M-0155</x:v>
      </x:c>
      <x:c r="G44" s="26" t="str">
        <x:v>Pendiente</x:v>
      </x:c>
      <x:c r="H44" s="26" t="str"/>
    </x:row>
    <x:row r="45" ht="62" customHeight="1">
      <x:c r="A45" s="22" t="str">
        <x:v>R-041</x:v>
      </x:c>
      <x:c r="B45" s="22" t="str">
        <x:v>Cobro por conciliar</x:v>
      </x:c>
      <x:c r="C45" s="22" t="str">
        <x:v>V-029</x:v>
      </x:c>
      <x:c r="D45" s="32" t="str">
        <x:v>Gregor declaró el 19/09 que las cuentas de sus clientes estaban pagadas, sin montos ni comprobantes por operación.</x:v>
      </x:c>
      <x:c r="E45" s="32" t="str">
        <x:v>Confirmar cobros y liquidación antes de reclamar deuda</x:v>
      </x:c>
      <x:c r="F45" s="32" t="str">
        <x:v>Excel VENTAS!fila 32; M-0161</x:v>
      </x:c>
      <x:c r="G45" s="26" t="str">
        <x:v>Pendiente</x:v>
      </x:c>
      <x:c r="H45" s="26" t="str"/>
    </x:row>
    <x:row r="46" ht="62" customHeight="1">
      <x:c r="A46" s="22" t="str">
        <x:v>R-042</x:v>
      </x:c>
      <x:c r="B46" s="22" t="str">
        <x:v>Cobro por conciliar</x:v>
      </x:c>
      <x:c r="C46" s="22" t="str">
        <x:v>V-030</x:v>
      </x:c>
      <x:c r="D46" s="32" t="str">
        <x:v>Gregor declaró el 19/09 que las cuentas de sus clientes estaban pagadas, sin montos ni comprobantes por operación.</x:v>
      </x:c>
      <x:c r="E46" s="32" t="str">
        <x:v>Confirmar cobros y liquidación antes de reclamar deuda</x:v>
      </x:c>
      <x:c r="F46" s="32" t="str">
        <x:v>Excel VENTAS!fila 33; M-0162</x:v>
      </x:c>
      <x:c r="G46" s="26" t="str">
        <x:v>Pendiente</x:v>
      </x:c>
      <x:c r="H46" s="26" t="str"/>
    </x:row>
    <x:row r="47" ht="62" customHeight="1">
      <x:c r="A47" s="22" t="str">
        <x:v>R-043</x:v>
      </x:c>
      <x:c r="B47" s="22" t="str">
        <x:v>Cobro por conciliar</x:v>
      </x:c>
      <x:c r="C47" s="22" t="str">
        <x:v>V-033</x:v>
      </x:c>
      <x:c r="D47" s="32" t="str">
        <x:v>Gregor declaró el 19/09 que las cuentas de sus clientes estaban pagadas, sin montos ni comprobantes por operación.</x:v>
      </x:c>
      <x:c r="E47" s="32" t="str">
        <x:v>Confirmar cobros y liquidación antes de reclamar deuda</x:v>
      </x:c>
      <x:c r="F47" s="32" t="str">
        <x:v>Excel VENTAS!fila 36; M-0180</x:v>
      </x:c>
      <x:c r="G47" s="26" t="str">
        <x:v>Pendiente</x:v>
      </x:c>
      <x:c r="H47" s="26" t="str"/>
    </x:row>
    <x:row r="48" ht="62" customHeight="1">
      <x:c r="A48" s="22" t="str">
        <x:v>R-044</x:v>
      </x:c>
      <x:c r="B48" s="22" t="str">
        <x:v>Cobro por conciliar</x:v>
      </x:c>
      <x:c r="C48" s="22" t="str">
        <x:v>V-034</x:v>
      </x:c>
      <x:c r="D48" s="32" t="str">
        <x:v>Gregor declaró el 19/09 que las cuentas de sus clientes estaban pagadas, sin montos ni comprobantes por operación.</x:v>
      </x:c>
      <x:c r="E48" s="32" t="str">
        <x:v>Confirmar cobros y liquidación antes de reclamar deuda</x:v>
      </x:c>
      <x:c r="F48" s="32" t="str">
        <x:v>Excel VENTAS!fila 37; M-0181</x:v>
      </x:c>
      <x:c r="G48" s="26" t="str">
        <x:v>Pendiente</x:v>
      </x:c>
      <x:c r="H48" s="26" t="str"/>
    </x:row>
    <x:row r="49" ht="62" customHeight="1">
      <x:c r="A49" s="22" t="str">
        <x:v>R-045</x:v>
      </x:c>
      <x:c r="B49" s="22" t="str">
        <x:v>Anulación sin destinatario</x:v>
      </x:c>
      <x:c r="C49" s="22" t="str">
        <x:v>V-037</x:v>
      </x:c>
      <x:c r="D49" s="32" t="str">
        <x:v>El 22/08 se pidió «Eliminar el Aqua di gio» sin indicar cliente. Hay varias ventas anteriores posibles.</x:v>
      </x:c>
      <x:c r="E49" s="32" t="str">
        <x:v>Confirmar a qué venta se refiere antes de reclamar saldo</x:v>
      </x:c>
      <x:c r="F49" s="32" t="str">
        <x:v>Chat 22/08 13:34</x:v>
      </x:c>
      <x:c r="G49" s="26" t="str">
        <x:v>Pendiente</x:v>
      </x:c>
      <x:c r="H49" s="26" t="str"/>
    </x:row>
    <x:row r="50" ht="62" customHeight="1">
      <x:c r="A50" s="22" t="str">
        <x:v>R-046</x:v>
      </x:c>
      <x:c r="B50" s="22" t="str">
        <x:v>Cobro por conciliar</x:v>
      </x:c>
      <x:c r="C50" s="22" t="str">
        <x:v>V-040</x:v>
      </x:c>
      <x:c r="D50" s="32" t="str">
        <x:v>Gregor declaró el 19/09 que las cuentas de sus clientes estaban pagadas, sin montos ni comprobantes por operación.</x:v>
      </x:c>
      <x:c r="E50" s="32" t="str">
        <x:v>Confirmar cobros y liquidación antes de reclamar deuda</x:v>
      </x:c>
      <x:c r="F50" s="32" t="str">
        <x:v>Excel VENTAS!fila 43; M-0170</x:v>
      </x:c>
      <x:c r="G50" s="26" t="str">
        <x:v>Pendiente</x:v>
      </x:c>
      <x:c r="H50" s="26" t="str"/>
    </x:row>
    <x:row r="51" ht="62" customHeight="1">
      <x:c r="A51" s="22" t="str">
        <x:v>R-047</x:v>
      </x:c>
      <x:c r="B51" s="22" t="str">
        <x:v>Cobro por conciliar</x:v>
      </x:c>
      <x:c r="C51" s="22" t="str">
        <x:v>V-041</x:v>
      </x:c>
      <x:c r="D51" s="32" t="str">
        <x:v>Gregor declaró el 19/09 que las cuentas de sus clientes estaban pagadas, sin montos ni comprobantes por operación.</x:v>
      </x:c>
      <x:c r="E51" s="32" t="str">
        <x:v>Confirmar cobros y liquidación antes de reclamar deuda</x:v>
      </x:c>
      <x:c r="F51" s="32" t="str">
        <x:v>Excel VENTAS!fila 44</x:v>
      </x:c>
      <x:c r="G51" s="26" t="str">
        <x:v>Pendiente</x:v>
      </x:c>
      <x:c r="H51" s="26" t="str"/>
    </x:row>
    <x:row r="52" ht="62" customHeight="1">
      <x:c r="A52" s="22" t="str">
        <x:v>R-048</x:v>
      </x:c>
      <x:c r="B52" s="22" t="str">
        <x:v>Cobro por conciliar</x:v>
      </x:c>
      <x:c r="C52" s="22" t="str">
        <x:v>V-063</x:v>
      </x:c>
      <x:c r="D52" s="32" t="str">
        <x:v>Gregor declaró el 19/09 que las cuentas de sus clientes estaban pagadas, sin montos ni comprobantes por operación.</x:v>
      </x:c>
      <x:c r="E52" s="32" t="str">
        <x:v>Confirmar cobros y liquidación antes de reclamar deuda</x:v>
      </x:c>
      <x:c r="F52" s="32" t="str">
        <x:v>M-0109</x:v>
      </x:c>
      <x:c r="G52" s="26" t="str">
        <x:v>Pendiente</x:v>
      </x:c>
      <x:c r="H52" s="26" t="str"/>
    </x:row>
    <x:row r="53" ht="62" customHeight="1">
      <x:c r="A53" s="22" t="str">
        <x:v>R-049</x:v>
      </x:c>
      <x:c r="B53" s="22" t="str">
        <x:v>Cobro por conciliar</x:v>
      </x:c>
      <x:c r="C53" s="22" t="str">
        <x:v>V-064</x:v>
      </x:c>
      <x:c r="D53" s="32" t="str">
        <x:v>Gregor declaró el 19/09 que las cuentas de sus clientes estaban pagadas, sin montos ni comprobantes por operación.</x:v>
      </x:c>
      <x:c r="E53" s="32" t="str">
        <x:v>Confirmar cobros y liquidación antes de reclamar deuda</x:v>
      </x:c>
      <x:c r="F53" s="32" t="str">
        <x:v>M-0179</x:v>
      </x:c>
      <x:c r="G53" s="26" t="str">
        <x:v>Pendiente</x:v>
      </x:c>
      <x:c r="H53" s="26" t="str"/>
    </x:row>
    <x:row r="54" ht="62" customHeight="1">
      <x:c r="A54" s="22" t="str">
        <x:v>R-050</x:v>
      </x:c>
      <x:c r="B54" s="22" t="str">
        <x:v>Cobro por conciliar</x:v>
      </x:c>
      <x:c r="C54" s="22" t="str">
        <x:v>V-065</x:v>
      </x:c>
      <x:c r="D54" s="32" t="str">
        <x:v>Gregor declaró el 19/09 que las cuentas de sus clientes estaban pagadas, sin montos ni comprobantes por operación.</x:v>
      </x:c>
      <x:c r="E54" s="32" t="str">
        <x:v>Confirmar cobros y liquidación antes de reclamar deuda</x:v>
      </x:c>
      <x:c r="F54" s="32" t="str">
        <x:v>M-0213</x:v>
      </x:c>
      <x:c r="G54" s="26" t="str">
        <x:v>Pendiente</x:v>
      </x:c>
      <x:c r="H54" s="26" t="str"/>
    </x:row>
    <x:row r="55" ht="62" customHeight="1">
      <x:c r="A55" s="22" t="str">
        <x:v>R-051</x:v>
      </x:c>
      <x:c r="B55" s="22" t="str">
        <x:v>Cobro por conciliar</x:v>
      </x:c>
      <x:c r="C55" s="22" t="str">
        <x:v>V-068</x:v>
      </x:c>
      <x:c r="D55" s="32" t="str">
        <x:v>Gregor declaró el 19/09 que las cuentas de sus clientes estaban pagadas, sin montos ni comprobantes por operación.</x:v>
      </x:c>
      <x:c r="E55" s="32" t="str">
        <x:v>Confirmar cobros y liquidación antes de reclamar deuda</x:v>
      </x:c>
      <x:c r="F55" s="32" t="str">
        <x:v>M-0310</x:v>
      </x:c>
      <x:c r="G55" s="26" t="str">
        <x:v>Pendiente</x:v>
      </x:c>
      <x:c r="H55" s="26" t="str"/>
    </x:row>
    <x:row r="56" ht="62" customHeight="1">
      <x:c r="A56" s="22" t="str">
        <x:v>R-052</x:v>
      </x:c>
      <x:c r="B56" s="22" t="str">
        <x:v>Cobro por conciliar</x:v>
      </x:c>
      <x:c r="C56" s="22" t="str">
        <x:v>V-069</x:v>
      </x:c>
      <x:c r="D56" s="32" t="str">
        <x:v>Gregor declaró el 19/09 que las cuentas de sus clientes estaban pagadas, sin montos ni comprobantes por operación.</x:v>
      </x:c>
      <x:c r="E56" s="32" t="str">
        <x:v>Confirmar cobros y liquidación antes de reclamar deuda</x:v>
      </x:c>
      <x:c r="F56" s="32" t="str">
        <x:v>M-0418</x:v>
      </x:c>
      <x:c r="G56" s="26" t="str">
        <x:v>Pendiente</x:v>
      </x:c>
      <x:c r="H56" s="26" t="str"/>
    </x:row>
    <x:row r="57" ht="62" customHeight="1">
      <x:c r="A57" s="22" t="str">
        <x:v>R-053</x:v>
      </x:c>
      <x:c r="B57" s="22" t="str">
        <x:v>Solicitud de eliminación</x:v>
      </x:c>
      <x:c r="C57" s="22" t="str">
        <x:v>Sin ID</x:v>
      </x:c>
      <x:c r="D57" s="32" t="str">
        <x:v>Elimina esto</x:v>
      </x:c>
      <x:c r="E57" s="32" t="str">
        <x:v>Identificar mensaje o venta al que respondía</x:v>
      </x:c>
      <x:c r="F57" s="32" t="str">
        <x:v>M-0228</x:v>
      </x:c>
      <x:c r="G57" s="26" t="str">
        <x:v>Pendiente</x:v>
      </x:c>
      <x:c r="H57" s="26" t="str"/>
    </x:row>
    <x:row r="58" ht="62" customHeight="1">
      <x:c r="A58" s="22" t="str">
        <x:v>R-054</x:v>
      </x:c>
      <x:c r="B58" s="22" t="str">
        <x:v>Solicitud de eliminación</x:v>
      </x:c>
      <x:c r="C58" s="22" t="str">
        <x:v>Sin ID</x:v>
      </x:c>
      <x:c r="D58" s="32" t="str">
        <x:v>Y este</x:v>
      </x:c>
      <x:c r="E58" s="32" t="str">
        <x:v>Identificar mensaje o venta al que respondía</x:v>
      </x:c>
      <x:c r="F58" s="32" t="str">
        <x:v>M-0229</x:v>
      </x:c>
      <x:c r="G58" s="26" t="str">
        <x:v>Pendiente</x:v>
      </x:c>
      <x:c r="H58" s="26" t="str"/>
    </x:row>
    <x:row r="59" ht="62" customHeight="1">
      <x:c r="A59" s="22" t="str">
        <x:v>R-055</x:v>
      </x:c>
      <x:c r="B59" s="22" t="str">
        <x:v>Solicitud de eliminación</x:v>
      </x:c>
      <x:c r="C59" s="22" t="str">
        <x:v>Sin ID</x:v>
      </x:c>
      <x:c r="D59" s="32" t="str">
        <x:v>Eliminar el Aqua di gio</x:v>
      </x:c>
      <x:c r="E59" s="32" t="str">
        <x:v>Identificar mensaje o venta al que respondía</x:v>
      </x:c>
      <x:c r="F59" s="32" t="str">
        <x:v>M-0268</x:v>
      </x:c>
      <x:c r="G59" s="26" t="str">
        <x:v>Pendiente</x:v>
      </x:c>
      <x:c r="H59" s="26" t="str"/>
    </x:row>
  </x:sheetData>
  <x:dataValidations count="1">
    <x:dataValidation type="list" sqref="G5:G59">
      <x:formula1>"Pendiente,Resuelto,No aplica"</x:formula1>
    </x:dataValidation>
  </x:dataValidations>
  <x:pageMargins left="0.7" right="0.7" top="0.75" bottom="0.75" header="0.3" footer="0.3"/>
  <x:tableParts count="1">
    <x:tablePart xmlns:r="http://schemas.openxmlformats.org/officeDocument/2006/relationships" r:id="R3482cbc6ac0e448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83" hidden="0" customWidth="1"/>
  </x:cols>
  <x:sheetData>
    <x:row r="2">
      <x:c r="A2" s="23" t="str">
        <x:v>Configuración</x:v>
      </x:c>
      <x:c r="B2" s="33"/>
      <x:c r="C2" s="33"/>
    </x:row>
    <x:row r="3">
      <x:c r="A3" s="33"/>
      <x:c r="B3" s="33"/>
      <x:c r="C3" s="33"/>
    </x:row>
    <x:row r="4" ht="27" customHeight="1">
      <x:c r="A4" s="22" t="str">
        <x:v>Fecha de corte</x:v>
      </x:c>
      <x:c r="B4" s="25" t="n">
        <x:v>46289</x:v>
      </x:c>
      <x:c r="C4" s="22" t="str">
        <x:v>Cambiar para revisar otro día. Use =TODAY() para seguimiento diario.</x:v>
      </x:c>
    </x:row>
    <x:row r="5" ht="27" customHeight="1">
      <x:c r="A5" s="22" t="str">
        <x:v>Plazo general (días)</x:v>
      </x:c>
      <x:c r="B5" s="26" t="n">
        <x:v>30</x:v>
      </x:c>
      <x:c r="C5" s="22" t="str">
        <x:v>Cada venta puede tener un plazo diferente.</x:v>
      </x:c>
    </x:row>
    <x:row r="6" ht="27" customHeight="1">
      <x:c r="A6" s="22" t="str">
        <x:v>Factor Top Quality Divisa / USDT</x:v>
      </x:c>
      <x:c r="B6" s="26" t="n">
        <x:v>1.7</x:v>
      </x:c>
      <x:c r="C6" s="22" t="str">
        <x:v>Costo × factor. No altera ventas históricas.</x:v>
      </x:c>
    </x:row>
    <x:row r="7" ht="27" customHeight="1">
      <x:c r="A7" s="22" t="str">
        <x:v>Factor Top Quality BCV</x:v>
      </x:c>
      <x:c r="B7" s="26" t="n">
        <x:v>2.2</x:v>
      </x:c>
      <x:c r="C7" s="22" t="str">
        <x:v>Precio en USD de referencia, pagadero a tasa BCV.</x:v>
      </x:c>
    </x:row>
    <x:row r="8" ht="27" customHeight="1">
      <x:c r="A8" s="22" t="str">
        <x:v>Descuento Originales Team</x:v>
      </x:c>
      <x:c r="B8" s="34" t="n">
        <x:v>0.25</x:v>
      </x:c>
      <x:c r="C8" s="22" t="str">
        <x:v>Aplica a precios de lista de Originales.</x:v>
      </x:c>
    </x:row>
    <x:row r="9" ht="27" customHeight="1">
      <x:c r="A9" s="22" t="str">
        <x:v>Descuento Originales Revendedor</x:v>
      </x:c>
      <x:c r="B9" s="34" t="n">
        <x:v>0.15</x:v>
      </x:c>
      <x:c r="C9" s="22" t="str">
        <x:v>Aplica a precios de lista de Originales.</x:v>
      </x:c>
    </x:row>
    <x:row r="10" ht="27" customHeight="1">
      <x:c r="A10" s="22" t="str">
        <x:v>Tolerancia de saldo</x:v>
      </x:c>
      <x:c r="B10" s="26" t="n">
        <x:v>0.01</x:v>
      </x:c>
      <x:c r="C10" s="22" t="str">
        <x:v>Diferencias de un centavo se tratan como saldo cero.</x:v>
      </x:c>
    </x:row>
  </x:sheetData>
  <x:pageMargins left="0.7" right="0.7" top="0.75" bottom="0.75" header="0.3" footer="0.3"/>
</x:worksheet>
</file>

<file path=xl/worksheets/sheet10.xml><?xml version="1.0" encoding="utf-8"?>
<x:worksheet xmlns:x="http://schemas.openxmlformats.org/spreadsheetml/2006/main">
  <x:sheetPr>
    <x:tabColor rgb="FFBCC9CF"/>
  </x:sheetPr>
  <x:sheetViews>
    <x:sheetView showGridLines="0" workbookViewId="0">
      <x:pane xSplit="1" ySplit="4" topLeftCell="B5" activePane="bottomRight" state="frozen"/>
    </x:sheetView>
  </x:sheetViews>
  <x:sheetFormatPr defaultRowHeight="15"/>
  <x:cols>
    <x:col min="1" max="1" width="34" hidden="0" customWidth="1"/>
    <x:col min="2" max="2" width="118" hidden="0" customWidth="1"/>
  </x:cols>
  <x:sheetData>
    <x:row r="1">
      <x:c r="A1" s="22"/>
      <x:c r="B1" s="22"/>
    </x:row>
    <x:row r="2">
      <x:c r="A2" s="23" t="str">
        <x:v>Cómo usar Marfil</x:v>
      </x:c>
      <x:c r="B2" s="22"/>
    </x:row>
    <x:row r="3">
      <x:c r="A3" s="24" t="str">
        <x:v>Trabaje en las celdas amarillas. Las celdas calculadas se actualizan al ingresar ventas y cobros.</x:v>
      </x:c>
      <x:c r="B3" s="22"/>
    </x:row>
    <x:row r="4" ht="34" customHeight="1">
      <x:c r="A4" s="11" t="str">
        <x:v>Paso / regla</x:v>
      </x:c>
      <x:c r="B4" s="11" t="str">
        <x:v>Instrucción</x:v>
      </x:c>
    </x:row>
    <x:row r="5" ht="44" customHeight="1">
      <x:c r="A5" s="22" t="str">
        <x:v>Registrar una venta</x:v>
      </x:c>
      <x:c r="B5" s="32" t="str">
        <x:v>Busque o agregue el cliente en CLIENTES. En VENTAS complete las celdas amarillas: fecha, cliente, producto, precio, base y vendedor. Escriba montos solo como números. El ID ya está preparado.</x:v>
      </x:c>
    </x:row>
    <x:row r="6" ht="44" customHeight="1">
      <x:c r="A6" s="22" t="str">
        <x:v>Registrar un pago</x:v>
      </x:c>
      <x:c r="B6" s="32" t="str">
        <x:v>En PAGOS use el mismo ID de venta. Cliente y producto aparecen solos. Registre cada inicial, cuota o cancelación una sola vez.</x:v>
      </x:c>
    </x:row>
    <x:row r="7" ht="44" customHeight="1">
      <x:c r="A7" s="22" t="str">
        <x:v>Convertir un pago en Bs</x:v>
      </x:c>
      <x:c r="B7" s="32" t="str">
        <x:v>Ingrese el equivalente acordado en H; o Bs en G y la tasa histórica en J. No use la tasa actual para pagos antiguos.</x:v>
      </x:c>
    </x:row>
    <x:row r="8" ht="44" customHeight="1">
      <x:c r="A8" s="22" t="str">
        <x:v>Revisar cartera</x:v>
      </x:c>
      <x:c r="B8" s="32" t="str">
        <x:v>En CLIENTES filtre Estado = Moroso. En VENTAS verá cada operación, saldo y días vencidos. La mora inicia al día 31 desde la venta, salvo plazo diferente.</x:v>
      </x:c>
    </x:row>
    <x:row r="9" ht="44" customHeight="1">
      <x:c r="A9" s="22" t="str">
        <x:v>Registrar gastos y compras</x:v>
      </x:c>
      <x:c r="B9" s="32" t="str">
        <x:v>Use una fila por gasto o lote. Importe Bs y equivalente $ pueden describir la misma operación: nunca los sume como dos egresos.</x:v>
      </x:c>
    </x:row>
    <x:row r="10" ht="44" customHeight="1">
      <x:c r="A10" s="22" t="str">
        <x:v>Actualizar precios</x:v>
      </x:c>
      <x:c r="B10" s="32" t="str">
        <x:v>Top Quality usa costo × factores. Originales aplica descuentos sobre la lista. Copie el precio negociado a VENTAS; los cambios de catálogo no alteran ventas anteriores.</x:v>
      </x:c>
    </x:row>
    <x:row r="11" ht="44" customHeight="1">
      <x:c r="A11" s="22" t="str">
        <x:v>Cierre confirmado</x:v>
      </x:c>
      <x:c r="B11" s="32" t="str">
        <x:v>La fecha de cierre solo se usa cuando existe confirmación explícita de cancelación. Saldo cero por cierre no inventa un ingreso. La diferencia al cierre y cobros sin tasa quedan visibles.</x:v>
      </x:c>
    </x:row>
    <x:row r="12" ht="44" customHeight="1">
      <x:c r="A12" s="22" t="str">
        <x:v>Resolver un dato</x:v>
      </x:c>
      <x:c r="B12" s="32" t="str">
        <x:v>Busque el ID indicado en REVISAR, complete/corrija el dato en su hoja y cambie Tratamiento a Incluir si corresponde. Marcar Resuelto por sí solo no modifica los saldos.</x:v>
      </x:c>
    </x:row>
    <x:row r="13" ht="44" customHeight="1">
      <x:c r="A13" s="22" t="str">
        <x:v>Límite preparado</x:v>
      </x:c>
      <x:c r="B13" s="32" t="str">
        <x:v>Hay 250 ventas, 500 pagos, 200 egresos y 150 clientes con controles preparados. Use la siguiente fila amarilla. No reutilice IDs. Extienda rangos y fórmulas antes de superar estos límites.</x:v>
      </x:c>
    </x:row>
    <x:row r="14" ht="44" customHeight="1">
      <x:c r="A14" s="22" t="str">
        <x:v>Fecha de corte</x:v>
      </x:c>
      <x:c r="B14" s="32" t="str">
        <x:v>Se entrega con corte al 24/09/2026. Cambie AJUSTES B4 o escriba =TODAY() para actualizar la mora diariamente. Los cobros posteriores al corte no reducen el saldo histórico.</x:v>
      </x:c>
    </x:row>
    <x:row r="15" ht="44" customHeight="1">
      <x:c r="A15" s="22" t="str">
        <x:v>1. Extraer</x:v>
      </x:c>
      <x:c r="B15" s="32" t="str">
        <x:v>Se leyeron las hojas VENTAS, CONTROL, GASTOS Y COMPRAS y ambos catálogos, además de todas las fichas del chat. REGISTRO DE CUOTAS estaba vacía.</x:v>
      </x:c>
    </x:row>
    <x:row r="16" ht="44" customHeight="1">
      <x:c r="A16" s="22" t="str">
        <x:v>2. Transformar</x:v>
      </x:c>
      <x:c r="B16" s="32" t="str">
        <x:v>Normalización de nombres/productos, números y fechas. Cruce por cliente + producto + fecha; referencia e importe para pagos. Cada operación recibe un ID permanente.</x:v>
      </x:c>
    </x:row>
    <x:row r="17" ht="44" customHeight="1">
      <x:c r="A17" s="22" t="str">
        <x:v>3. Cargar</x:v>
      </x:c>
      <x:c r="B17" s="32" t="str">
        <x:v>Se unificaron cobros de CONTROL y del chat. Avisos repetidos se unen a su ficha. Iniciales solo se añaden si son explícitas y no están ya representadas.</x:v>
      </x:c>
    </x:row>
    <x:row r="18" ht="44" customHeight="1">
      <x:c r="A18" s="22" t="str">
        <x:v>4. Reconciliar</x:v>
      </x:c>
      <x:c r="B18" s="32" t="str">
        <x:v>Las diferencias quedan en REVISAR. Pedidos se registran una vez por lote; no se vuelve a sumar el subtotal y cada ítem. Fuentes y decisiones se conservan en FUENTES.</x:v>
      </x:c>
    </x:row>
    <x:row r="19" ht="44" customHeight="1">
      <x:c r="A19" s="22" t="str">
        <x:v>Unidades de precio</x:v>
      </x:c>
      <x:c r="B19" s="32" t="str">
        <x:v>BCV es una referencia de precio en dólares pagadera en Bs; USDT y divisa se distinguen. El panel muestra bases separadas. No existe saldo bancario consolidado sin saldos iniciales.</x:v>
      </x:c>
    </x:row>
    <x:row r="20" ht="44" customHeight="1">
      <x:c r="A20" s="22" t="str">
        <x:v>Ventas dudosas</x:v>
      </x:c>
      <x:c r="B20" s="32" t="str">
        <x:v>La declaración global de Gregor y las solicitudes de eliminación sin cliente quedan Por conciliar. No se generan comprobantes, pagos ni tasas ficticios.</x:v>
      </x:c>
    </x:row>
    <x:row r="21" ht="44" customHeight="1">
      <x:c r="A21" s="22" t="str">
        <x:v>Dos Club de Nuit de Ricardo</x:v>
      </x:c>
      <x:c r="B21" s="32" t="str">
        <x:v>Se mantienen dos unidades del 26/08: ambas figuran en el Excel y en el chat, respaldadas por la compra de dos unidades.</x:v>
      </x:c>
    </x:row>
    <x:row r="22" ht="44" customHeight="1">
      <x:c r="A22" s="22" t="str">
        <x:v>Fuentes del ETL</x:v>
      </x:c>
      <x:c r="B22" s="32" t="str">
        <x:v>Sistema Marfil V2 (1).xlsx y chat.txt del ZIP COMPRAS,VENTAS,COBROS. El cruce ya está aplicado; el archivo no importa automáticamente mensajes nuevos de WhatsApp.</x:v>
      </x:c>
    </x:row>
  </x:sheetData>
  <x:pageMargins left="0.7" right="0.7" top="0.75" bottom="0.75" header="0.3" footer="0.3"/>
  <x:tableParts count="1">
    <x:tablePart xmlns:r="http://schemas.openxmlformats.org/officeDocument/2006/relationships" r:id="R8cb4c971fe794211"/>
  </x:tableParts>
</x:worksheet>
</file>

<file path=xl/worksheets/sheet11.xml><?xml version="1.0" encoding="utf-8"?>
<x:worksheet xmlns:x="http://schemas.openxmlformats.org/spreadsheetml/2006/main">
  <x:sheetPr>
    <x:tabColor rgb="FFBCC9CF"/>
  </x:sheetPr>
  <x:sheetViews>
    <x:sheetView showGridLines="0" workbookViewId="0">
      <x:pane xSplit="1" ySplit="4" topLeftCell="B5" activePane="bottomRight" state="frozen"/>
    </x:sheetView>
  </x:sheetViews>
  <x:sheetFormatPr defaultRowHeight="15"/>
  <x:cols>
    <x:col min="1" max="1" width="17" hidden="0" customWidth="1"/>
    <x:col min="2" max="2" width="42" hidden="0" customWidth="1"/>
    <x:col min="3" max="3" width="17" hidden="0" customWidth="1"/>
    <x:col min="4" max="4" width="105" hidden="0" customWidth="1"/>
    <x:col min="5" max="5" width="52" hidden="0" customWidth="1"/>
    <x:col min="6" max="6" width="26" hidden="0" customWidth="1"/>
  </x:cols>
  <x:sheetData>
    <x:row r="1">
      <x:c r="A1" s="22"/>
      <x:c r="B1" s="22"/>
      <x:c r="C1" s="22"/>
      <x:c r="D1" s="22"/>
      <x:c r="E1" s="22"/>
      <x:c r="F1" s="22"/>
    </x:row>
    <x:row r="2">
      <x:c r="A2" s="23" t="str">
        <x:v>Fuentes y trazabilidad</x:v>
      </x:c>
      <x:c r="B2" s="22"/>
      <x:c r="C2" s="22"/>
      <x:c r="D2" s="22"/>
      <x:c r="E2" s="22"/>
      <x:c r="F2" s="22"/>
    </x:row>
    <x:row r="3">
      <x:c r="A3" s="24" t="str">
        <x:v>Conserva valores, textos y fórmulas de origen. Los registros del chat se identifican como M-0001, M-0002, etc.</x:v>
      </x:c>
      <x:c r="B3" s="22"/>
      <x:c r="C3" s="22"/>
      <x:c r="D3" s="22"/>
      <x:c r="E3" s="22"/>
      <x:c r="F3" s="22"/>
    </x:row>
    <x:row r="4" ht="34" customHeight="1">
      <x:c r="A4" s="11" t="str">
        <x:v>Tipo fuente</x:v>
      </x:c>
      <x:c r="B4" s="11" t="str">
        <x:v>Referencia</x:v>
      </x:c>
      <x:c r="C4" s="11" t="str">
        <x:v>Fecha mensaje</x:v>
      </x:c>
      <x:c r="D4" s="11" t="str">
        <x:v>Texto / datos originales</x:v>
      </x:c>
      <x:c r="E4" s="11" t="str">
        <x:v>Tratamiento aplicado</x:v>
      </x:c>
      <x:c r="F4" s="11" t="str">
        <x:v>Registro destino</x:v>
      </x:c>
    </x:row>
    <x:row r="5" ht="70" customHeight="1">
      <x:c r="A5" s="22" t="str">
        <x:v>Excel</x:v>
      </x:c>
      <x:c r="B5" s="22" t="str">
        <x:v>PARÁMETROS!fila 1</x:v>
      </x:c>
      <x:c r="C5" s="29" t="str"/>
      <x:c r="D5" s="32" t="str">
        <x:v>A1: PARÁMETROS DEL SISTEMA</x:v>
      </x:c>
      <x:c r="E5" s="22" t="str">
        <x:v>Fuente original</x:v>
      </x:c>
      <x:c r="F5" s="22" t="str"/>
    </x:row>
    <x:row r="6" ht="70" customHeight="1">
      <x:c r="A6" s="22" t="str">
        <x:v>Excel</x:v>
      </x:c>
      <x:c r="B6" s="22" t="str">
        <x:v>PARÁMETROS!fila 2</x:v>
      </x:c>
      <x:c r="C6" s="29" t="str"/>
      <x:c r="D6" s="32" t="str">
        <x:v>A2: Editá solo estas celdas amarillas: todas las listas de precios se recalculan solas.</x:v>
      </x:c>
      <x:c r="E6" s="22" t="str">
        <x:v>Fuente original</x:v>
      </x:c>
      <x:c r="F6" s="22" t="str"/>
    </x:row>
    <x:row r="7" ht="70" customHeight="1">
      <x:c r="A7" s="22" t="str">
        <x:v>Excel</x:v>
      </x:c>
      <x:c r="B7" s="22" t="str">
        <x:v>PARÁMETROS!fila 4</x:v>
      </x:c>
      <x:c r="C7" s="29" t="str"/>
      <x:c r="D7" s="32" t="str">
        <x:v>A4: Nombre definido
B4: Valor
C4: Formato
D4: Qué controla</x:v>
      </x:c>
      <x:c r="E7" s="22" t="str">
        <x:v>Fuente original</x:v>
      </x:c>
      <x:c r="F7" s="22" t="str"/>
    </x:row>
    <x:row r="8" ht="70" customHeight="1">
      <x:c r="A8" s="22" t="str">
        <x:v>Excel</x:v>
      </x:c>
      <x:c r="B8" s="22" t="str">
        <x:v>PARÁMETROS!fila 5</x:v>
      </x:c>
      <x:c r="C8" s="29" t="str"/>
      <x:c r="D8" s="32" t="str">
        <x:v>A5: FACTOR_DIVISA
B5: 1.7
C5: x
D5: Multiplicador de costo -&gt; Precio (Divisa / tasa USDT) en PRECIOS PERF TOP QUALITY</x:v>
      </x:c>
      <x:c r="E8" s="22" t="str">
        <x:v>Fuente original</x:v>
      </x:c>
      <x:c r="F8" s="22" t="str"/>
    </x:row>
    <x:row r="9" ht="70" customHeight="1">
      <x:c r="A9" s="22" t="str">
        <x:v>Excel</x:v>
      </x:c>
      <x:c r="B9" s="22" t="str">
        <x:v>PARÁMETROS!fila 6</x:v>
      </x:c>
      <x:c r="C9" s="29" t="str"/>
      <x:c r="D9" s="32" t="str">
        <x:v>A6: FACTOR_BCV
B6: 2.2
C6: x
D6: Multiplicador de costo -&gt; Precio tasa BCV en PRECIOS PERF TOP QUALITY</x:v>
      </x:c>
      <x:c r="E9" s="22" t="str">
        <x:v>Fuente original</x:v>
      </x:c>
      <x:c r="F9" s="22" t="str"/>
    </x:row>
    <x:row r="10" ht="70" customHeight="1">
      <x:c r="A10" s="22" t="str">
        <x:v>Excel</x:v>
      </x:c>
      <x:c r="B10" s="22" t="str">
        <x:v>PARÁMETROS!fila 7</x:v>
      </x:c>
      <x:c r="C10" s="29" t="str"/>
      <x:c r="D10" s="32" t="str">
        <x:v>A7: DESC_TEAM
B7: 0.25
C7: %
D7: Descuento para el team en PRECIOS PERF ORIGINALES</x:v>
      </x:c>
      <x:c r="E10" s="22" t="str">
        <x:v>Fuente original</x:v>
      </x:c>
      <x:c r="F10" s="22" t="str"/>
    </x:row>
    <x:row r="11" ht="70" customHeight="1">
      <x:c r="A11" s="22" t="str">
        <x:v>Excel</x:v>
      </x:c>
      <x:c r="B11" s="22" t="str">
        <x:v>PARÁMETROS!fila 8</x:v>
      </x:c>
      <x:c r="C11" s="29" t="str"/>
      <x:c r="D11" s="32" t="str">
        <x:v>A8: DESC_REVENDEDOR
B8: 0.15
C8: %
D8: Descuento para revendedores en PRECIOS PERF ORIGINALES</x:v>
      </x:c>
      <x:c r="E11" s="22" t="str">
        <x:v>Fuente original</x:v>
      </x:c>
      <x:c r="F11" s="22" t="str"/>
    </x:row>
    <x:row r="12" ht="70" customHeight="1">
      <x:c r="A12" s="22" t="str">
        <x:v>Excel</x:v>
      </x:c>
      <x:c r="B12" s="22" t="str">
        <x:v>CONTROL!fila 1</x:v>
      </x:c>
      <x:c r="C12" s="29" t="str"/>
      <x:c r="D12" s="32" t="str">
        <x:v>A1: CONTROL DE PAGOS Y COBRANZA</x:v>
      </x:c>
      <x:c r="E12" s="22" t="str">
        <x:v>Fuente original</x:v>
      </x:c>
      <x:c r="F12" s="22" t="str"/>
    </x:row>
    <x:row r="13" ht="70" customHeight="1">
      <x:c r="A13" s="22" t="str">
        <x:v>Excel</x:v>
      </x:c>
      <x:c r="B13" s="22" t="str">
        <x:v>CONTROL!fila 2</x:v>
      </x:c>
      <x:c r="C13" s="29" t="str"/>
      <x:c r="D13" s="32" t="str">
        <x:v>F2: PAGO 1
I2: PAGO 2
L2: PAGO 3</x:v>
      </x:c>
      <x:c r="E13" s="22" t="str">
        <x:v>Fuente original</x:v>
      </x:c>
      <x:c r="F13" s="22" t="str"/>
    </x:row>
    <x:row r="14" ht="70" customHeight="1">
      <x:c r="A14" s="22" t="str">
        <x:v>Excel</x:v>
      </x:c>
      <x:c r="B14" s="22" t="str">
        <x:v>CONTROL!fila 3</x:v>
      </x:c>
      <x:c r="C14" s="29" t="str"/>
      <x:c r="D14" s="32" t="str">
        <x:v>A3: FECHA VENTA
B3: CLIENTE
C3: VENDEDOR
D3: PRODUCTO
E3: PRECIO TOTAL ($)
F3: MONTO Bs P1
G3: FECHA P1
H3: REFERENCIA P1
I3: MONTO Bs P2
J3: FECHA P2
K3: REFERENCIA P2
L3: MONTO Bs P3
M3: FECHA P3
N3: REFERENCIA P3
O3: ESTATUS
P3: TOTAL ABONADO Bs
Q3: NOTAS
S3: RESUMEN (dinámico)</x:v>
      </x:c>
      <x:c r="E14" s="22" t="str">
        <x:v>Fuente original</x:v>
      </x:c>
      <x:c r="F14" s="22" t="str"/>
    </x:row>
    <x:row r="15" ht="70" customHeight="1">
      <x:c r="A15" s="22" t="str">
        <x:v>Excel</x:v>
      </x:c>
      <x:c r="B15" s="22" t="str">
        <x:v>CONTROL!fila 4</x:v>
      </x:c>
      <x:c r="C15" s="29" t="str"/>
      <x:c r="D15" s="32" t="str">
        <x:v>A4: 46200
B4: Cristhian
C4: Gregory
D4: Very Good Girl
E4: 24
F4: 7466.56
G4: 46200
H4: 5863
I4: 7835.67
J4: 46207
K4: 9442
O4: YA PAGO
P4: 15302.23 [fórmula: IF(COUNT(F4,I4,L4)=0,"",SUM(F4,I4,L4))]
S4: Operaciones registradas
T4: 1 [fórmula: COUNT(A:A)]</x:v>
      </x:c>
      <x:c r="E15" s="22" t="str">
        <x:v>Fuente original</x:v>
      </x:c>
      <x:c r="F15" s="22" t="str"/>
    </x:row>
    <x:row r="16" ht="70" customHeight="1">
      <x:c r="A16" s="22" t="str">
        <x:v>Excel</x:v>
      </x:c>
      <x:c r="B16" s="22" t="str">
        <x:v>CONTROL!fila 5</x:v>
      </x:c>
      <x:c r="C16" s="29" t="str"/>
      <x:c r="D16" s="32" t="str">
        <x:v>B5: Amarista
C5: Gregory
D5: Khamrah Qahwa
E5: 42
F5: 13066.48
G5: 46200
H5: 6585
I5: 14903.56
J5: 46214
K5: 5675
O5: YA PAGO
P5: 27970.04
S5: Total en Ventas ($)
T5: 987 [fórmula: SUM(E:E)]</x:v>
      </x:c>
      <x:c r="E16" s="22" t="str">
        <x:v>Fuente original</x:v>
      </x:c>
      <x:c r="F16" s="22" t="str"/>
    </x:row>
    <x:row r="17" ht="70" customHeight="1">
      <x:c r="A17" s="22" t="str">
        <x:v>Excel</x:v>
      </x:c>
      <x:c r="B17" s="22" t="str">
        <x:v>CONTROL!fila 6</x:v>
      </x:c>
      <x:c r="C17" s="29" t="str"/>
      <x:c r="D17" s="32" t="str">
        <x:v>B6: Ángel
C6: Gregory
D6: Bharara King
E6: 42
F6: 13066.48
G6: 46201
H6: 5135
I6: 15679.22
J6: 46235
K6: 7366
O6: YA PAGO
P6: 28745.7
S6: Total abonado en Bs
T6: 352546.73 [fórmula: SUM(P:P)]</x:v>
      </x:c>
      <x:c r="E17" s="22" t="str">
        <x:v>Fuente original</x:v>
      </x:c>
      <x:c r="F17" s="22" t="str"/>
    </x:row>
    <x:row r="18" ht="70" customHeight="1">
      <x:c r="A18" s="22" t="str">
        <x:v>Excel</x:v>
      </x:c>
      <x:c r="B18" s="22" t="str">
        <x:v>CONTROL!fila 7</x:v>
      </x:c>
      <x:c r="C18" s="29" t="str"/>
      <x:c r="D18" s="32" t="str">
        <x:v>B7: Ricardo
C7: Gregory
D7: Universe
E7: 42
F7: 11823
G7: 46202
H7: 9373
I7: 8730
J7: 46219
K7: 1008
L7: 8307
M7: 46239
N7: 542
O7: YA PAGO
P7: 28860
S7:   · Pago 1 (Bs)
T7: 213692.91 [fórmula: SUM(F:F)]</x:v>
      </x:c>
      <x:c r="E18" s="22" t="str">
        <x:v>Fuente original</x:v>
      </x:c>
      <x:c r="F18" s="22" t="str"/>
    </x:row>
    <x:row r="19" ht="70" customHeight="1">
      <x:c r="A19" s="22" t="str">
        <x:v>Excel</x:v>
      </x:c>
      <x:c r="B19" s="22" t="str">
        <x:v>CONTROL!fila 8</x:v>
      </x:c>
      <x:c r="C19" s="29" t="str"/>
      <x:c r="D19" s="32" t="str">
        <x:v>B8: Norelvis
C8: Gregory
D8: Cloud
E8: 30
F8: 9794.59
G8: 46206
H8: 8447
I8: 10645.4
J8: 46215
K8: 4494
O8: YA PAGO
P8: 20439.99
S8:   · Pago 2 (Bs)
T8: 121685.29 [fórmula: SUM(I:I)]</x:v>
      </x:c>
      <x:c r="E19" s="22" t="str">
        <x:v>Fuente original</x:v>
      </x:c>
      <x:c r="F19" s="22" t="str"/>
    </x:row>
    <x:row r="20" ht="70" customHeight="1">
      <x:c r="A20" s="22" t="str">
        <x:v>Excel</x:v>
      </x:c>
      <x:c r="B20" s="22" t="str">
        <x:v>CONTROL!fila 9</x:v>
      </x:c>
      <x:c r="C20" s="29" t="str"/>
      <x:c r="D20" s="32" t="str">
        <x:v>B9: Anderson
C9: Gregory
D9: 212 Vip
E9: 22
F9: 4580
G9: 46207
H9: 172
I9: 5100
J9: 46218
K9: 2830
L9: 5910
M9: 46231
N9: 5001
O9: YA PAGO
P9: 15590
S9:   · Pago 3 (Bs)
T9: 17168.53 [fórmula: SUM(L:L)]</x:v>
      </x:c>
      <x:c r="E20" s="22" t="str">
        <x:v>Fuente original</x:v>
      </x:c>
      <x:c r="F20" s="22" t="str"/>
    </x:row>
    <x:row r="21" ht="70" customHeight="1">
      <x:c r="A21" s="22" t="str">
        <x:v>Excel</x:v>
      </x:c>
      <x:c r="B21" s="22" t="str">
        <x:v>CONTROL!fila 10</x:v>
      </x:c>
      <x:c r="C21" s="29" t="str"/>
      <x:c r="D21" s="32" t="str">
        <x:v>B10: Marbella
C10: Gregory
D10: Yara Moi
E10: 30
F10: 13341
G10: 46207
H10: 1469
I10: 7420
J10: 46228
K10: 6675
O10: YA PAGO
P10: 20761
Q10: Fecha pago 3 anotada como «listo»
S10: Operaciones YA PAGO
T10: 10 [fórmula: COUNTIF(O:O,"YA PAGO")]</x:v>
      </x:c>
      <x:c r="E21" s="22" t="str">
        <x:v>Fuente original</x:v>
      </x:c>
      <x:c r="F21" s="22" t="str"/>
    </x:row>
    <x:row r="22" ht="70" customHeight="1">
      <x:c r="A22" s="22" t="str">
        <x:v>Excel</x:v>
      </x:c>
      <x:c r="B22" s="22" t="str">
        <x:v>CONTROL!fila 11</x:v>
      </x:c>
      <x:c r="C22" s="29" t="str"/>
      <x:c r="D22" s="32" t="str">
        <x:v>B11: Polanco
C11: Gregory
D11: Club de Nuit
E11: 30
F11: 9794.59
G11: 46207
H11: 9023
I11: 11068.22
J11: 46228
K11: 2736
O11: YA PAGO
P11: 20862.81
Q11: Fecha pago 3 anotada como «listo»
S11: Operaciones PENDIENTE
T11: 3 [fórmula: COUNTIF(O:O,"PENDIENTE*")]</x:v>
      </x:c>
      <x:c r="E22" s="22" t="str">
        <x:v>Fuente original</x:v>
      </x:c>
      <x:c r="F22" s="22" t="str"/>
    </x:row>
    <x:row r="23" ht="70" customHeight="1">
      <x:c r="A23" s="22" t="str">
        <x:v>Excel</x:v>
      </x:c>
      <x:c r="B23" s="22" t="str">
        <x:v>CONTROL!fila 12</x:v>
      </x:c>
      <x:c r="C23" s="29" t="str"/>
      <x:c r="D23" s="32" t="str">
        <x:v>B12: Polanco
C12: Gregory
D12: Honor y Glory
E12: 35
F12: 14193.87
G12: 46214
H12: 5460
I12: 11199.45
J12: 46236
K12: 2165
P12: 25393.32
S12: Operaciones sin estatus
T12: 0 [fórmula: SUMPRODUCT(($A$4:$A$39&lt;&gt;"")*($O$4:$O$39=""))]</x:v>
      </x:c>
      <x:c r="E23" s="22" t="str">
        <x:v>Fuente original</x:v>
      </x:c>
      <x:c r="F23" s="22" t="str"/>
    </x:row>
    <x:row r="24" ht="70" customHeight="1">
      <x:c r="A24" s="22" t="str">
        <x:v>Excel</x:v>
      </x:c>
      <x:c r="B24" s="22" t="str">
        <x:v>CONTROL!fila 13</x:v>
      </x:c>
      <x:c r="C24" s="29" t="str"/>
      <x:c r="D24" s="32" t="str">
        <x:v>B13: Llovera
C13: Gregory
D13: Eros Men
E13: 24
F13: 17000
G13: 46215
H13: 1911
O13: YA PAGO
P13: 17000
S13: Operaciones sin ningún abono
T13: 0 [fórmula: SUMPRODUCT(($A$4:$A$39&lt;&gt;"")*($F$4:$F$39="")*($I$4:$I$39="")*($L$4:$L$39=""))]</x:v>
      </x:c>
      <x:c r="E24" s="22" t="str">
        <x:v>Fuente original</x:v>
      </x:c>
      <x:c r="F24" s="22" t="str"/>
    </x:row>
    <x:row r="25" ht="70" customHeight="1">
      <x:c r="A25" s="22" t="str">
        <x:v>Excel</x:v>
      </x:c>
      <x:c r="B25" s="22" t="str">
        <x:v>CONTROL!fila 14</x:v>
      </x:c>
      <x:c r="C25" s="29" t="str"/>
      <x:c r="D25" s="32" t="str">
        <x:v>B14: Belisario
C14: Gregory
D14: Club de Nuit Urban
E14: 30
F14: 10886.21
G14: 46218
H14: 7099
O14: PENDIENTE
P14: 10886.21</x:v>
      </x:c>
      <x:c r="E25" s="22" t="str">
        <x:v>Fuente original</x:v>
      </x:c>
      <x:c r="F25" s="22" t="str"/>
    </x:row>
    <x:row r="26" ht="70" customHeight="1">
      <x:c r="A26" s="22" t="str">
        <x:v>Excel</x:v>
      </x:c>
      <x:c r="B26" s="22" t="str">
        <x:v>CONTROL!fila 15</x:v>
      </x:c>
      <x:c r="C26" s="29" t="str"/>
      <x:c r="D26" s="32" t="str">
        <x:v>B15: Fernanda
C15: Gregory
D15: Yara Fem
E15: 30
F15: 14549.02
G15: 46219
H15: 7014
I15: 3733.15
J15: 46236
K15: 9323
O15: PENDIENTE
P15: 18282.17
S15: Total Divisas Pagadas ($) — captura manual
T15: 306</x:v>
      </x:c>
      <x:c r="E26" s="22" t="str">
        <x:v>Fuente original</x:v>
      </x:c>
      <x:c r="F26" s="22" t="str"/>
    </x:row>
    <x:row r="27" ht="70" customHeight="1">
      <x:c r="A27" s="22" t="str">
        <x:v>Excel</x:v>
      </x:c>
      <x:c r="B27" s="22" t="str">
        <x:v>CONTROL!fila 16</x:v>
      </x:c>
      <x:c r="C27" s="29" t="str"/>
      <x:c r="D27" s="32" t="str">
        <x:v>B16: Cristhian
C16: Gregory
D16: Aqua Dubai
E16: 34
F16: 10645.4
G16: 46213
H16: 8770
I16: 10987.18
J16: 46220
K16: 546
L16: 2951.53
M16: 46227
N16: 9686
O16: YA PAGO
P16: 24584.11
S16: No existe columna de abonos en $ en la hoja, así que este total sigue siendo un valor escrito a mano (venía del original).</x:v>
      </x:c>
      <x:c r="E27" s="22" t="str">
        <x:v>Fuente original</x:v>
      </x:c>
      <x:c r="F27" s="22" t="str"/>
    </x:row>
    <x:row r="28" ht="70" customHeight="1">
      <x:c r="A28" s="22" t="str">
        <x:v>Excel</x:v>
      </x:c>
      <x:c r="B28" s="22" t="str">
        <x:v>CONTROL!fila 17</x:v>
      </x:c>
      <x:c r="C28" s="29" t="str"/>
      <x:c r="D28" s="32" t="str">
        <x:v>B17: Ivana
C17: Gregory
D17: La Bomba
E17: 30
O17: PENDIENTE (SIN ABONOS)
P17: </x:v>
      </x:c>
      <x:c r="E28" s="22" t="str">
        <x:v>Fuente original</x:v>
      </x:c>
      <x:c r="F28" s="22" t="str"/>
    </x:row>
    <x:row r="29" ht="70" customHeight="1">
      <x:c r="A29" s="22" t="str">
        <x:v>Excel</x:v>
      </x:c>
      <x:c r="B29" s="22" t="str">
        <x:v>CONTROL!fila 18</x:v>
      </x:c>
      <x:c r="C29" s="29" t="str"/>
      <x:c r="D29" s="32" t="str">
        <x:v>B18: Reinel
C18: Hidelberg
D18: 212 NYC
E18: 24
F18: 18183
G18: 46244
H18: 4795
P18: 18183
S18: Valores sueltos hallados en C64/D64 del archivo original (estaban dentro de la fila de totales, sin etiqueta):</x:v>
      </x:c>
      <x:c r="E29" s="22" t="str">
        <x:v>Fuente original</x:v>
      </x:c>
      <x:c r="F29" s="22" t="str"/>
    </x:row>
    <x:row r="30" ht="70" customHeight="1">
      <x:c r="A30" s="22" t="str">
        <x:v>Excel</x:v>
      </x:c>
      <x:c r="B30" s="22" t="str">
        <x:v>CONTROL!fila 19</x:v>
      </x:c>
      <x:c r="C30" s="29" t="str"/>
      <x:c r="D30" s="32" t="str">
        <x:v>B19: Mirleidy
C19: Gregory
D19: 360
E19: 12
G19: 46236
P19: 
Q19: Precio anotado como «12 MY» | Pago 1 anotado como «12 EFECTIVO» (no es un monto en Bs)
S19: C64
T19: 260</x:v>
      </x:c>
      <x:c r="E30" s="22" t="str">
        <x:v>Fuente original</x:v>
      </x:c>
      <x:c r="F30" s="22" t="str"/>
    </x:row>
    <x:row r="31" ht="70" customHeight="1">
      <x:c r="A31" s="22" t="str">
        <x:v>Excel</x:v>
      </x:c>
      <x:c r="B31" s="22" t="str">
        <x:v>CONTROL!fila 20</x:v>
      </x:c>
      <x:c r="C31" s="29" t="str"/>
      <x:c r="D31" s="32" t="str">
        <x:v>B20: Mirleidy
C20: Gregory
D20: ASAD BORBOM
E20: 16
G20: 46236
P20: 
Q20: Precio anotado como «16 MY» | Pago 1 anotado como «16 EFECTIVO» (no es un monto en Bs)
S20: D64
T20: 100</x:v>
      </x:c>
      <x:c r="E31" s="22" t="str">
        <x:v>Fuente original</x:v>
      </x:c>
      <x:c r="F31" s="22" t="str"/>
    </x:row>
    <x:row r="32" ht="70" customHeight="1">
      <x:c r="A32" s="22" t="str">
        <x:v>Excel</x:v>
      </x:c>
      <x:c r="B32" s="22" t="str">
        <x:v>CONTROL!fila 21</x:v>
      </x:c>
      <x:c r="C32" s="29" t="str"/>
      <x:c r="D32" s="32" t="str">
        <x:v>B21: Polanco
C21: Gregory
D21: TOMMY
E21: 24
F21: 8854.58
G21: 46231
H21: 1826
I21: 8985.44
J21: 46237
K21: 5170
P21: 17840.02</x:v>
      </x:c>
      <x:c r="E32" s="22" t="str">
        <x:v>Fuente original</x:v>
      </x:c>
      <x:c r="F32" s="22" t="str"/>
    </x:row>
    <x:row r="33" ht="70" customHeight="1">
      <x:c r="A33" s="22" t="str">
        <x:v>Excel</x:v>
      </x:c>
      <x:c r="B33" s="22" t="str">
        <x:v>CONTROL!fila 22</x:v>
      </x:c>
      <x:c r="C33" s="29" t="str"/>
      <x:c r="D33" s="32" t="str">
        <x:v>B22: Belisario
C22: Gregory
D22: BAD BOY
E22: 24
P22: </x:v>
      </x:c>
      <x:c r="E33" s="22" t="str">
        <x:v>Fuente original</x:v>
      </x:c>
      <x:c r="F33" s="22" t="str"/>
    </x:row>
    <x:row r="34" ht="70" customHeight="1">
      <x:c r="A34" s="22" t="str">
        <x:v>Excel</x:v>
      </x:c>
      <x:c r="B34" s="22" t="str">
        <x:v>CONTROL!fila 23</x:v>
      </x:c>
      <x:c r="C34" s="29" t="str"/>
      <x:c r="D34" s="32" t="str">
        <x:v>B23: Anderson
C23: Gregory
D23: AQUA DI GIO
E23: 22
F23: 5400
G23: 46250
H23: 2265
P23: 5400</x:v>
      </x:c>
      <x:c r="E34" s="22" t="str">
        <x:v>Fuente original</x:v>
      </x:c>
      <x:c r="F34" s="22" t="str"/>
    </x:row>
    <x:row r="35" ht="70" customHeight="1">
      <x:c r="A35" s="22" t="str">
        <x:v>Excel</x:v>
      </x:c>
      <x:c r="B35" s="22" t="str">
        <x:v>CONTROL!fila 24</x:v>
      </x:c>
      <x:c r="C35" s="29" t="str"/>
      <x:c r="D35" s="32" t="str">
        <x:v>B24: Adolfito
C24: Gregory
D24: SCANDAL
E24: 22
F24: 8212.93
G24: 46236
H24: 1103
P24: 8212.93</x:v>
      </x:c>
      <x:c r="E35" s="22" t="str">
        <x:v>Fuente original</x:v>
      </x:c>
      <x:c r="F35" s="22" t="str"/>
    </x:row>
    <x:row r="36" ht="70" customHeight="1">
      <x:c r="A36" s="22" t="str">
        <x:v>Excel</x:v>
      </x:c>
      <x:c r="B36" s="22" t="str">
        <x:v>CONTROL!fila 25</x:v>
      </x:c>
      <x:c r="C36" s="29" t="str"/>
      <x:c r="D36" s="32" t="str">
        <x:v>B25: Rafael
C25: Gregory
D25: INVICTUS
E25: 22
F25: 5226.34
G25: 46236
H25: 666
I25: 5398
J25: 46249
K25: 8343
P25: 10624.34</x:v>
      </x:c>
      <x:c r="E36" s="22" t="str">
        <x:v>Fuente original</x:v>
      </x:c>
      <x:c r="F36" s="22" t="str"/>
    </x:row>
    <x:row r="37" ht="70" customHeight="1">
      <x:c r="A37" s="22" t="str">
        <x:v>Excel</x:v>
      </x:c>
      <x:c r="B37" s="22" t="str">
        <x:v>CONTROL!fila 26</x:v>
      </x:c>
      <x:c r="C37" s="29" t="str"/>
      <x:c r="D37" s="32" t="str">
        <x:v>B26: Ricardo
C26: Gregory
D26: AQUA DI GIO
E26: 24
P26: </x:v>
      </x:c>
      <x:c r="E37" s="22" t="str">
        <x:v>Fuente original</x:v>
      </x:c>
      <x:c r="F37" s="22" t="str"/>
    </x:row>
    <x:row r="38" ht="70" customHeight="1">
      <x:c r="A38" s="22" t="str">
        <x:v>Excel</x:v>
      </x:c>
      <x:c r="B38" s="22" t="str">
        <x:v>CONTROL!fila 27</x:v>
      </x:c>
      <x:c r="C38" s="29" t="str"/>
      <x:c r="D38" s="32" t="str">
        <x:v>B27: Melany
C27: Gregory
D27: CLOUD
E27: 24
P27: </x:v>
      </x:c>
      <x:c r="E38" s="22" t="str">
        <x:v>Fuente original</x:v>
      </x:c>
      <x:c r="F38" s="22" t="str"/>
    </x:row>
    <x:row r="39" ht="70" customHeight="1">
      <x:c r="A39" s="22" t="str">
        <x:v>Excel</x:v>
      </x:c>
      <x:c r="B39" s="22" t="str">
        <x:v>CONTROL!fila 28</x:v>
      </x:c>
      <x:c r="C39" s="29" t="str"/>
      <x:c r="D39" s="32" t="str">
        <x:v>B28: Gregor
C28: Gregor
D28: BHARARA BLUE
E28: 18
P28: 
Q28: Precio anotado como «18 GM»</x:v>
      </x:c>
      <x:c r="E39" s="22" t="str">
        <x:v>Fuente original</x:v>
      </x:c>
      <x:c r="F39" s="22" t="str"/>
    </x:row>
    <x:row r="40" ht="70" customHeight="1">
      <x:c r="A40" s="22" t="str">
        <x:v>Excel</x:v>
      </x:c>
      <x:c r="B40" s="22" t="str">
        <x:v>CONTROL!fila 29</x:v>
      </x:c>
      <x:c r="C40" s="29" t="str"/>
      <x:c r="D40" s="32" t="str">
        <x:v>B29: Hidelberg
C29: Hidelberg
D29: TOMMY
E29: 12
P29: 
Q29: Precio anotado como «12 GM»</x:v>
      </x:c>
      <x:c r="E40" s="22" t="str">
        <x:v>Fuente original</x:v>
      </x:c>
      <x:c r="F40" s="22" t="str"/>
    </x:row>
    <x:row r="41" ht="70" customHeight="1">
      <x:c r="A41" s="22" t="str">
        <x:v>Excel</x:v>
      </x:c>
      <x:c r="B41" s="22" t="str">
        <x:v>CONTROL!fila 30</x:v>
      </x:c>
      <x:c r="C41" s="29" t="str"/>
      <x:c r="D41" s="32" t="str">
        <x:v>B30: Juan Herrade
C30: Gregor
D30: Sauvage Dior
E30: 22
P30: </x:v>
      </x:c>
      <x:c r="E41" s="22" t="str">
        <x:v>Fuente original</x:v>
      </x:c>
      <x:c r="F41" s="22" t="str"/>
    </x:row>
    <x:row r="42" ht="70" customHeight="1">
      <x:c r="A42" s="22" t="str">
        <x:v>Excel</x:v>
      </x:c>
      <x:c r="B42" s="22" t="str">
        <x:v>CONTROL!fila 31</x:v>
      </x:c>
      <x:c r="C42" s="29" t="str"/>
      <x:c r="D42" s="32" t="str">
        <x:v>B31: Juan Herrade
C31: Gregor
D31: Victorinox swis army
E31: 22
P31: </x:v>
      </x:c>
      <x:c r="E42" s="22" t="str">
        <x:v>Fuente original</x:v>
      </x:c>
      <x:c r="F42" s="22" t="str"/>
    </x:row>
    <x:row r="43" ht="70" customHeight="1">
      <x:c r="A43" s="22" t="str">
        <x:v>Excel</x:v>
      </x:c>
      <x:c r="B43" s="22" t="str">
        <x:v>CONTROL!fila 32</x:v>
      </x:c>
      <x:c r="C43" s="29" t="str"/>
      <x:c r="D43" s="32" t="str">
        <x:v>B32: Ricardo Palacios
C32: Gregor
D32: Eros Flame
E32: 22
P32: </x:v>
      </x:c>
      <x:c r="E43" s="22" t="str">
        <x:v>Fuente original</x:v>
      </x:c>
      <x:c r="F43" s="22" t="str"/>
    </x:row>
    <x:row r="44" ht="70" customHeight="1">
      <x:c r="A44" s="22" t="str">
        <x:v>Excel</x:v>
      </x:c>
      <x:c r="B44" s="22" t="str">
        <x:v>CONTROL!fila 33</x:v>
      </x:c>
      <x:c r="C44" s="29" t="str"/>
      <x:c r="D44" s="32" t="str">
        <x:v>B33: Ricardo Palacios
C33: Gregor
D33: Mandarin Sky
E33: 22
P33: </x:v>
      </x:c>
      <x:c r="E44" s="22" t="str">
        <x:v>Fuente original</x:v>
      </x:c>
      <x:c r="F44" s="22" t="str"/>
    </x:row>
    <x:row r="45" ht="70" customHeight="1">
      <x:c r="A45" s="22" t="str">
        <x:v>Excel</x:v>
      </x:c>
      <x:c r="B45" s="22" t="str">
        <x:v>CONTROL!fila 34</x:v>
      </x:c>
      <x:c r="C45" s="29" t="str"/>
      <x:c r="D45" s="32" t="str">
        <x:v>B34: Jeferson Mejias
C34: Hidelberg
D34: BHARARA KING
E34: 42
P34: </x:v>
      </x:c>
      <x:c r="E45" s="22" t="str">
        <x:v>Fuente original</x:v>
      </x:c>
      <x:c r="F45" s="22" t="str"/>
    </x:row>
    <x:row r="46" ht="70" customHeight="1">
      <x:c r="A46" s="22" t="str">
        <x:v>Excel</x:v>
      </x:c>
      <x:c r="B46" s="22" t="str">
        <x:v>CONTROL!fila 35</x:v>
      </x:c>
      <x:c r="C46" s="29" t="str"/>
      <x:c r="D46" s="32" t="str">
        <x:v>B35: Apostol
C35: Gregory
D35: Sauvage Dior
E35: 24
F35: 9252.86
G35: 46249
H35: 7526
P35: 9252.86</x:v>
      </x:c>
      <x:c r="E46" s="22" t="str">
        <x:v>Fuente original</x:v>
      </x:c>
      <x:c r="F46" s="22" t="str"/>
    </x:row>
    <x:row r="47" ht="70" customHeight="1">
      <x:c r="A47" s="22" t="str">
        <x:v>Excel</x:v>
      </x:c>
      <x:c r="B47" s="22" t="str">
        <x:v>CONTROL!fila 36</x:v>
      </x:c>
      <x:c r="C47" s="29" t="str"/>
      <x:c r="D47" s="32" t="str">
        <x:v>B36: Hade Mirleidy
C36: Gregor
D36: YARA ELIXIR
E36: 24
P36: </x:v>
      </x:c>
      <x:c r="E47" s="22" t="str">
        <x:v>Fuente original</x:v>
      </x:c>
      <x:c r="F47" s="22" t="str"/>
    </x:row>
    <x:row r="48" ht="70" customHeight="1">
      <x:c r="A48" s="22" t="str">
        <x:v>Excel</x:v>
      </x:c>
      <x:c r="B48" s="22" t="str">
        <x:v>CONTROL!fila 37</x:v>
      </x:c>
      <x:c r="C48" s="29" t="str"/>
      <x:c r="D48" s="32" t="str">
        <x:v>B37: Luis Sequera
C37: Gregor
D37: Mandarin Sky
E37: 31
P37: </x:v>
      </x:c>
      <x:c r="E48" s="22" t="str">
        <x:v>Fuente original</x:v>
      </x:c>
      <x:c r="F48" s="22" t="str"/>
    </x:row>
    <x:row r="49" ht="70" customHeight="1">
      <x:c r="A49" s="22" t="str">
        <x:v>Excel</x:v>
      </x:c>
      <x:c r="B49" s="22" t="str">
        <x:v>CONTROL!fila 38</x:v>
      </x:c>
      <x:c r="C49" s="29" t="str"/>
      <x:c r="D49" s="32" t="str">
        <x:v>B38: Ricardo Gomez
C38: Gregory
D38: CLUD DE NUIT INTENSE
E38: 19
F38: 8356
G38: 46246
H38: 4657
P38: 8356
Q38: Precio anotado como «19 usdt P.M»</x:v>
      </x:c>
      <x:c r="E49" s="22" t="str">
        <x:v>Fuente original</x:v>
      </x:c>
      <x:c r="F49" s="22" t="str"/>
    </x:row>
    <x:row r="50" ht="70" customHeight="1">
      <x:c r="A50" s="22" t="str">
        <x:v>Excel</x:v>
      </x:c>
      <x:c r="B50" s="22" t="str">
        <x:v>CONTROL!fila 39</x:v>
      </x:c>
      <x:c r="C50" s="29" t="str"/>
      <x:c r="D50" s="32" t="str">
        <x:v>B39: Cristhian Gonzales
C39: Gregory
D39: 9PM REBEL ORIGINAL
E39: 70
P39: </x:v>
      </x:c>
      <x:c r="E50" s="22" t="str">
        <x:v>Fuente original</x:v>
      </x:c>
      <x:c r="F50" s="22" t="str"/>
    </x:row>
    <x:row r="51" ht="70" customHeight="1">
      <x:c r="A51" s="22" t="str">
        <x:v>Excel</x:v>
      </x:c>
      <x:c r="B51" s="22" t="str">
        <x:v>PRECIOS PERF ORIGINALES!fila 1</x:v>
      </x:c>
      <x:c r="C51" s="29" t="str"/>
      <x:c r="D51" s="32" t="str">
        <x:v>A1: LISTA DE PRECIOS — PERFUMES ORIGINALES</x:v>
      </x:c>
      <x:c r="E51" s="22" t="str">
        <x:v>Fuente original</x:v>
      </x:c>
      <x:c r="F51" s="22" t="str"/>
    </x:row>
    <x:row r="52" ht="70" customHeight="1">
      <x:c r="A52" s="22" t="str">
        <x:v>Excel</x:v>
      </x:c>
      <x:c r="B52" s="22" t="str">
        <x:v>PRECIOS PERF ORIGINALES!fila 2</x:v>
      </x:c>
      <x:c r="C52" s="29" t="str"/>
      <x:c r="D52" s="32" t="str">
        <x:v>A2: Los descuentos salen de PARÁMETROS (DESC_TEAM / DESC_REVENDEDOR). Solo se edita el Precio Original.</x:v>
      </x:c>
      <x:c r="E52" s="22" t="str">
        <x:v>Fuente original</x:v>
      </x:c>
      <x:c r="F52" s="22" t="str"/>
    </x:row>
    <x:row r="53" ht="70" customHeight="1">
      <x:c r="A53" s="22" t="str">
        <x:v>Excel</x:v>
      </x:c>
      <x:c r="B53" s="22" t="str">
        <x:v>PRECIOS PERF ORIGINALES!fila 3</x:v>
      </x:c>
      <x:c r="C53" s="29" t="str"/>
      <x:c r="D53" s="32" t="str">
        <x:v>A3: PRODUCTO
B3: PRECIO ORIGINAL ($)
C3: PRECIO TEAM ($)
D3: PRECIO REVENDEDOR ($)</x:v>
      </x:c>
      <x:c r="E53" s="22" t="str">
        <x:v>Fuente original</x:v>
      </x:c>
      <x:c r="F53" s="22" t="str"/>
    </x:row>
    <x:row r="54" ht="70" customHeight="1">
      <x:c r="A54" s="22" t="str">
        <x:v>Excel</x:v>
      </x:c>
      <x:c r="B54" s="22" t="str">
        <x:v>PRECIOS PERF ORIGINALES!fila 4</x:v>
      </x:c>
      <x:c r="C54" s="29" t="str"/>
      <x:c r="D54" s="32" t="str">
        <x:v>A4: A.Banderas, black seduction
B4: 50
C4: 37.5 [fórmula: IF(B4="","",ROUND(B4*(1-DESC_TEAM),2))]
D4: 42.5 [fórmula: IF(B4="","",ROUND(B4*(1-DESC_REVENDEDOR),2))]</x:v>
      </x:c>
      <x:c r="E54" s="22" t="str">
        <x:v>Fuente original</x:v>
      </x:c>
      <x:c r="F54" s="22" t="str"/>
    </x:row>
    <x:row r="55" ht="70" customHeight="1">
      <x:c r="A55" s="22" t="str">
        <x:v>Excel</x:v>
      </x:c>
      <x:c r="B55" s="22" t="str">
        <x:v>PRECIOS PERF ORIGINALES!fila 5</x:v>
      </x:c>
      <x:c r="C55" s="29" t="str"/>
      <x:c r="D55" s="32" t="str">
        <x:v>A5: A. Banderas, Blue seduction
B5: 50
C5: 37.5 [fórmula: IF(B5="","",ROUND(B5*(1-DESC_TEAM),2))]
D5: 42.5 [fórmula: IF(B5="","",ROUND(B5*(1-DESC_REVENDEDOR),2))]</x:v>
      </x:c>
      <x:c r="E55" s="22" t="str">
        <x:v>Fuente original</x:v>
      </x:c>
      <x:c r="F55" s="22" t="str"/>
    </x:row>
    <x:row r="56" ht="70" customHeight="1">
      <x:c r="A56" s="22" t="str">
        <x:v>Excel</x:v>
      </x:c>
      <x:c r="B56" s="22" t="str">
        <x:v>PRECIOS PERF ORIGINALES!fila 6</x:v>
      </x:c>
      <x:c r="C56" s="29" t="str"/>
      <x:c r="D56" s="32" t="str">
        <x:v>A6: A. Banderas, The Golden secret
B6: 50
C6: 37.5 [fórmula: IF(B6="","",ROUND(B6*(1-DESC_TEAM),2))]
D6: 42.5 [fórmula: IF(B6="","",ROUND(B6*(1-DESC_REVENDEDOR),2))]</x:v>
      </x:c>
      <x:c r="E56" s="22" t="str">
        <x:v>Fuente original</x:v>
      </x:c>
      <x:c r="F56" s="22" t="str"/>
    </x:row>
    <x:row r="57" ht="70" customHeight="1">
      <x:c r="A57" s="22" t="str">
        <x:v>Excel</x:v>
      </x:c>
      <x:c r="B57" s="22" t="str">
        <x:v>PRECIOS PERF ORIGINALES!fila 7</x:v>
      </x:c>
      <x:c r="C57" s="29" t="str"/>
      <x:c r="D57" s="32" t="str">
        <x:v>A7: A. Banderas the icon
B7: 50
C7: 37.5 [fórmula: IF(B7="","",ROUND(B7*(1-DESC_TEAM),2))]
D7: 42.5 [fórmula: IF(B7="","",ROUND(B7*(1-DESC_REVENDEDOR),2))]</x:v>
      </x:c>
      <x:c r="E57" s="22" t="str">
        <x:v>Fuente original</x:v>
      </x:c>
      <x:c r="F57" s="22" t="str"/>
    </x:row>
    <x:row r="58" ht="70" customHeight="1">
      <x:c r="A58" s="22" t="str">
        <x:v>Excel</x:v>
      </x:c>
      <x:c r="B58" s="22" t="str">
        <x:v>PRECIOS PERF ORIGINALES!fila 8</x:v>
      </x:c>
      <x:c r="C58" s="29" t="str"/>
      <x:c r="D58" s="32" t="str">
        <x:v>A8: A. Banderas The Icon (Black)
B8: 50
C8: 37.5 [fórmula: IF(B8="","",ROUND(B8*(1-DESC_TEAM),2))]
D8: 42.5 [fórmula: IF(B8="","",ROUND(B8*(1-DESC_REVENDEDOR),2))]</x:v>
      </x:c>
      <x:c r="E58" s="22" t="str">
        <x:v>Fuente original</x:v>
      </x:c>
      <x:c r="F58" s="22" t="str"/>
    </x:row>
    <x:row r="59" ht="70" customHeight="1">
      <x:c r="A59" s="22" t="str">
        <x:v>Excel</x:v>
      </x:c>
      <x:c r="B59" s="22" t="str">
        <x:v>PRECIOS PERF ORIGINALES!fila 9</x:v>
      </x:c>
      <x:c r="C59" s="29" t="str"/>
      <x:c r="D59" s="32" t="str">
        <x:v>A9: Afnan, 9pm
B9: 67
C9: 50.25 [fórmula: IF(B9="","",ROUND(B9*(1-DESC_TEAM),2))]
D9: 56.95 [fórmula: IF(B9="","",ROUND(B9*(1-DESC_REVENDEDOR),2))]</x:v>
      </x:c>
      <x:c r="E59" s="22" t="str">
        <x:v>Fuente original</x:v>
      </x:c>
      <x:c r="F59" s="22" t="str"/>
    </x:row>
    <x:row r="60" ht="70" customHeight="1">
      <x:c r="A60" s="22" t="str">
        <x:v>Excel</x:v>
      </x:c>
      <x:c r="B60" s="22" t="str">
        <x:v>PRECIOS PERF ORIGINALES!fila 10</x:v>
      </x:c>
      <x:c r="C60" s="29" t="str"/>
      <x:c r="D60" s="32" t="str">
        <x:v>A10: Ariana grande, CLOUD
B10: 120
C10: 90 [fórmula: IF(B10="","",ROUND(B10*(1-DESC_TEAM),2))]
D10: 102 [fórmula: IF(B10="","",ROUND(B10*(1-DESC_REVENDEDOR),2))]</x:v>
      </x:c>
      <x:c r="E60" s="22" t="str">
        <x:v>Fuente original</x:v>
      </x:c>
      <x:c r="F60" s="22" t="str"/>
    </x:row>
    <x:row r="61" ht="70" customHeight="1">
      <x:c r="A61" s="22" t="str">
        <x:v>Excel</x:v>
      </x:c>
      <x:c r="B61" s="22" t="str">
        <x:v>PRECIOS PERF ORIGINALES!fila 11</x:v>
      </x:c>
      <x:c r="C61" s="29" t="str"/>
      <x:c r="D61" s="32" t="str">
        <x:v>A11: Armaf, club de nuit iconic
B11: 93
C11: 69.75 [fórmula: IF(B11="","",ROUND(B11*(1-DESC_TEAM),2))]
D11: 79.05 [fórmula: IF(B11="","",ROUND(B11*(1-DESC_REVENDEDOR),2))]</x:v>
      </x:c>
      <x:c r="E61" s="22" t="str">
        <x:v>Fuente original</x:v>
      </x:c>
      <x:c r="F61" s="22" t="str"/>
    </x:row>
    <x:row r="62" ht="70" customHeight="1">
      <x:c r="A62" s="22" t="str">
        <x:v>Excel</x:v>
      </x:c>
      <x:c r="B62" s="22" t="str">
        <x:v>PRECIOS PERF ORIGINALES!fila 12</x:v>
      </x:c>
      <x:c r="C62" s="29" t="str"/>
      <x:c r="D62" s="32" t="str">
        <x:v>A12: Armaf, Club de nuit intense man
B12: 68
C12: 51 [fórmula: IF(B12="","",ROUND(B12*(1-DESC_TEAM),2))]
D12: 57.8 [fórmula: IF(B12="","",ROUND(B12*(1-DESC_REVENDEDOR),2))]</x:v>
      </x:c>
      <x:c r="E62" s="22" t="str">
        <x:v>Fuente original</x:v>
      </x:c>
      <x:c r="F62" s="22" t="str"/>
    </x:row>
    <x:row r="63" ht="70" customHeight="1">
      <x:c r="A63" s="22" t="str">
        <x:v>Excel</x:v>
      </x:c>
      <x:c r="B63" s="22" t="str">
        <x:v>PRECIOS PERF ORIGINALES!fila 13</x:v>
      </x:c>
      <x:c r="C63" s="29" t="str"/>
      <x:c r="D63" s="32" t="str">
        <x:v>A13: Armaf, Club de nuit Urban man
B13: 75
C13: 56.25 [fórmula: IF(B13="","",ROUND(B13*(1-DESC_TEAM),2))]
D13: 63.75 [fórmula: IF(B13="","",ROUND(B13*(1-DESC_REVENDEDOR),2))]</x:v>
      </x:c>
      <x:c r="E63" s="22" t="str">
        <x:v>Fuente original</x:v>
      </x:c>
      <x:c r="F63" s="22" t="str"/>
    </x:row>
    <x:row r="64" ht="70" customHeight="1">
      <x:c r="A64" s="22" t="str">
        <x:v>Excel</x:v>
      </x:c>
      <x:c r="B64" s="22" t="str">
        <x:v>PRECIOS PERF ORIGINALES!fila 14</x:v>
      </x:c>
      <x:c r="C64" s="29" t="str"/>
      <x:c r="D64" s="32" t="str">
        <x:v>A14: Armaf, club de nuit woman
B14: 66
C14: 49.5 [fórmula: IF(B14="","",ROUND(B14*(1-DESC_TEAM),2))]
D14: 56.1 [fórmula: IF(B14="","",ROUND(B14*(1-DESC_REVENDEDOR),2))]</x:v>
      </x:c>
      <x:c r="E64" s="22" t="str">
        <x:v>Fuente original</x:v>
      </x:c>
      <x:c r="F64" s="22" t="str"/>
    </x:row>
    <x:row r="65" ht="70" customHeight="1">
      <x:c r="A65" s="22" t="str">
        <x:v>Excel</x:v>
      </x:c>
      <x:c r="B65" s="22" t="str">
        <x:v>PRECIOS PERF ORIGINALES!fila 15</x:v>
      </x:c>
      <x:c r="C65" s="29" t="str"/>
      <x:c r="D65" s="32" t="str">
        <x:v>A15: Armaf, Odyssey marshmallow
B15: 72
C15: 54 [fórmula: IF(B15="","",ROUND(B15*(1-DESC_TEAM),2))]
D15: 61.2 [fórmula: IF(B15="","",ROUND(B15*(1-DESC_REVENDEDOR),2))]</x:v>
      </x:c>
      <x:c r="E65" s="22" t="str">
        <x:v>Fuente original</x:v>
      </x:c>
      <x:c r="F65" s="22" t="str"/>
    </x:row>
    <x:row r="66" ht="70" customHeight="1">
      <x:c r="A66" s="22" t="str">
        <x:v>Excel</x:v>
      </x:c>
      <x:c r="B66" s="22" t="str">
        <x:v>PRECIOS PERF ORIGINALES!fila 16</x:v>
      </x:c>
      <x:c r="C66" s="29" t="str"/>
      <x:c r="D66" s="32" t="str">
        <x:v>A16: Benetton, Colors cold
B16: 32
C16: 24 [fórmula: IF(B16="","",ROUND(B16*(1-DESC_TEAM),2))]
D16: 27.2 [fórmula: IF(B16="","",ROUND(B16*(1-DESC_REVENDEDOR),2))]</x:v>
      </x:c>
      <x:c r="E66" s="22" t="str">
        <x:v>Fuente original</x:v>
      </x:c>
      <x:c r="F66" s="22" t="str"/>
    </x:row>
    <x:row r="67" ht="70" customHeight="1">
      <x:c r="A67" s="22" t="str">
        <x:v>Excel</x:v>
      </x:c>
      <x:c r="B67" s="22" t="str">
        <x:v>PRECIOS PERF ORIGINALES!fila 17</x:v>
      </x:c>
      <x:c r="C67" s="29" t="str"/>
      <x:c r="D67" s="32" t="str">
        <x:v>A17: Benetton, Colors Man black
B17: 43
C17: 32.25 [fórmula: IF(B17="","",ROUND(B17*(1-DESC_TEAM),2))]
D17: 36.55 [fórmula: IF(B17="","",ROUND(B17*(1-DESC_REVENDEDOR),2))]</x:v>
      </x:c>
      <x:c r="E67" s="22" t="str">
        <x:v>Fuente original</x:v>
      </x:c>
      <x:c r="F67" s="22" t="str"/>
    </x:row>
    <x:row r="68" ht="70" customHeight="1">
      <x:c r="A68" s="22" t="str">
        <x:v>Excel</x:v>
      </x:c>
      <x:c r="B68" s="22" t="str">
        <x:v>PRECIOS PERF ORIGINALES!fila 18</x:v>
      </x:c>
      <x:c r="C68" s="29" t="str"/>
      <x:c r="D68" s="32" t="str">
        <x:v>A18: Benetton, Colors Man Blue
B18: 45
C18: 33.75 [fórmula: IF(B18="","",ROUND(B18*(1-DESC_TEAM),2))]
D18: 38.25 [fórmula: IF(B18="","",ROUND(B18*(1-DESC_REVENDEDOR),2))]</x:v>
      </x:c>
      <x:c r="E68" s="22" t="str">
        <x:v>Fuente original</x:v>
      </x:c>
      <x:c r="F68" s="22" t="str"/>
    </x:row>
    <x:row r="69" ht="70" customHeight="1">
      <x:c r="A69" s="22" t="str">
        <x:v>Excel</x:v>
      </x:c>
      <x:c r="B69" s="22" t="str">
        <x:v>PRECIOS PERF ORIGINALES!fila 19</x:v>
      </x:c>
      <x:c r="C69" s="29" t="str"/>
      <x:c r="D69" s="32" t="str">
        <x:v>A19: Benetton, Colors TDH
B19: 30
C19: 22.5 [fórmula: IF(B19="","",ROUND(B19*(1-DESC_TEAM),2))]
D19: 25.5 [fórmula: IF(B19="","",ROUND(B19*(1-DESC_REVENDEDOR),2))]</x:v>
      </x:c>
      <x:c r="E69" s="22" t="str">
        <x:v>Fuente original</x:v>
      </x:c>
      <x:c r="F69" s="22" t="str"/>
    </x:row>
    <x:row r="70" ht="70" customHeight="1">
      <x:c r="A70" s="22" t="str">
        <x:v>Excel</x:v>
      </x:c>
      <x:c r="B70" s="22" t="str">
        <x:v>PRECIOS PERF ORIGINALES!fila 20</x:v>
      </x:c>
      <x:c r="C70" s="29" t="str"/>
      <x:c r="D70" s="32" t="str">
        <x:v>A20: Benetton, Colors woman rose
B20: 45
C20: 33.75 [fórmula: IF(B20="","",ROUND(B20*(1-DESC_TEAM),2))]
D20: 38.25 [fórmula: IF(B20="","",ROUND(B20*(1-DESC_REVENDEDOR),2))]</x:v>
      </x:c>
      <x:c r="E70" s="22" t="str">
        <x:v>Fuente original</x:v>
      </x:c>
      <x:c r="F70" s="22" t="str"/>
    </x:row>
    <x:row r="71" ht="70" customHeight="1">
      <x:c r="A71" s="22" t="str">
        <x:v>Excel</x:v>
      </x:c>
      <x:c r="B71" s="22" t="str">
        <x:v>PRECIOS PERF ORIGINALES!fila 21</x:v>
      </x:c>
      <x:c r="C71" s="29" t="str"/>
      <x:c r="D71" s="32" t="str">
        <x:v>A21: Bharara King
B21: 119
C21: 89.25 [fórmula: IF(B21="","",ROUND(B21*(1-DESC_TEAM),2))]
D21: 101.15 [fórmula: IF(B21="","",ROUND(B21*(1-DESC_REVENDEDOR),2))]</x:v>
      </x:c>
      <x:c r="E71" s="22" t="str">
        <x:v>Fuente original</x:v>
      </x:c>
      <x:c r="F71" s="22" t="str"/>
    </x:row>
    <x:row r="72" ht="70" customHeight="1">
      <x:c r="A72" s="22" t="str">
        <x:v>Excel</x:v>
      </x:c>
      <x:c r="B72" s="22" t="str">
        <x:v>PRECIOS PERF ORIGINALES!fila 22</x:v>
      </x:c>
      <x:c r="C72" s="29" t="str"/>
      <x:c r="D72" s="32" t="str">
        <x:v>A22: Bharara queen
B22: 119
C22: 89.25 [fórmula: IF(B22="","",ROUND(B22*(1-DESC_TEAM),2))]
D22: 101.15 [fórmula: IF(B22="","",ROUND(B22*(1-DESC_REVENDEDOR),2))]</x:v>
      </x:c>
      <x:c r="E72" s="22" t="str">
        <x:v>Fuente original</x:v>
      </x:c>
      <x:c r="F72" s="22" t="str"/>
    </x:row>
    <x:row r="73" ht="70" customHeight="1">
      <x:c r="A73" s="22" t="str">
        <x:v>Excel</x:v>
      </x:c>
      <x:c r="B73" s="22" t="str">
        <x:v>PRECIOS PERF ORIGINALES!fila 23</x:v>
      </x:c>
      <x:c r="C73" s="29" t="str"/>
      <x:c r="D73" s="32" t="str">
        <x:v>A23: CKIN2U
B23: 56
C23: 42 [fórmula: IF(B23="","",ROUND(B23*(1-DESC_TEAM),2))]
D23: 47.6 [fórmula: IF(B23="","",ROUND(B23*(1-DESC_REVENDEDOR),2))]</x:v>
      </x:c>
      <x:c r="E73" s="22" t="str">
        <x:v>Fuente original</x:v>
      </x:c>
      <x:c r="F73" s="22" t="str"/>
    </x:row>
    <x:row r="74" ht="70" customHeight="1">
      <x:c r="A74" s="22" t="str">
        <x:v>Excel</x:v>
      </x:c>
      <x:c r="B74" s="22" t="str">
        <x:v>PRECIOS PERF ORIGINALES!fila 24</x:v>
      </x:c>
      <x:c r="C74" s="29" t="str"/>
      <x:c r="D74" s="32" t="str">
        <x:v>A24: CKIN2U men
B24: 56
C24: 42 [fórmula: IF(B24="","",ROUND(B24*(1-DESC_TEAM),2))]
D24: 47.6 [fórmula: IF(B24="","",ROUND(B24*(1-DESC_REVENDEDOR),2))]</x:v>
      </x:c>
      <x:c r="E74" s="22" t="str">
        <x:v>Fuente original</x:v>
      </x:c>
      <x:c r="F74" s="22" t="str"/>
    </x:row>
    <x:row r="75" ht="70" customHeight="1">
      <x:c r="A75" s="22" t="str">
        <x:v>Excel</x:v>
      </x:c>
      <x:c r="B75" s="22" t="str">
        <x:v>PRECIOS PERF ORIGINALES!fila 25</x:v>
      </x:c>
      <x:c r="C75" s="29" t="str"/>
      <x:c r="D75" s="32" t="str">
        <x:v>A25: Guess night
B25: 56
C25: 42 [fórmula: IF(B25="","",ROUND(B25*(1-DESC_TEAM),2))]
D25: 47.6 [fórmula: IF(B25="","",ROUND(B25*(1-DESC_REVENDEDOR),2))]</x:v>
      </x:c>
      <x:c r="E75" s="22" t="str">
        <x:v>Fuente original</x:v>
      </x:c>
      <x:c r="F75" s="22" t="str"/>
    </x:row>
    <x:row r="76" ht="70" customHeight="1">
      <x:c r="A76" s="22" t="str">
        <x:v>Excel</x:v>
      </x:c>
      <x:c r="B76" s="22" t="str">
        <x:v>PRECIOS PERF ORIGINALES!fila 26</x:v>
      </x:c>
      <x:c r="C76" s="29" t="str"/>
      <x:c r="D76" s="32" t="str">
        <x:v>A26: Guess seductive Homme Blue
B26: 56
C26: 42 [fórmula: IF(B26="","",ROUND(B26*(1-DESC_TEAM),2))]
D26: 47.6 [fórmula: IF(B26="","",ROUND(B26*(1-DESC_REVENDEDOR),2))]</x:v>
      </x:c>
      <x:c r="E76" s="22" t="str">
        <x:v>Fuente original</x:v>
      </x:c>
      <x:c r="F76" s="22" t="str"/>
    </x:row>
    <x:row r="77" ht="70" customHeight="1">
      <x:c r="A77" s="22" t="str">
        <x:v>Excel</x:v>
      </x:c>
      <x:c r="B77" s="22" t="str">
        <x:v>PRECIOS PERF ORIGINALES!fila 27</x:v>
      </x:c>
      <x:c r="C77" s="29" t="str"/>
      <x:c r="D77" s="32" t="str">
        <x:v>A27: Issey Miyake Duo Nomade
B27: 110
C27: 82.5 [fórmula: IF(B27="","",ROUND(B27*(1-DESC_TEAM),2))]
D27: 93.5 [fórmula: IF(B27="","",ROUND(B27*(1-DESC_REVENDEDOR),2))]</x:v>
      </x:c>
      <x:c r="E77" s="22" t="str">
        <x:v>Fuente original</x:v>
      </x:c>
      <x:c r="F77" s="22" t="str"/>
    </x:row>
    <x:row r="78" ht="70" customHeight="1">
      <x:c r="A78" s="22" t="str">
        <x:v>Excel</x:v>
      </x:c>
      <x:c r="B78" s="22" t="str">
        <x:v>PRECIOS PERF ORIGINALES!fila 28</x:v>
      </x:c>
      <x:c r="C78" s="29" t="str"/>
      <x:c r="D78" s="32" t="str">
        <x:v>A28: Lattafa Yara Elixir
B28: 77
C28: 57.75 [fórmula: IF(B28="","",ROUND(B28*(1-DESC_TEAM),2))]
D28: 65.45 [fórmula: IF(B28="","",ROUND(B28*(1-DESC_REVENDEDOR),2))]</x:v>
      </x:c>
      <x:c r="E78" s="22" t="str">
        <x:v>Fuente original</x:v>
      </x:c>
      <x:c r="F78" s="22" t="str"/>
    </x:row>
    <x:row r="79" ht="70" customHeight="1">
      <x:c r="A79" s="22" t="str">
        <x:v>Excel</x:v>
      </x:c>
      <x:c r="B79" s="22" t="str">
        <x:v>PRECIOS PERF ORIGINALES!fila 29</x:v>
      </x:c>
      <x:c r="C79" s="29" t="str"/>
      <x:c r="D79" s="32" t="str">
        <x:v>A29: Nautica CLASSIC
B29: 45
C29: 33.75 [fórmula: IF(B29="","",ROUND(B29*(1-DESC_TEAM),2))]
D29: 38.25 [fórmula: IF(B29="","",ROUND(B29*(1-DESC_REVENDEDOR),2))]</x:v>
      </x:c>
      <x:c r="E79" s="22" t="str">
        <x:v>Fuente original</x:v>
      </x:c>
      <x:c r="F79" s="22" t="str"/>
    </x:row>
    <x:row r="80" ht="70" customHeight="1">
      <x:c r="A80" s="22" t="str">
        <x:v>Excel</x:v>
      </x:c>
      <x:c r="B80" s="22" t="str">
        <x:v>PRECIOS PERF ORIGINALES!fila 30</x:v>
      </x:c>
      <x:c r="C80" s="29" t="str"/>
      <x:c r="D80" s="32" t="str">
        <x:v>A30: Nautica Pure Blue
B30: 45
C30: 33.75 [fórmula: IF(B30="","",ROUND(B30*(1-DESC_TEAM),2))]
D30: 38.25 [fórmula: IF(B30="","",ROUND(B30*(1-DESC_REVENDEDOR),2))]</x:v>
      </x:c>
      <x:c r="E80" s="22" t="str">
        <x:v>Fuente original</x:v>
      </x:c>
      <x:c r="F80" s="22" t="str"/>
    </x:row>
    <x:row r="81" ht="70" customHeight="1">
      <x:c r="A81" s="22" t="str">
        <x:v>Excel</x:v>
      </x:c>
      <x:c r="B81" s="22" t="str">
        <x:v>PRECIOS PERF ORIGINALES!fila 31</x:v>
      </x:c>
      <x:c r="C81" s="29" t="str"/>
      <x:c r="D81" s="32" t="str">
        <x:v>A31: Nautica voyage sport
B31: 45
C31: 33.75 [fórmula: IF(B31="","",ROUND(B31*(1-DESC_TEAM),2))]
D31: 38.25 [fórmula: IF(B31="","",ROUND(B31*(1-DESC_REVENDEDOR),2))]</x:v>
      </x:c>
      <x:c r="E81" s="22" t="str">
        <x:v>Fuente original</x:v>
      </x:c>
      <x:c r="F81" s="22" t="str"/>
    </x:row>
    <x:row r="82" ht="70" customHeight="1">
      <x:c r="A82" s="22" t="str">
        <x:v>Excel</x:v>
      </x:c>
      <x:c r="B82" s="22" t="str">
        <x:v>PRECIOS PERF ORIGINALES!fila 32</x:v>
      </x:c>
      <x:c r="C82" s="29" t="str"/>
      <x:c r="D82" s="32" t="str">
        <x:v>A32: ODYSSEY MANDARIN SKY ELIXIR DE
B32: 124
C32: 93 [fórmula: IF(B32="","",ROUND(B32*(1-DESC_TEAM),2))]
D32: 105.4 [fórmula: IF(B32="","",ROUND(B32*(1-DESC_REVENDEDOR),2))]</x:v>
      </x:c>
      <x:c r="E82" s="22" t="str">
        <x:v>Fuente original</x:v>
      </x:c>
      <x:c r="F82" s="22" t="str"/>
    </x:row>
    <x:row r="83" ht="70" customHeight="1">
      <x:c r="A83" s="22" t="str">
        <x:v>Excel</x:v>
      </x:c>
      <x:c r="B83" s="22" t="str">
        <x:v>PRECIOS PERF ORIGINALES!fila 33</x:v>
      </x:c>
      <x:c r="C83" s="29" t="str"/>
      <x:c r="D83" s="32" t="str">
        <x:v>A33: ODYSSEY MANDARIN SKY, SET
B33: 114
C33: 85.5 [fórmula: IF(B33="","",ROUND(B33*(1-DESC_TEAM),2))]
D33: 96.9 [fórmula: IF(B33="","",ROUND(B33*(1-DESC_REVENDEDOR),2))]</x:v>
      </x:c>
      <x:c r="E83" s="22" t="str">
        <x:v>Fuente original</x:v>
      </x:c>
      <x:c r="F83" s="22" t="str"/>
    </x:row>
    <x:row r="84" ht="70" customHeight="1">
      <x:c r="A84" s="22" t="str">
        <x:v>Excel</x:v>
      </x:c>
      <x:c r="B84" s="22" t="str">
        <x:v>PRECIOS PERF ORIGINALES!fila 34</x:v>
      </x:c>
      <x:c r="C84" s="29" t="str"/>
      <x:c r="D84" s="32" t="str">
        <x:v>A34: Odyssey Mega 200ml
B34: 98
C34: 73.5 [fórmula: IF(B34="","",ROUND(B34*(1-DESC_TEAM),2))]
D34: 83.3 [fórmula: IF(B34="","",ROUND(B34*(1-DESC_REVENDEDOR),2))]</x:v>
      </x:c>
      <x:c r="E84" s="22" t="str">
        <x:v>Fuente original</x:v>
      </x:c>
      <x:c r="F84" s="22" t="str"/>
    </x:row>
    <x:row r="85" ht="70" customHeight="1">
      <x:c r="A85" s="22" t="str">
        <x:v>Excel</x:v>
      </x:c>
      <x:c r="B85" s="22" t="str">
        <x:v>PRECIOS PERF ORIGINALES!fila 35</x:v>
      </x:c>
      <x:c r="C85" s="29" t="str"/>
      <x:c r="D85" s="32" t="str">
        <x:v>A35: Paris Hilton, justo Me
B35: 59
C35: 44.25 [fórmula: IF(B35="","",ROUND(B35*(1-DESC_TEAM),2))]
D35: 50.15 [fórmula: IF(B35="","",ROUND(B35*(1-DESC_REVENDEDOR),2))]</x:v>
      </x:c>
      <x:c r="E85" s="22" t="str">
        <x:v>Fuente original</x:v>
      </x:c>
      <x:c r="F85" s="22" t="str"/>
    </x:row>
    <x:row r="86" ht="70" customHeight="1">
      <x:c r="A86" s="22" t="str">
        <x:v>Excel</x:v>
      </x:c>
      <x:c r="B86" s="22" t="str">
        <x:v>PRECIOS PERF ORIGINALES!fila 36</x:v>
      </x:c>
      <x:c r="C86" s="29" t="str"/>
      <x:c r="D86" s="32" t="str">
        <x:v>A36: Paris Hilton w
B36: 61
C36: 45.75 [fórmula: IF(B36="","",ROUND(B36*(1-DESC_TEAM),2))]
D36: 51.85 [fórmula: IF(B36="","",ROUND(B36*(1-DESC_REVENDEDOR),2))]</x:v>
      </x:c>
      <x:c r="E86" s="22" t="str">
        <x:v>Fuente original</x:v>
      </x:c>
      <x:c r="F86" s="22" t="str"/>
    </x:row>
    <x:row r="87" ht="70" customHeight="1">
      <x:c r="A87" s="22" t="str">
        <x:v>Excel</x:v>
      </x:c>
      <x:c r="B87" s="22" t="str">
        <x:v>VENTAS!fila 1</x:v>
      </x:c>
      <x:c r="C87" s="29" t="str"/>
      <x:c r="D87" s="32" t="str">
        <x:v>A1: x|
B1: REGISTRO DE VENTAS</x:v>
      </x:c>
      <x:c r="E87" s="22" t="str">
        <x:v>Fuente original</x:v>
      </x:c>
      <x:c r="F87" s="22" t="str"/>
    </x:row>
    <x:row r="88" ht="70" customHeight="1">
      <x:c r="A88" s="22" t="str">
        <x:v>Excel</x:v>
      </x:c>
      <x:c r="B88" s="22" t="str">
        <x:v>VENTAS!fila 3</x:v>
      </x:c>
      <x:c r="C88" s="29" t="str"/>
      <x:c r="D88" s="32" t="str">
        <x:v>A3: FECHA
B3: N° OPERACIÓN
C3: PRODUCTO
D3: CLIENTE
E3: VENDEDOR
F3: PRECIO VENTA ($)
G3: COSTO ($)
H3: GANANCIA ($)
I3: MARGEN
J3: MONEDA
K3: ABONADO ($)
L3: DEUDA ($)
M3: NOTAS
N3: ESTADO
O3: RESUMEN (dinámico)</x:v>
      </x:c>
      <x:c r="E88" s="22" t="str">
        <x:v>Fuente original</x:v>
      </x:c>
      <x:c r="F88" s="22" t="str"/>
    </x:row>
    <x:row r="89" ht="70" customHeight="1">
      <x:c r="A89" s="22" t="str">
        <x:v>Excel</x:v>
      </x:c>
      <x:c r="B89" s="22" t="str">
        <x:v>VENTAS!fila 4</x:v>
      </x:c>
      <x:c r="C89" s="29" t="str"/>
      <x:c r="D89" s="32" t="str">
        <x:v>A4: 46214
B4: 1
C4: Yara Fem
D4: Fernanda
E4: Gregory
F4: 30
G4: 13
H4: 17 [fórmula: IF(COUNT(F4:G4)&lt;2,"",F4-G4)]
I4: 0.5666666667 [fórmula: IF(OR(H4="",F4=""),"",H4/F4)]
J4: BCV
K4: 0 [fórmula: SUMIFS('REGISTRO DE CUOTAS'!$F:$F,'REGISTRO DE CUOTAS'!$D:$D,$D4,'REGISTRO DE CUOTAS'!$E:$E,$C4)]
L4: 30 [fórmula: IF(F4="","",F4-K4)]
N4: Moroso [fórmula: IF(A4="","",IF(IFERROR(L4,F4-IFERROR(K4,0))&lt;=0,"Pagado",IF(TODAY()-A4&gt;30,"Moroso","Con Deuda Vigente")))]
O4: Ventas registradas
P4: 41 [fórmula: COUNTA($C$4:$C$44)]</x:v>
      </x:c>
      <x:c r="E89" s="22" t="str">
        <x:v>Fuente original</x:v>
      </x:c>
      <x:c r="F89" s="22" t="str"/>
    </x:row>
    <x:row r="90" ht="70" customHeight="1">
      <x:c r="A90" s="22" t="str">
        <x:v>Excel</x:v>
      </x:c>
      <x:c r="B90" s="22" t="str">
        <x:v>VENTAS!fila 5</x:v>
      </x:c>
      <x:c r="C90" s="29" t="str"/>
      <x:c r="D90" s="32" t="str">
        <x:v>A5: 46193
B5: 2
C5: Bharara King
D5: Ángel
E5: Gregory
F5: 42
G5: 20
H5: 22
I5: 0.5238095238
J5: BCV
K5: 0 [fórmula: SUMIFS('REGISTRO DE CUOTAS'!$F:$F,'REGISTRO DE CUOTAS'!$D:$D,$D5,'REGISTRO DE CUOTAS'!$E:$E,$C5)]
L5: 42
N5: Moroso
O5: Total Ventas ($)
P5: 1517.5 [fórmula: SUM(F:F)]</x:v>
      </x:c>
      <x:c r="E90" s="22" t="str">
        <x:v>Fuente original</x:v>
      </x:c>
      <x:c r="F90" s="22" t="str"/>
    </x:row>
    <x:row r="91" ht="70" customHeight="1">
      <x:c r="A91" s="22" t="str">
        <x:v>Excel</x:v>
      </x:c>
      <x:c r="B91" s="22" t="str">
        <x:v>VENTAS!fila 6</x:v>
      </x:c>
      <x:c r="C91" s="29" t="str"/>
      <x:c r="D91" s="32" t="str">
        <x:v>A6: 46193
B6: 3
C6: Khamarah Qahwa
D6: Amarista
E6: Gregory
F6: 42
G6: 20
H6: 22
I6: 0.5238095238
J6: BCV
K6: 0 [fórmula: SUMIFS('REGISTRO DE CUOTAS'!$F:$F,'REGISTRO DE CUOTAS'!$D:$D,$D6,'REGISTRO DE CUOTAS'!$E:$E,$C6)]
L6: 42
N6: Moroso
O6: Costo Total ($)
P6: 797.76 [fórmula: SUM(G:G)]</x:v>
      </x:c>
      <x:c r="E91" s="22" t="str">
        <x:v>Fuente original</x:v>
      </x:c>
      <x:c r="F91" s="22" t="str"/>
    </x:row>
    <x:row r="92" ht="70" customHeight="1">
      <x:c r="A92" s="22" t="str">
        <x:v>Excel</x:v>
      </x:c>
      <x:c r="B92" s="22" t="str">
        <x:v>VENTAS!fila 7</x:v>
      </x:c>
      <x:c r="C92" s="29" t="str"/>
      <x:c r="D92" s="32" t="str">
        <x:v>A7: 46206
B7: 4
C7: Universe
D7: Ricardo
E7: Gregory
F7: 42
G7: 20
H7: 22
I7: 0.5238095238
J7: BCV
K7: 0 [fórmula: SUMIFS('REGISTRO DE CUOTAS'!$F:$F,'REGISTRO DE CUOTAS'!$D:$D,$D7,'REGISTRO DE CUOTAS'!$E:$E,$C7)]
L7: 42
N7: Moroso
O7: Ganancia Total ($)
P7: 645.24 [fórmula: SUM(H:H)]</x:v>
      </x:c>
      <x:c r="E92" s="22" t="str">
        <x:v>Fuente original</x:v>
      </x:c>
      <x:c r="F92" s="22" t="str"/>
    </x:row>
    <x:row r="93" ht="70" customHeight="1">
      <x:c r="A93" s="22" t="str">
        <x:v>Excel</x:v>
      </x:c>
      <x:c r="B93" s="22" t="str">
        <x:v>VENTAS!fila 8</x:v>
      </x:c>
      <x:c r="C93" s="29" t="str"/>
      <x:c r="D93" s="32" t="str">
        <x:v>A8: 46195
B8: 5
C8: Club de Nuit Urban Elixir
D8: Belisario
E8: Gregory
F8: 30
G8: 13
H8: 17
I8: 0.5666666667
J8: BCV
K8: 0 [fórmula: SUMIFS('REGISTRO DE CUOTAS'!$F:$F,'REGISTRO DE CUOTAS'!$D:$D,$D8,'REGISTRO DE CUOTAS'!$E:$E,$C8)]
L8: 30
N8: Moroso
O8: Margen promedio
P8: 0.425199341 [fórmula: IF(SUM(F:F)=0,"",SUM(H:H)/SUM(F:F))]</x:v>
      </x:c>
      <x:c r="E93" s="22" t="str">
        <x:v>Fuente original</x:v>
      </x:c>
      <x:c r="F93" s="22" t="str"/>
    </x:row>
    <x:row r="94" ht="70" customHeight="1">
      <x:c r="A94" s="22" t="str">
        <x:v>Excel</x:v>
      </x:c>
      <x:c r="B94" s="22" t="str">
        <x:v>VENTAS!fila 9</x:v>
      </x:c>
      <x:c r="C94" s="29" t="str"/>
      <x:c r="D94" s="32" t="str">
        <x:v>A9: 45830
B9: 6
C9: Yara Moi
D9: Marbella
E9: Gregory
F9: 30
G9: 13
H9: 17
I9: 0.5666666667
J9: BCV
K9: 0 [fórmula: SUMIFS('REGISTRO DE CUOTAS'!$F:$F,'REGISTRO DE CUOTAS'!$D:$D,$D9,'REGISTRO DE CUOTAS'!$E:$E,$C9)]
L9: 30
N9: Moroso
O9: Total Abonado ($)
P9: 0 [fórmula: SUM(K:K)]</x:v>
      </x:c>
      <x:c r="E94" s="22" t="str">
        <x:v>Fuente original</x:v>
      </x:c>
      <x:c r="F94" s="22" t="str"/>
    </x:row>
    <x:row r="95" ht="70" customHeight="1">
      <x:c r="A95" s="22" t="str">
        <x:v>Excel</x:v>
      </x:c>
      <x:c r="B95" s="22" t="str">
        <x:v>VENTAS!fila 10</x:v>
      </x:c>
      <x:c r="C95" s="29" t="str"/>
      <x:c r="D95" s="32" t="str">
        <x:v>A10: 46200
B10: 7
C10: Very Good Grul
D10: Cristihan
E10: Gregory
F10: 24
G10: 9.5
H10: 14.5
I10: 0.6041666667
J10: BCV
K10: 0 [fórmula: SUMIFS('REGISTRO DE CUOTAS'!$F:$F,'REGISTRO DE CUOTAS'!$D:$D,$D10,'REGISTRO DE CUOTAS'!$E:$E,$C10)]
L10: 24
N10: Moroso
O10: Total por Cobrar ($)
P10: 1517.5 [fórmula: SUM(L:L)]</x:v>
      </x:c>
      <x:c r="E95" s="22" t="str">
        <x:v>Fuente original</x:v>
      </x:c>
      <x:c r="F95" s="22" t="str"/>
    </x:row>
    <x:row r="96" ht="70" customHeight="1">
      <x:c r="A96" s="22" t="str">
        <x:v>Excel</x:v>
      </x:c>
      <x:c r="B96" s="22" t="str">
        <x:v>VENTAS!fila 11</x:v>
      </x:c>
      <x:c r="C96" s="29" t="str"/>
      <x:c r="D96" s="32" t="str">
        <x:v>A11: 46203
B11: 8
C11: Honor y glory
D11: Polanco
E11: Gregory
F11: 35
G11: 12
H11: 23
I11: 0.6571428571
J11: BCV
K11: 0 [fórmula: SUMIFS('REGISTRO DE CUOTAS'!$F:$F,'REGISTRO DE CUOTAS'!$D:$D,$D11,'REGISTRO DE CUOTAS'!$E:$E,$C11)]
L11: 35
N11: Moroso
O11: Ventas con pérdida
P11: 1 [fórmula: COUNTIF(H:H,"&lt;0")]</x:v>
      </x:c>
      <x:c r="E96" s="22" t="str">
        <x:v>Fuente original</x:v>
      </x:c>
      <x:c r="F96" s="22" t="str"/>
    </x:row>
    <x:row r="97" ht="70" customHeight="1">
      <x:c r="A97" s="22" t="str">
        <x:v>Excel</x:v>
      </x:c>
      <x:c r="B97" s="22" t="str">
        <x:v>VENTAS!fila 12</x:v>
      </x:c>
      <x:c r="C97" s="29" t="str"/>
      <x:c r="D97" s="32" t="str">
        <x:v>A12: 46203
B12: 9
C12: cloud
D12: Norelvis
E12: Gregory
F12: 30
G12: 12
H12: 18
I12: 0.6
J12: BCV
K12: 0 [fórmula: SUMIFS('REGISTRO DE CUOTAS'!$F:$F,'REGISTRO DE CUOTAS'!$D:$D,$D12,'REGISTRO DE CUOTAS'!$E:$E,$C12)]
L12: 30
N12: Moroso</x:v>
      </x:c>
      <x:c r="E97" s="22" t="str">
        <x:v>Fuente original</x:v>
      </x:c>
      <x:c r="F97" s="22" t="str"/>
    </x:row>
    <x:row r="98" ht="70" customHeight="1">
      <x:c r="A98" s="22" t="str">
        <x:v>Excel</x:v>
      </x:c>
      <x:c r="B98" s="22" t="str">
        <x:v>VENTAS!fila 13</x:v>
      </x:c>
      <x:c r="C98" s="29" t="str"/>
      <x:c r="D98" s="32" t="str">
        <x:v>A13: 46204
C13: la bomba
D13: Ivana
E13: Gregory
F13: 30
G13: 17
H13: 13
I13: 0.4333333333
J13: BCV
K13: 0 [fórmula: SUMIFS('REGISTRO DE CUOTAS'!$F:$F,'REGISTRO DE CUOTAS'!$D:$D,$D13,'REGISTRO DE CUOTAS'!$E:$E,$C13)]
L13: 30
N13: Moroso
O13: «Total Abonado» sale de la hoja REGISTRO DE CUOTAS, hoy vacía: hasta que se carguen los abonos, la deuda mostrada es el precio completo.</x:v>
      </x:c>
      <x:c r="E98" s="22" t="str">
        <x:v>Fuente original</x:v>
      </x:c>
      <x:c r="F98" s="22" t="str"/>
    </x:row>
    <x:row r="99" ht="70" customHeight="1">
      <x:c r="A99" s="22" t="str">
        <x:v>Excel</x:v>
      </x:c>
      <x:c r="B99" s="22" t="str">
        <x:v>VENTAS!fila 14</x:v>
      </x:c>
      <x:c r="C99" s="29" t="str"/>
      <x:c r="D99" s="32" t="str">
        <x:v>A14: 46204
C14: Aqua Dubai
D14: Cristhian
E14: Gregory
F14: 34
G14: 18
H14: 16
I14: 0.4705882353
J14: BCV
K14: 0 [fórmula: SUMIFS('REGISTRO DE CUOTAS'!$F:$F,'REGISTRO DE CUOTAS'!$D:$D,$D14,'REGISTRO DE CUOTAS'!$E:$E,$C14)]
L14: 34
N14: Moroso</x:v>
      </x:c>
      <x:c r="E99" s="22" t="str">
        <x:v>Fuente original</x:v>
      </x:c>
      <x:c r="F99" s="22" t="str"/>
    </x:row>
    <x:row r="100" ht="70" customHeight="1">
      <x:c r="A100" s="22" t="str">
        <x:v>Excel</x:v>
      </x:c>
      <x:c r="B100" s="22" t="str">
        <x:v>VENTAS!fila 15</x:v>
      </x:c>
      <x:c r="C100" s="29" t="str"/>
      <x:c r="D100" s="32" t="str">
        <x:v>A15: 46205
B15: 10
C15: 212Vip
D15: Anderson
E15: Gregory
F15: 22
G15: 9.5
H15: 12.5
I15: 0.5681818182
J15: BCV
K15: 0 [fórmula: SUMIFS('REGISTRO DE CUOTAS'!$F:$F,'REGISTRO DE CUOTAS'!$D:$D,$D15,'REGISTRO DE CUOTAS'!$E:$E,$C15)]
L15: 22
N15: Moroso</x:v>
      </x:c>
      <x:c r="E100" s="22" t="str">
        <x:v>Fuente original</x:v>
      </x:c>
      <x:c r="F100" s="22" t="str"/>
    </x:row>
    <x:row r="101" ht="70" customHeight="1">
      <x:c r="A101" s="22" t="str">
        <x:v>Excel</x:v>
      </x:c>
      <x:c r="B101" s="22" t="str">
        <x:v>VENTAS!fila 16</x:v>
      </x:c>
      <x:c r="C101" s="29" t="str"/>
      <x:c r="D101" s="32" t="str">
        <x:v>A16: 46205
C16: Club de Nuit
D16: Polanco
E16: Gregory
F16: 30
G16: 51
H16: -21
I16: -0.7
J16: BCV
K16: 0 [fórmula: SUMIFS('REGISTRO DE CUOTAS'!$F:$F,'REGISTRO DE CUOTAS'!$D:$D,$D16,'REGISTRO DE CUOTAS'!$E:$E,$C16)]
L16: 30
N16: Moroso</x:v>
      </x:c>
      <x:c r="E101" s="22" t="str">
        <x:v>Fuente original</x:v>
      </x:c>
      <x:c r="F101" s="22" t="str"/>
    </x:row>
    <x:row r="102" ht="70" customHeight="1">
      <x:c r="A102" s="22" t="str">
        <x:v>Excel</x:v>
      </x:c>
      <x:c r="B102" s="22" t="str">
        <x:v>VENTAS!fila 17</x:v>
      </x:c>
      <x:c r="C102" s="29" t="str"/>
      <x:c r="D102" s="32" t="str">
        <x:v>A17: 46200
B17: 11
C17: 212 NYC
D17: Reinel
E17: Hidelberg
F17: 24
G17: 12
H17: 12
I17: 0.5
J17: BCV
K17: 0 [fórmula: SUMIFS('REGISTRO DE CUOTAS'!$F:$F,'REGISTRO DE CUOTAS'!$D:$D,$D17,'REGISTRO DE CUOTAS'!$E:$E,$C17)]
L17: 24
N17: Moroso</x:v>
      </x:c>
      <x:c r="E102" s="22" t="str">
        <x:v>Fuente original</x:v>
      </x:c>
      <x:c r="F102" s="22" t="str"/>
    </x:row>
    <x:row r="103" ht="70" customHeight="1">
      <x:c r="A103" s="22" t="str">
        <x:v>Excel</x:v>
      </x:c>
      <x:c r="B103" s="22" t="str">
        <x:v>VENTAS!fila 18</x:v>
      </x:c>
      <x:c r="C103" s="29" t="str"/>
      <x:c r="D103" s="32" t="str">
        <x:v>A18: 46206
B18: 12
C18: EROS MEN VERSACHE
D18: Llovera
E18: Gregory
F18: 24
G18: 9.5
H18: 14.5
I18: 0.6041666667
K18: 0 [fórmula: SUMIFS('REGISTRO DE CUOTAS'!$F:$F,'REGISTRO DE CUOTAS'!$D:$D,$D18,'REGISTRO DE CUOTAS'!$E:$E,$C18)]
L18: 24
N18: Moroso</x:v>
      </x:c>
      <x:c r="E103" s="22" t="str">
        <x:v>Fuente original</x:v>
      </x:c>
      <x:c r="F103" s="22" t="str"/>
    </x:row>
    <x:row r="104" ht="70" customHeight="1">
      <x:c r="A104" s="22" t="str">
        <x:v>Excel</x:v>
      </x:c>
      <x:c r="B104" s="22" t="str">
        <x:v>VENTAS!fila 19</x:v>
      </x:c>
      <x:c r="C104" s="29" t="str"/>
      <x:c r="D104" s="32" t="str">
        <x:v>A19: 46220
B19: 13
C19: 360
D19: Mirleidy
E19: Gregory
F19: 12
G19: 9.5
H19: 2.5
I19: 0.2083333333
K19: 0 [fórmula: SUMIFS('REGISTRO DE CUOTAS'!$F:$F,'REGISTRO DE CUOTAS'!$D:$D,$D19,'REGISTRO DE CUOTAS'!$E:$E,$C19)]
L19: 12
N19: Moroso</x:v>
      </x:c>
      <x:c r="E104" s="22" t="str">
        <x:v>Fuente original</x:v>
      </x:c>
      <x:c r="F104" s="22" t="str"/>
    </x:row>
    <x:row r="105" ht="70" customHeight="1">
      <x:c r="A105" s="22" t="str">
        <x:v>Excel</x:v>
      </x:c>
      <x:c r="B105" s="22" t="str">
        <x:v>VENTAS!fila 20</x:v>
      </x:c>
      <x:c r="C105" s="29" t="str"/>
      <x:c r="D105" s="32" t="str">
        <x:v>A20: 46220
C20: ASAD BORBOM
D20: Mirleidy
E20: Gregory
F20: 16
G20: 13
H20: 3
I20: 0.1875
K20: 0 [fórmula: SUMIFS('REGISTRO DE CUOTAS'!$F:$F,'REGISTRO DE CUOTAS'!$D:$D,$D20,'REGISTRO DE CUOTAS'!$E:$E,$C20)]
L20: 16
N20: Moroso</x:v>
      </x:c>
      <x:c r="E105" s="22" t="str">
        <x:v>Fuente original</x:v>
      </x:c>
      <x:c r="F105" s="22" t="str"/>
    </x:row>
    <x:row r="106" ht="70" customHeight="1">
      <x:c r="A106" s="22" t="str">
        <x:v>Excel</x:v>
      </x:c>
      <x:c r="B106" s="22" t="str">
        <x:v>VENTAS!fila 21</x:v>
      </x:c>
      <x:c r="C106" s="29" t="str"/>
      <x:c r="D106" s="32" t="str">
        <x:v>A21: 46231
C21: TOMMY
D21: Polanco
E21: Gregory
F21: 24
G21: 11
H21: 13
I21: 0.5416666667
K21: 0 [fórmula: SUMIFS('REGISTRO DE CUOTAS'!$F:$F,'REGISTRO DE CUOTAS'!$D:$D,$D21,'REGISTRO DE CUOTAS'!$E:$E,$C21)]
L21: 24
N21: Moroso</x:v>
      </x:c>
      <x:c r="E106" s="22" t="str">
        <x:v>Fuente original</x:v>
      </x:c>
      <x:c r="F106" s="22" t="str"/>
    </x:row>
    <x:row r="107" ht="70" customHeight="1">
      <x:c r="A107" s="22" t="str">
        <x:v>Excel</x:v>
      </x:c>
      <x:c r="B107" s="22" t="str">
        <x:v>VENTAS!fila 22</x:v>
      </x:c>
      <x:c r="C107" s="29" t="str"/>
      <x:c r="D107" s="32" t="str">
        <x:v>A22: 46232
C22: BAD BOY
D22: Belisario
E22: Gregory
F22: 24
G22: 9.5
H22: 14.5
I22: 0.6041666667
K22: 0 [fórmula: SUMIFS('REGISTRO DE CUOTAS'!$F:$F,'REGISTRO DE CUOTAS'!$D:$D,$D22,'REGISTRO DE CUOTAS'!$E:$E,$C22)]
L22: 24
N22: Moroso</x:v>
      </x:c>
      <x:c r="E107" s="22" t="str">
        <x:v>Fuente original</x:v>
      </x:c>
      <x:c r="F107" s="22" t="str"/>
    </x:row>
    <x:row r="108" ht="70" customHeight="1">
      <x:c r="A108" s="22" t="str">
        <x:v>Excel</x:v>
      </x:c>
      <x:c r="B108" s="22" t="str">
        <x:v>VENTAS!fila 23</x:v>
      </x:c>
      <x:c r="C108" s="29" t="str"/>
      <x:c r="D108" s="32" t="str">
        <x:v>A23: 46233
C23: AQUA DI GIO
D23: Anderson
E23: Gregory
F23: 22
G23: 9.5
H23: 12.5
I23: 0.5681818182
K23: 0 [fórmula: SUMIFS('REGISTRO DE CUOTAS'!$F:$F,'REGISTRO DE CUOTAS'!$D:$D,$D23,'REGISTRO DE CUOTAS'!$E:$E,$C23)]
L23: 22
N23: Moroso</x:v>
      </x:c>
      <x:c r="E108" s="22" t="str">
        <x:v>Fuente original</x:v>
      </x:c>
      <x:c r="F108" s="22" t="str"/>
    </x:row>
    <x:row r="109" ht="70" customHeight="1">
      <x:c r="A109" s="22" t="str">
        <x:v>Excel</x:v>
      </x:c>
      <x:c r="B109" s="22" t="str">
        <x:v>VENTAS!fila 24</x:v>
      </x:c>
      <x:c r="C109" s="29" t="str"/>
      <x:c r="D109" s="32" t="str">
        <x:v>A24: 46235
B24: 14
C24: SCANDAL
D24: Adolfito
E24: Gregory
F24: 22
G24: 9.5
H24: 12.5
I24: 0.5681818182
K24: 0 [fórmula: SUMIFS('REGISTRO DE CUOTAS'!$F:$F,'REGISTRO DE CUOTAS'!$D:$D,$D24,'REGISTRO DE CUOTAS'!$E:$E,$C24)]
L24: 22
N24: Moroso</x:v>
      </x:c>
      <x:c r="E109" s="22" t="str">
        <x:v>Fuente original</x:v>
      </x:c>
      <x:c r="F109" s="22" t="str"/>
    </x:row>
    <x:row r="110" ht="70" customHeight="1">
      <x:c r="A110" s="22" t="str">
        <x:v>Excel</x:v>
      </x:c>
      <x:c r="B110" s="22" t="str">
        <x:v>VENTAS!fila 25</x:v>
      </x:c>
      <x:c r="C110" s="29" t="str"/>
      <x:c r="D110" s="32" t="str">
        <x:v>A25: 46235
B25: 15
C25: INVICTUS
D25: Rafael
E25: Gregory
F25: 22
G25: 9.5
H25: 12.5
I25: 0.5681818182
K25: 0 [fórmula: SUMIFS('REGISTRO DE CUOTAS'!$F:$F,'REGISTRO DE CUOTAS'!$D:$D,$D25,'REGISTRO DE CUOTAS'!$E:$E,$C25)]
L25: 22
N25: Moroso</x:v>
      </x:c>
      <x:c r="E110" s="22" t="str">
        <x:v>Fuente original</x:v>
      </x:c>
      <x:c r="F110" s="22" t="str"/>
    </x:row>
    <x:row r="111" ht="70" customHeight="1">
      <x:c r="A111" s="22" t="str">
        <x:v>Excel</x:v>
      </x:c>
      <x:c r="B111" s="22" t="str">
        <x:v>VENTAS!fila 26</x:v>
      </x:c>
      <x:c r="C111" s="29" t="str"/>
      <x:c r="D111" s="32" t="str">
        <x:v>A26: 46242
C26: AQUA DI GIO
D26: Ricardo
E26: Gregory
F26: 24
G26: 12
H26: 12
I26: 0.5
K26: 0 [fórmula: SUMIFS('REGISTRO DE CUOTAS'!$F:$F,'REGISTRO DE CUOTAS'!$D:$D,$D26,'REGISTRO DE CUOTAS'!$E:$E,$C26)]
L26: 24
N26: Moroso</x:v>
      </x:c>
      <x:c r="E111" s="22" t="str">
        <x:v>Fuente original</x:v>
      </x:c>
      <x:c r="F111" s="22" t="str"/>
    </x:row>
    <x:row r="112" ht="70" customHeight="1">
      <x:c r="A112" s="22" t="str">
        <x:v>Excel</x:v>
      </x:c>
      <x:c r="B112" s="22" t="str">
        <x:v>VENTAS!fila 27</x:v>
      </x:c>
      <x:c r="C112" s="29" t="str"/>
      <x:c r="D112" s="32" t="str">
        <x:v>A27: 46242
B27: 16
C27: CLOUD
D27: Melany
E27: Gregory
F27: 24
G27: 12
H27: 12
I27: 0.5
K27: 0 [fórmula: SUMIFS('REGISTRO DE CUOTAS'!$F:$F,'REGISTRO DE CUOTAS'!$D:$D,$D27,'REGISTRO DE CUOTAS'!$E:$E,$C27)]
L27: 24
N27: Moroso</x:v>
      </x:c>
      <x:c r="E112" s="22" t="str">
        <x:v>Fuente original</x:v>
      </x:c>
      <x:c r="F112" s="22" t="str"/>
    </x:row>
    <x:row r="113" ht="70" customHeight="1">
      <x:c r="A113" s="22" t="str">
        <x:v>Excel</x:v>
      </x:c>
      <x:c r="B113" s="22" t="str">
        <x:v>VENTAS!fila 28</x:v>
      </x:c>
      <x:c r="C113" s="29" t="str"/>
      <x:c r="D113" s="32" t="str">
        <x:v>A28: 46242
C28: BHARARA BLUE
D28: Gregor
E28: Gregor
F28: 18
G28: 18
H28: 0
I28: 0
J28: GM
K28: 0 [fórmula: SUMIFS('REGISTRO DE CUOTAS'!$F:$F,'REGISTRO DE CUOTAS'!$D:$D,$D28,'REGISTRO DE CUOTAS'!$E:$E,$C28)]
L28: 18
M28: Precio anotado como «18.GM»
N28: Moroso</x:v>
      </x:c>
      <x:c r="E113" s="22" t="str">
        <x:v>Fuente original</x:v>
      </x:c>
      <x:c r="F113" s="22" t="str"/>
    </x:row>
    <x:row r="114" ht="70" customHeight="1">
      <x:c r="A114" s="22" t="str">
        <x:v>Excel</x:v>
      </x:c>
      <x:c r="B114" s="22" t="str">
        <x:v>VENTAS!fila 29</x:v>
      </x:c>
      <x:c r="C114" s="29" t="str"/>
      <x:c r="D114" s="32" t="str">
        <x:v>A29: 46242
C29: TOMMY
D29: Hidelberg
E29: Hidelberg
F29: 12
G29: 12
H29: 0
I29: 0
J29: GM
K29: 0 [fórmula: SUMIFS('REGISTRO DE CUOTAS'!$F:$F,'REGISTRO DE CUOTAS'!$D:$D,$D29,'REGISTRO DE CUOTAS'!$E:$E,$C29)]
L29: 12
M29: Precio anotado como «12.GM»
N29: Moroso</x:v>
      </x:c>
      <x:c r="E114" s="22" t="str">
        <x:v>Fuente original</x:v>
      </x:c>
      <x:c r="F114" s="22" t="str"/>
    </x:row>
    <x:row r="115" ht="70" customHeight="1">
      <x:c r="A115" s="22" t="str">
        <x:v>Excel</x:v>
      </x:c>
      <x:c r="B115" s="22" t="str">
        <x:v>VENTAS!fila 30</x:v>
      </x:c>
      <x:c r="C115" s="29" t="str"/>
      <x:c r="D115" s="32" t="str">
        <x:v>A30: 46243
B30: 17
C30: Sauvage Dior
D30: Juan Herrade
E30: Gregory
F30: 22
G30: 12
H30: 10
I30: 0.4545454545
K30: 0 [fórmula: SUMIFS('REGISTRO DE CUOTAS'!$F:$F,'REGISTRO DE CUOTAS'!$D:$D,$D30,'REGISTRO DE CUOTAS'!$E:$E,$C30)]
L30: 22
N30: Moroso</x:v>
      </x:c>
      <x:c r="E115" s="22" t="str">
        <x:v>Fuente original</x:v>
      </x:c>
      <x:c r="F115" s="22" t="str"/>
    </x:row>
    <x:row r="116" ht="70" customHeight="1">
      <x:c r="A116" s="22" t="str">
        <x:v>Excel</x:v>
      </x:c>
      <x:c r="B116" s="22" t="str">
        <x:v>VENTAS!fila 31</x:v>
      </x:c>
      <x:c r="C116" s="29" t="str"/>
      <x:c r="D116" s="32" t="str">
        <x:v>A31: 46243
C31: Victorinox swis army
D31: Juan Herrade
E31: Gregory
F31: 22
G31: 9.5
H31: 12.5
I31: 0.5681818182
K31: 0 [fórmula: SUMIFS('REGISTRO DE CUOTAS'!$F:$F,'REGISTRO DE CUOTAS'!$D:$D,$D31,'REGISTRO DE CUOTAS'!$E:$E,$C31)]
L31: 22
N31: Moroso</x:v>
      </x:c>
      <x:c r="E116" s="22" t="str">
        <x:v>Fuente original</x:v>
      </x:c>
      <x:c r="F116" s="22" t="str"/>
    </x:row>
    <x:row r="117" ht="70" customHeight="1">
      <x:c r="A117" s="22" t="str">
        <x:v>Excel</x:v>
      </x:c>
      <x:c r="B117" s="22" t="str">
        <x:v>VENTAS!fila 32</x:v>
      </x:c>
      <x:c r="C117" s="29" t="str"/>
      <x:c r="D117" s="32" t="str">
        <x:v>A32: 46243
B32: 18
C32: Eros Flame
D32: Ricardo Palacios
E32: Gregor
F32: 22
G32: 12
H32: 10
I32: 0.4545454545
K32: 0 [fórmula: SUMIFS('REGISTRO DE CUOTAS'!$F:$F,'REGISTRO DE CUOTAS'!$D:$D,$D32,'REGISTRO DE CUOTAS'!$E:$E,$C32)]
L32: 22
N32: Moroso</x:v>
      </x:c>
      <x:c r="E117" s="22" t="str">
        <x:v>Fuente original</x:v>
      </x:c>
      <x:c r="F117" s="22" t="str"/>
    </x:row>
    <x:row r="118" ht="70" customHeight="1">
      <x:c r="A118" s="22" t="str">
        <x:v>Excel</x:v>
      </x:c>
      <x:c r="B118" s="22" t="str">
        <x:v>VENTAS!fila 33</x:v>
      </x:c>
      <x:c r="C118" s="29" t="str"/>
      <x:c r="D118" s="32" t="str">
        <x:v>A33: 46243
C33: Mandarin Sky
D33: Ricardo Palacios
E33: Gregor
F33: 22
G33: 15
H33: 7
I33: 0.3181818182
K33: 0 [fórmula: SUMIFS('REGISTRO DE CUOTAS'!$F:$F,'REGISTRO DE CUOTAS'!$D:$D,$D33,'REGISTRO DE CUOTAS'!$E:$E,$C33)]
L33: 22
N33: Moroso</x:v>
      </x:c>
      <x:c r="E118" s="22" t="str">
        <x:v>Fuente original</x:v>
      </x:c>
      <x:c r="F118" s="22" t="str"/>
    </x:row>
    <x:row r="119" ht="70" customHeight="1">
      <x:c r="A119" s="22" t="str">
        <x:v>Excel</x:v>
      </x:c>
      <x:c r="B119" s="22" t="str">
        <x:v>VENTAS!fila 34</x:v>
      </x:c>
      <x:c r="C119" s="29" t="str"/>
      <x:c r="D119" s="32" t="str">
        <x:v>A34: 46244
B34: 19
C34: BHARARA KING
D34: Jeferson Mejias
E34: Hidelberg
F34: 42
G34: 20
H34: 22
I34: 0.5238095238
K34: 0 [fórmula: SUMIFS('REGISTRO DE CUOTAS'!$F:$F,'REGISTRO DE CUOTAS'!$D:$D,$D34,'REGISTRO DE CUOTAS'!$E:$E,$C34)]
L34: 42
N34: Moroso</x:v>
      </x:c>
      <x:c r="E119" s="22" t="str">
        <x:v>Fuente original</x:v>
      </x:c>
      <x:c r="F119" s="22" t="str"/>
    </x:row>
    <x:row r="120" ht="70" customHeight="1">
      <x:c r="A120" s="22" t="str">
        <x:v>Excel</x:v>
      </x:c>
      <x:c r="B120" s="22" t="str">
        <x:v>VENTAS!fila 35</x:v>
      </x:c>
      <x:c r="C120" s="29" t="str"/>
      <x:c r="D120" s="32" t="str">
        <x:v>A35: 46245
B35: 20
C35: Sauvage Dior
D35: Apostol
E35: Gregory
F35: 24
G35: 12
H35: 12
I35: 0.5
K35: 0 [fórmula: SUMIFS('REGISTRO DE CUOTAS'!$F:$F,'REGISTRO DE CUOTAS'!$D:$D,$D35,'REGISTRO DE CUOTAS'!$E:$E,$C35)]
L35: 24
N35: Moroso</x:v>
      </x:c>
      <x:c r="E120" s="22" t="str">
        <x:v>Fuente original</x:v>
      </x:c>
      <x:c r="F120" s="22" t="str"/>
    </x:row>
    <x:row r="121" ht="70" customHeight="1">
      <x:c r="A121" s="22" t="str">
        <x:v>Excel</x:v>
      </x:c>
      <x:c r="B121" s="22" t="str">
        <x:v>VENTAS!fila 36</x:v>
      </x:c>
      <x:c r="C121" s="29" t="str"/>
      <x:c r="D121" s="32" t="str">
        <x:v>A36: 46244
C36: YARA ELIXIR
D36: Hade Mirleidy
E36: Gregor
F36: 24
G36: 12
H36: 12
I36: 0.5
K36: 0 [fórmula: SUMIFS('REGISTRO DE CUOTAS'!$F:$F,'REGISTRO DE CUOTAS'!$D:$D,$D36,'REGISTRO DE CUOTAS'!$E:$E,$C36)]
L36: 24
N36: Moroso</x:v>
      </x:c>
      <x:c r="E121" s="22" t="str">
        <x:v>Fuente original</x:v>
      </x:c>
      <x:c r="F121" s="22" t="str"/>
    </x:row>
    <x:row r="122" ht="70" customHeight="1">
      <x:c r="A122" s="22" t="str">
        <x:v>Excel</x:v>
      </x:c>
      <x:c r="B122" s="22" t="str">
        <x:v>VENTAS!fila 37</x:v>
      </x:c>
      <x:c r="C122" s="29" t="str"/>
      <x:c r="D122" s="32" t="str">
        <x:v>A37: 46244
B37: 21
C37: Mandarin Sky
D37: Luis Sequera
E37: Gregor
F37: 32
G37: 15
H37: 17
I37: 0.53125
K37: 0 [fórmula: SUMIFS('REGISTRO DE CUOTAS'!$F:$F,'REGISTRO DE CUOTAS'!$D:$D,$D37,'REGISTRO DE CUOTAS'!$E:$E,$C37)]
L37: 32
N37: Moroso</x:v>
      </x:c>
      <x:c r="E122" s="22" t="str">
        <x:v>Fuente original</x:v>
      </x:c>
      <x:c r="F122" s="22" t="str"/>
    </x:row>
    <x:row r="123" ht="70" customHeight="1">
      <x:c r="A123" s="22" t="str">
        <x:v>Excel</x:v>
      </x:c>
      <x:c r="B123" s="22" t="str">
        <x:v>VENTAS!fila 38</x:v>
      </x:c>
      <x:c r="C123" s="29" t="str"/>
      <x:c r="D123" s="32" t="str">
        <x:v>A38: 46246
C38: CLUD DE NUIT INTENSE
D38: Ricardo Gomez
E38: Gregory
F38: 19
G38: 15
H38: 4
I38: 0.2105263158
J38: usdt P.M
K38: 0 [fórmula: SUMIFS('REGISTRO DE CUOTAS'!$F:$F,'REGISTRO DE CUOTAS'!$D:$D,$D38,'REGISTRO DE CUOTAS'!$E:$E,$C38)]
L38: 19
M38: Precio anotado como «19 usdt P.M»
N38: Moroso</x:v>
      </x:c>
      <x:c r="E123" s="22" t="str">
        <x:v>Fuente original</x:v>
      </x:c>
      <x:c r="F123" s="22" t="str"/>
    </x:row>
    <x:row r="124" ht="70" customHeight="1">
      <x:c r="A124" s="22" t="str">
        <x:v>Excel</x:v>
      </x:c>
      <x:c r="B124" s="22" t="str">
        <x:v>VENTAS!fila 39</x:v>
      </x:c>
      <x:c r="C124" s="29" t="str"/>
      <x:c r="D124" s="32" t="str">
        <x:v>A39: 46247
C39: 9PM REBEL ORIGINAL
D39: Cristhian Gonzales
E39: Gregory
F39: 70
G39: 50
H39: 20
I39: 0.2857142857
K39: 0 [fórmula: SUMIFS('REGISTRO DE CUOTAS'!$F:$F,'REGISTRO DE CUOTAS'!$D:$D,$D39,'REGISTRO DE CUOTAS'!$E:$E,$C39)]
L39: 70
N39: Moroso</x:v>
      </x:c>
      <x:c r="E124" s="22" t="str">
        <x:v>Fuente original</x:v>
      </x:c>
      <x:c r="F124" s="22" t="str"/>
    </x:row>
    <x:row r="125" ht="70" customHeight="1">
      <x:c r="A125" s="22" t="str">
        <x:v>Excel</x:v>
      </x:c>
      <x:c r="B125" s="22" t="str">
        <x:v>VENTAS!fila 40</x:v>
      </x:c>
      <x:c r="C125" s="29" t="str"/>
      <x:c r="D125" s="32" t="str">
        <x:v>A40: 46249
C40: AQUA DI GIO
D40: Ricardo Gomez
E40: Gregory
F40: 16
G40: 13
H40: 3
I40: 0.1875
J40: P.M
K40: 0 [fórmula: SUMIFS('REGISTRO DE CUOTAS'!$F:$F,'REGISTRO DE CUOTAS'!$D:$D,$D40,'REGISTRO DE CUOTAS'!$E:$E,$C40)]
L40: 16
M40: Precio anotado como «16 P.M»
N40: Moroso</x:v>
      </x:c>
      <x:c r="E125" s="22" t="str">
        <x:v>Fuente original</x:v>
      </x:c>
      <x:c r="F125" s="22" t="str"/>
    </x:row>
    <x:row r="126" ht="70" customHeight="1">
      <x:c r="A126" s="22" t="str">
        <x:v>Excel</x:v>
      </x:c>
      <x:c r="B126" s="22" t="str">
        <x:v>VENTAS!fila 41</x:v>
      </x:c>
      <x:c r="C126" s="29" t="str"/>
      <x:c r="D126" s="32" t="str">
        <x:v>A41: 46249
B41: 22
C41: SCANDAL
D41: Gabriel Medina
E41: Gregor
F41: 22
G41: 11
H41: 11
I41: 0.5
K41: 0 [fórmula: SUMIFS('REGISTRO DE CUOTAS'!$F:$F,'REGISTRO DE CUOTAS'!$D:$D,$D41,'REGISTRO DE CUOTAS'!$E:$E,$C41)]
L41: 22
N41: Moroso</x:v>
      </x:c>
      <x:c r="E126" s="22" t="str">
        <x:v>Fuente original</x:v>
      </x:c>
      <x:c r="F126" s="22" t="str"/>
    </x:row>
    <x:row r="127" ht="70" customHeight="1">
      <x:c r="A127" s="22" t="str">
        <x:v>Excel</x:v>
      </x:c>
      <x:c r="B127" s="22" t="str">
        <x:v>VENTAS!fila 42</x:v>
      </x:c>
      <x:c r="C127" s="29" t="str"/>
      <x:c r="D127" s="32" t="str">
        <x:v>A42: 46249
C42: Sauvage Dior
D42: Gabriel Medina
E42: Gregor
F42: 22
G42: 13
H42: 9
I42: 0.4090909091
K42: 0 [fórmula: SUMIFS('REGISTRO DE CUOTAS'!$F:$F,'REGISTRO DE CUOTAS'!$D:$D,$D42,'REGISTRO DE CUOTAS'!$E:$E,$C42)]
L42: 22
N42: Moroso</x:v>
      </x:c>
      <x:c r="E127" s="22" t="str">
        <x:v>Fuente original</x:v>
      </x:c>
      <x:c r="F127" s="22" t="str"/>
    </x:row>
    <x:row r="128" ht="70" customHeight="1">
      <x:c r="A128" s="22" t="str">
        <x:v>Excel</x:v>
      </x:c>
      <x:c r="B128" s="22" t="str">
        <x:v>VENTAS!fila 43</x:v>
      </x:c>
      <x:c r="C128" s="29" t="str"/>
      <x:c r="D128" s="32" t="str">
        <x:v>A43: 46244
B43: 23
C43: POLO BLUE
D43: Leandro
E43: Gregor
F43: 22
G43: 12
H43: 10
I43: 0.4545454545
K43: 0 [fórmula: SUMIFS('REGISTRO DE CUOTAS'!$F:$F,'REGISTRO DE CUOTAS'!$D:$D,$D43,'REGISTRO DE CUOTAS'!$E:$E,$C43)]
L43: 22
N43: Moroso</x:v>
      </x:c>
      <x:c r="E128" s="22" t="str">
        <x:v>Fuente original</x:v>
      </x:c>
      <x:c r="F128" s="22" t="str"/>
    </x:row>
    <x:row r="129" ht="70" customHeight="1">
      <x:c r="A129" s="22" t="str">
        <x:v>Excel</x:v>
      </x:c>
      <x:c r="B129" s="22" t="str">
        <x:v>VENTAS!fila 44</x:v>
      </x:c>
      <x:c r="C129" s="29" t="str"/>
      <x:c r="D129" s="32" t="str">
        <x:v>A44: 46249
B44: 24
C44: issey miyake
D44: Alejandro blanco
E44: Gregor
F44: 22
G44: 10
H44: 12
I44: 0.5454545455
K44: 0 [fórmula: SUMIFS('REGISTRO DE CUOTAS'!$F:$F,'REGISTRO DE CUOTAS'!$D:$D,$D44,'REGISTRO DE CUOTAS'!$E:$E,$C44)]
L44: 22
N44: Moroso</x:v>
      </x:c>
      <x:c r="E129" s="22" t="str">
        <x:v>Fuente original</x:v>
      </x:c>
      <x:c r="F129" s="22" t="str"/>
    </x:row>
    <x:row r="130" ht="70" customHeight="1">
      <x:c r="A130" s="22" t="str">
        <x:v>Excel</x:v>
      </x:c>
      <x:c r="B130" s="22" t="str">
        <x:v>VENTAS!fila 45</x:v>
      </x:c>
      <x:c r="C130" s="29" t="str"/>
      <x:c r="D130" s="32" t="str">
        <x:v>A45: 46280
B45: 25
C45: Khamarah 
D45: francheska
E45: Gregory
F45: 42
G45: 15
H45: 27 [fórmula: IF(COUNT(F45:G45)&lt;2,"",F45-G45)]
I45: 0.6428571429
K45: 0 [fórmula: SUMIFS('REGISTRO DE CUOTAS'!$F:$F,'REGISTRO DE CUOTAS'!$D:$D,$D45,'REGISTRO DE CUOTAS'!$E:$E,$C45)]
L45: 42
N45: Con Deuda Vigente</x:v>
      </x:c>
      <x:c r="E130" s="22" t="str">
        <x:v>Fuente original</x:v>
      </x:c>
      <x:c r="F130" s="22" t="str"/>
    </x:row>
    <x:row r="131" ht="70" customHeight="1">
      <x:c r="A131" s="22" t="str">
        <x:v>Excel</x:v>
      </x:c>
      <x:c r="B131" s="22" t="str">
        <x:v>VENTAS!fila 46</x:v>
      </x:c>
      <x:c r="C131" s="29" t="str"/>
      <x:c r="D131" s="32" t="str">
        <x:v>A46: 46251
B46: 26
C46: INVICTUS clasico
D46: landaeta
E46: Gregory
F46: 20
G46: 10
H46: 10
I46: 0.5
K46: 0 [fórmula: SUMIFS('REGISTRO DE CUOTAS'!$F:$F,'REGISTRO DE CUOTAS'!$D:$D,$D46,'REGISTRO DE CUOTAS'!$E:$E,$C46)]
L46: 20
N46: Moroso</x:v>
      </x:c>
      <x:c r="E131" s="22" t="str">
        <x:v>Fuente original</x:v>
      </x:c>
      <x:c r="F131" s="22" t="str"/>
    </x:row>
    <x:row r="132" ht="70" customHeight="1">
      <x:c r="A132" s="22" t="str">
        <x:v>Excel</x:v>
      </x:c>
      <x:c r="B132" s="22" t="str">
        <x:v>VENTAS!fila 47</x:v>
      </x:c>
      <x:c r="C132" s="29" t="str"/>
      <x:c r="D132" s="32" t="str">
        <x:v>A47: 46251
C47: ASAD 
D47: landaeta
E47: Gregory
F47: 22
G47: 12
I47: 
K47: 0 [fórmula: SUMIFS('REGISTRO DE CUOTAS'!$F:$F,'REGISTRO DE CUOTAS'!$D:$D,$D47,'REGISTRO DE CUOTAS'!$E:$E,$C47)]
L47: 22
N47: Moroso</x:v>
      </x:c>
      <x:c r="E132" s="22" t="str">
        <x:v>Fuente original</x:v>
      </x:c>
      <x:c r="F132" s="22" t="str"/>
    </x:row>
    <x:row r="133" ht="70" customHeight="1">
      <x:c r="A133" s="22" t="str">
        <x:v>Excel</x:v>
      </x:c>
      <x:c r="B133" s="22" t="str">
        <x:v>VENTAS!fila 48</x:v>
      </x:c>
      <x:c r="C133" s="29" t="str"/>
      <x:c r="D133" s="32" t="str">
        <x:v>A48: 46252
B48: 27
C48: SCANDAL
D48: DEINER
E48: Gregory
F48: 24
G48: 11
I48: 
K48: 0 [fórmula: SUMIFS('REGISTRO DE CUOTAS'!$F:$F,'REGISTRO DE CUOTAS'!$D:$D,$D48,'REGISTRO DE CUOTAS'!$E:$E,$C48)]
L48: 24
N48: Moroso</x:v>
      </x:c>
      <x:c r="E133" s="22" t="str">
        <x:v>Fuente original</x:v>
      </x:c>
      <x:c r="F133" s="22" t="str"/>
    </x:row>
    <x:row r="134" ht="70" customHeight="1">
      <x:c r="A134" s="22" t="str">
        <x:v>Excel</x:v>
      </x:c>
      <x:c r="B134" s="22" t="str">
        <x:v>VENTAS!fila 49</x:v>
      </x:c>
      <x:c r="C134" s="29" t="str"/>
      <x:c r="D134" s="32" t="str">
        <x:v>A49: 46255
C49: AMETHYST
D49: amarista
E49: Gregory
F49: 40
G49: 16
H49: 24 [fórmula: IF(COUNT(F49:G49)&lt;2,"",F49-G49)]
I49: 0.6
K49: 0 [fórmula: SUMIFS('REGISTRO DE CUOTAS'!$F:$F,'REGISTRO DE CUOTAS'!$D:$D,$D49,'REGISTRO DE CUOTAS'!$E:$E,$C49)]
L49: 40
N49: Moroso</x:v>
      </x:c>
      <x:c r="E134" s="22" t="str">
        <x:v>Fuente original</x:v>
      </x:c>
      <x:c r="F134" s="22" t="str"/>
    </x:row>
    <x:row r="135" ht="70" customHeight="1">
      <x:c r="A135" s="22" t="str">
        <x:v>Excel</x:v>
      </x:c>
      <x:c r="B135" s="22" t="str">
        <x:v>VENTAS!fila 50</x:v>
      </x:c>
      <x:c r="C135" s="29" t="str"/>
      <x:c r="D135" s="32" t="str">
        <x:v>A50: 46255
C50: YARA TOUS
D50: anderson
E50: Gregory
F50: 24
G50: 13
H50: 11
I50: 0.4583333333
K50: 0 [fórmula: SUMIFS('REGISTRO DE CUOTAS'!$F:$F,'REGISTRO DE CUOTAS'!$D:$D,$D50,'REGISTRO DE CUOTAS'!$E:$E,$C50)]
L50: 24
N50: Moroso</x:v>
      </x:c>
      <x:c r="E135" s="22" t="str">
        <x:v>Fuente original</x:v>
      </x:c>
      <x:c r="F135" s="22" t="str"/>
    </x:row>
    <x:row r="136" ht="70" customHeight="1">
      <x:c r="A136" s="22" t="str">
        <x:v>Excel</x:v>
      </x:c>
      <x:c r="B136" s="22" t="str">
        <x:v>VENTAS!fila 51</x:v>
      </x:c>
      <x:c r="C136" s="29" t="str"/>
      <x:c r="D136" s="32" t="str">
        <x:v>A51: 46254
C51: AMBER OUD HARAMAIN
D51: ricardo
E51: Gregory
F51: 23
G51: 16
H51: 7
I51: 0.3043478261
J51: USDT
K51: 0 [fórmula: SUMIFS('REGISTRO DE CUOTAS'!$F:$F,'REGISTRO DE CUOTAS'!$D:$D,$D51,'REGISTRO DE CUOTAS'!$E:$E,$C51)]
L51: 23
N51: Moroso</x:v>
      </x:c>
      <x:c r="E136" s="22" t="str">
        <x:v>Fuente original</x:v>
      </x:c>
      <x:c r="F136" s="22" t="str"/>
    </x:row>
    <x:row r="137" ht="70" customHeight="1">
      <x:c r="A137" s="22" t="str">
        <x:v>Excel</x:v>
      </x:c>
      <x:c r="B137" s="22" t="str">
        <x:v>VENTAS!fila 52</x:v>
      </x:c>
      <x:c r="C137" s="29" t="str"/>
      <x:c r="D137" s="32" t="str">
        <x:v>A52: 46258
C52: aqua di gio
D52: ricardo
E52: Gregory
F52: 16
H52: 
I52: 
J52: USDT
K52: 0 [fórmula: SUMIFS('REGISTRO DE CUOTAS'!$F:$F,'REGISTRO DE CUOTAS'!$D:$D,$D52,'REGISTRO DE CUOTAS'!$E:$E,$C52)]
L52: 16
N52: Moroso</x:v>
      </x:c>
      <x:c r="E137" s="22" t="str">
        <x:v>Fuente original</x:v>
      </x:c>
      <x:c r="F137" s="22" t="str"/>
    </x:row>
    <x:row r="138" ht="70" customHeight="1">
      <x:c r="A138" s="22" t="str">
        <x:v>Excel</x:v>
      </x:c>
      <x:c r="B138" s="22" t="str">
        <x:v>VENTAS!fila 53</x:v>
      </x:c>
      <x:c r="C138" s="29" t="str"/>
      <x:c r="D138" s="32" t="str">
        <x:v>A53: 46261
B53: 29
C53: 212 vip men
D53: jose
E53: Gregory
F53: 24
G53: 12
H53: 12
I53: 0.5
K53: 0 [fórmula: SUMIFS('REGISTRO DE CUOTAS'!$F:$F,'REGISTRO DE CUOTAS'!$D:$D,$D53,'REGISTRO DE CUOTAS'!$E:$E,$C53)]
L53: 24
N53: Con Deuda Vigente</x:v>
      </x:c>
      <x:c r="E138" s="22" t="str">
        <x:v>Fuente original</x:v>
      </x:c>
      <x:c r="F138" s="22" t="str"/>
    </x:row>
    <x:row r="139" ht="70" customHeight="1">
      <x:c r="A139" s="22" t="str">
        <x:v>Excel</x:v>
      </x:c>
      <x:c r="B139" s="22" t="str">
        <x:v>VENTAS!fila 54</x:v>
      </x:c>
      <x:c r="C139" s="29" t="str"/>
      <x:c r="D139" s="32" t="str">
        <x:v>A54: 46261
C54: ASAD BORBOM
D54: landaeta
E54: Gregory
F54: 24
G54: 13
H54: 11
I54: 0.4583333333
K54: 0 [fórmula: SUMIFS('REGISTRO DE CUOTAS'!$F:$F,'REGISTRO DE CUOTAS'!$D:$D,$D54,'REGISTRO DE CUOTAS'!$E:$E,$C54)]
L54: 24
N54: Con Deuda Vigente</x:v>
      </x:c>
      <x:c r="E139" s="22" t="str">
        <x:v>Fuente original</x:v>
      </x:c>
      <x:c r="F139" s="22" t="str"/>
    </x:row>
    <x:row r="140" ht="70" customHeight="1">
      <x:c r="A140" s="22" t="str">
        <x:v>Excel</x:v>
      </x:c>
      <x:c r="B140" s="22" t="str">
        <x:v>VENTAS!fila 55</x:v>
      </x:c>
      <x:c r="C140" s="29" t="str"/>
      <x:c r="D140" s="32" t="str">
        <x:v>A55: 26/08/0206
C55: CLUD DE NUIT INTENSE
D55: ricardo
E55: Gregory
F55: 19
G55: 15
H55: 4
I55: 0.2105263158
J55: USDT
K55: 0 [fórmula: SUMIFS('REGISTRO DE CUOTAS'!$F:$F,'REGISTRO DE CUOTAS'!$D:$D,$D55,'REGISTRO DE CUOTAS'!$E:$E,$C55)]
L55: 19
N55: Moroso</x:v>
      </x:c>
      <x:c r="E140" s="22" t="str">
        <x:v>Fuente original</x:v>
      </x:c>
      <x:c r="F140" s="22" t="str"/>
    </x:row>
    <x:row r="141" ht="70" customHeight="1">
      <x:c r="A141" s="22" t="str">
        <x:v>Excel</x:v>
      </x:c>
      <x:c r="B141" s="22" t="str">
        <x:v>VENTAS!fila 56</x:v>
      </x:c>
      <x:c r="C141" s="29" t="str"/>
      <x:c r="D141" s="32" t="str">
        <x:v>A56: 46260
C56: CLUD DE NUIT INTENSE
D56: ricardo
E56: Gregory
F56: 19
G56: 15
H56: 4
I56: 0.2105263158
J56: USDT
K56: 0 [fórmula: SUMIFS('REGISTRO DE CUOTAS'!$F:$F,'REGISTRO DE CUOTAS'!$D:$D,$D56,'REGISTRO DE CUOTAS'!$E:$E,$C56)]
L56: 19
N56: Con Deuda Vigente</x:v>
      </x:c>
      <x:c r="E141" s="22" t="str">
        <x:v>Fuente original</x:v>
      </x:c>
      <x:c r="F141" s="22" t="str"/>
    </x:row>
    <x:row r="142" ht="70" customHeight="1">
      <x:c r="A142" s="22" t="str">
        <x:v>Excel</x:v>
      </x:c>
      <x:c r="B142" s="22" t="str">
        <x:v>VENTAS!fila 57</x:v>
      </x:c>
      <x:c r="C142" s="29" t="str"/>
      <x:c r="D142" s="32" t="str">
        <x:v>A57: 46259
C57: Mandarin Sky
D57: ricardo
E57: Gregory
F57: 19
G57: 15
H57: 4
I57: 0.2105263158
J57: USDT
K57: 0 [fórmula: SUMIFS('REGISTRO DE CUOTAS'!$F:$F,'REGISTRO DE CUOTAS'!$D:$D,$D57,'REGISTRO DE CUOTAS'!$E:$E,$C57)]
L57: 19
N57: Con Deuda Vigente</x:v>
      </x:c>
      <x:c r="E142" s="22" t="str">
        <x:v>Fuente original</x:v>
      </x:c>
      <x:c r="F142" s="22" t="str"/>
    </x:row>
    <x:row r="143" ht="70" customHeight="1">
      <x:c r="A143" s="22" t="str">
        <x:v>Excel</x:v>
      </x:c>
      <x:c r="B143" s="22" t="str">
        <x:v>VENTAS!fila 58</x:v>
      </x:c>
      <x:c r="C143" s="29" t="str"/>
      <x:c r="D143" s="32" t="str">
        <x:v>A58: 46275
B58: 30
C58: 9pm rebel mini
D58: raul aparicio
E58: gregory
F58: 16
G58: 5.42
H58: 10.58
I58: 0.66125
K58: 0 [fórmula: SUMIFS('REGISTRO DE CUOTAS'!$F:$F,'REGISTRO DE CUOTAS'!$D:$D,$D58,'REGISTRO DE CUOTAS'!$E:$E,$C58)]
L58: 16
N58: Con Deuda Vigente</x:v>
      </x:c>
      <x:c r="E143" s="22" t="str">
        <x:v>Fuente original</x:v>
      </x:c>
      <x:c r="F143" s="22" t="str"/>
    </x:row>
    <x:row r="144" ht="70" customHeight="1">
      <x:c r="A144" s="22" t="str">
        <x:v>Excel</x:v>
      </x:c>
      <x:c r="B144" s="22" t="str">
        <x:v>VENTAS!fila 59</x:v>
      </x:c>
      <x:c r="C144" s="29" t="str"/>
      <x:c r="D144" s="32" t="str">
        <x:v>A59: 46276
B59: 31
C59: 9pm elixir
D59: elias
E59: gregory
F59: 10
H59: 
I59: 
J59: Efectivo
K59: 0 [fórmula: SUMIFS('REGISTRO DE CUOTAS'!$F:$F,'REGISTRO DE CUOTAS'!$D:$D,$D59,'REGISTRO DE CUOTAS'!$E:$E,$C59)]
L59: 10
N59: Con Deuda Vigente</x:v>
      </x:c>
      <x:c r="E144" s="22" t="str">
        <x:v>Fuente original</x:v>
      </x:c>
      <x:c r="F144" s="22" t="str"/>
    </x:row>
    <x:row r="145" ht="70" customHeight="1">
      <x:c r="A145" s="22" t="str">
        <x:v>Excel</x:v>
      </x:c>
      <x:c r="B145" s="22" t="str">
        <x:v>VENTAS!fila 60</x:v>
      </x:c>
      <x:c r="C145" s="29" t="str"/>
      <x:c r="D145" s="32" t="str">
        <x:v>A60: 46275
C60: 9pm rebel mini
D60: amarista
E60: gregory
F60: 16
G60: 5.42
H60: 10.58
I60: 0.66125
K60: 0 [fórmula: SUMIFS('REGISTRO DE CUOTAS'!$F:$F,'REGISTRO DE CUOTAS'!$D:$D,$D60,'REGISTRO DE CUOTAS'!$E:$E,$C60)]
L60: 16
N60: Con Deuda Vigente</x:v>
      </x:c>
      <x:c r="E145" s="22" t="str">
        <x:v>Fuente original</x:v>
      </x:c>
      <x:c r="F145" s="22" t="str"/>
    </x:row>
    <x:row r="146" ht="70" customHeight="1">
      <x:c r="A146" s="22" t="str">
        <x:v>Excel</x:v>
      </x:c>
      <x:c r="B146" s="22" t="str">
        <x:v>VENTAS!fila 61</x:v>
      </x:c>
      <x:c r="C146" s="29" t="str"/>
      <x:c r="D146" s="32" t="str">
        <x:v>A61: 46275
C61: 9pm
D61: angel
E61: gregory
F61: 16
G61: 5.42
H61: 10.58
I61: 0.66125
K61: 0 [fórmula: SUMIFS('REGISTRO DE CUOTAS'!$F:$F,'REGISTRO DE CUOTAS'!$D:$D,$D61,'REGISTRO DE CUOTAS'!$E:$E,$C61)]
L61: 16
N61: Con Deuda Vigente</x:v>
      </x:c>
      <x:c r="E146" s="22" t="str">
        <x:v>Fuente original</x:v>
      </x:c>
      <x:c r="F146" s="22" t="str"/>
    </x:row>
    <x:row r="147" ht="70" customHeight="1">
      <x:c r="A147" s="22" t="str">
        <x:v>Excel</x:v>
      </x:c>
      <x:c r="B147" s="22" t="str">
        <x:v>VENTAS!fila 62</x:v>
      </x:c>
      <x:c r="C147" s="29" t="str"/>
      <x:c r="D147" s="32" t="str">
        <x:v>A62: 46275
C62: ariana grande cloud
D62: landaeta
E62: gregory
F62: 26
G62: 12
H62: 14
I62: 0.5384615385
K62: 0 [fórmula: SUMIFS('REGISTRO DE CUOTAS'!$F:$F,'REGISTRO DE CUOTAS'!$D:$D,$D62,'REGISTRO DE CUOTAS'!$E:$E,$C62)]
L62: 26
N62: Con Deuda Vigente</x:v>
      </x:c>
      <x:c r="E147" s="22" t="str">
        <x:v>Fuente original</x:v>
      </x:c>
      <x:c r="F147" s="22" t="str"/>
    </x:row>
    <x:row r="148" ht="70" customHeight="1">
      <x:c r="A148" s="22" t="str">
        <x:v>Excel</x:v>
      </x:c>
      <x:c r="B148" s="22" t="str">
        <x:v>VENTAS!fila 63</x:v>
      </x:c>
      <x:c r="C148" s="29" t="str"/>
      <x:c r="D148" s="32" t="str">
        <x:v>A63: 46277
C63: 9pm rebel mini
D63: ricardo gomez
E63: gregory
F63: 8.5
H63: 
I63: 
J63: USDT
K63: 0 [fórmula: SUMIFS('REGISTRO DE CUOTAS'!$F:$F,'REGISTRO DE CUOTAS'!$D:$D,$D63,'REGISTRO DE CUOTAS'!$E:$E,$C63)]
L63: 8.5
N63: Con Deuda Vigente</x:v>
      </x:c>
      <x:c r="E148" s="22" t="str">
        <x:v>Fuente original</x:v>
      </x:c>
      <x:c r="F148" s="22" t="str"/>
    </x:row>
    <x:row r="149" ht="70" customHeight="1">
      <x:c r="A149" s="22" t="str">
        <x:v>Excel</x:v>
      </x:c>
      <x:c r="B149" s="22" t="str">
        <x:v>VENTAS!fila 64</x:v>
      </x:c>
      <x:c r="C149" s="29" t="str"/>
      <x:c r="D149" s="32" t="str">
        <x:v>A64: 46277
C64: 9am dive
D64: ricardo gomez
E64: gregory
F64: 8.5
H64: 
I64: 
K64: 0 [fórmula: SUMIFS('REGISTRO DE CUOTAS'!$F:$F,'REGISTRO DE CUOTAS'!$D:$D,$D64,'REGISTRO DE CUOTAS'!$E:$E,$C64)]
L64: 8.5
N64: Con Deuda Vigente</x:v>
      </x:c>
      <x:c r="E149" s="22" t="str">
        <x:v>Fuente original</x:v>
      </x:c>
      <x:c r="F149" s="22" t="str"/>
    </x:row>
    <x:row r="150" ht="70" customHeight="1">
      <x:c r="A150" s="22" t="str">
        <x:v>Excel</x:v>
      </x:c>
      <x:c r="B150" s="22" t="str">
        <x:v>VENTAS!fila 65</x:v>
      </x:c>
      <x:c r="C150" s="29" t="str"/>
      <x:c r="D150" s="32" t="str">
        <x:v>A65: 46277
C65: 9pm
D65: ricardo gomez
E65: gregory
F65: 8.5
H65: 
I65: 
K65: 0 [fórmula: SUMIFS('REGISTRO DE CUOTAS'!$F:$F,'REGISTRO DE CUOTAS'!$D:$D,$D65,'REGISTRO DE CUOTAS'!$E:$E,$C65)]
L65: 8.5
N65: Con Deuda Vigente</x:v>
      </x:c>
      <x:c r="E150" s="22" t="str">
        <x:v>Fuente original</x:v>
      </x:c>
      <x:c r="F150" s="22" t="str"/>
    </x:row>
    <x:row r="151" ht="70" customHeight="1">
      <x:c r="A151" s="22" t="str">
        <x:v>Excel</x:v>
      </x:c>
      <x:c r="B151" s="22" t="str">
        <x:v>GASTOS Y COMPRAS!fila 1</x:v>
      </x:c>
      <x:c r="C151" s="29" t="str"/>
      <x:c r="D151" s="32" t="str">
        <x:v>A1: GASTOS Y COMPRAS — ENTRADAS DE COMPRA</x:v>
      </x:c>
      <x:c r="E151" s="22" t="str">
        <x:v>Fuente original</x:v>
      </x:c>
      <x:c r="F151" s="22" t="str"/>
    </x:row>
    <x:row r="152" ht="70" customHeight="1">
      <x:c r="A152" s="22" t="str">
        <x:v>Excel</x:v>
      </x:c>
      <x:c r="B152" s="22" t="str">
        <x:v>GASTOS Y COMPRAS!fila 2</x:v>
      </x:c>
      <x:c r="C152" s="29" t="str"/>
      <x:c r="D152" s="32" t="str">
        <x:v>A2: El original era texto libre en una sola columna. Aquí cada línea queda tipificada; la columna TEXTO ORIGINAL conserva lo escrito, palabra por palabra.</x:v>
      </x:c>
      <x:c r="E152" s="22" t="str">
        <x:v>Fuente original</x:v>
      </x:c>
      <x:c r="F152" s="22" t="str"/>
    </x:row>
    <x:row r="153" ht="70" customHeight="1">
      <x:c r="A153" s="22" t="str">
        <x:v>Excel</x:v>
      </x:c>
      <x:c r="B153" s="22" t="str">
        <x:v>GASTOS Y COMPRAS!fila 3</x:v>
      </x:c>
      <x:c r="C153" s="29" t="str"/>
      <x:c r="D153" s="32" t="str">
        <x:v>A3: LOTE
B3: FECHA LOTE
C3: TIPO
D3: DESCRIPCIÓN
E3: MONTO ($)
F3: MONTO Bs
G3: CANAL
H3: TEXTO ORIGINAL
J3: CONTROL POR LOTE — declarado vs. suma de ítems</x:v>
      </x:c>
      <x:c r="E153" s="22" t="str">
        <x:v>Fuente original</x:v>
      </x:c>
      <x:c r="F153" s="22" t="str"/>
    </x:row>
    <x:row r="154" ht="70" customHeight="1">
      <x:c r="A154" s="22" t="str">
        <x:v>Excel</x:v>
      </x:c>
      <x:c r="B154" s="22" t="str">
        <x:v>GASTOS Y COMPRAS!fila 4</x:v>
      </x:c>
      <x:c r="C154" s="29" t="str"/>
      <x:c r="D154" s="32" t="str">
        <x:v>A4: Lote 19/06/2026
B4: 46192
C4: ENCABEZADO
D4: Lote 19/06/2026
G4: BINANCE
H4: 19.6.2026 TASA BINANCE 
J4: LOTE
K4: SUMA ÍTEMS ($)
L4: SUBTOTAL DECLARADO ($)
M4: DIFERENCIA</x:v>
      </x:c>
      <x:c r="E154" s="22" t="str">
        <x:v>Fuente original</x:v>
      </x:c>
      <x:c r="F154" s="22" t="str"/>
    </x:row>
    <x:row r="155" ht="70" customHeight="1">
      <x:c r="A155" s="22" t="str">
        <x:v>Excel</x:v>
      </x:c>
      <x:c r="B155" s="22" t="str">
        <x:v>GASTOS Y COMPRAS!fila 5</x:v>
      </x:c>
      <x:c r="C155" s="29" t="str"/>
      <x:c r="D155" s="32" t="str">
        <x:v>A5: Lote 19/06/2026
B5: 46192
C5: ÍTEM
D5: ARTISTO
E5: 20
H5: ARTISTO   20$
J5: Lote 19/06/2026
K5: 99 [fórmula: SUMIFS($E:$E,$A:$A,$J5,$C:$C,"ÍTEM")]
L5: 99 [fórmula: SUMIFS($E:$E,$A:$A,$J5,$C:$C,"SUBTOTAL")]
M5: 0 [fórmula: IF(L5=0,"",L5-K5)]</x:v>
      </x:c>
      <x:c r="E155" s="22" t="str">
        <x:v>Fuente original</x:v>
      </x:c>
      <x:c r="F155" s="22" t="str"/>
    </x:row>
    <x:row r="156" ht="70" customHeight="1">
      <x:c r="A156" s="22" t="str">
        <x:v>Excel</x:v>
      </x:c>
      <x:c r="B156" s="22" t="str">
        <x:v>GASTOS Y COMPRAS!fila 6</x:v>
      </x:c>
      <x:c r="C156" s="29" t="str"/>
      <x:c r="D156" s="32" t="str">
        <x:v>A6: Lote 19/06/2026
B6: 46192
C6: ÍTEM
D6: CLUB DE NUIT URBAN
E6: 13
H6: CLUB DE NUIT URBAN  13$
J6: Lote 26/06/2026
K6: 235.5
L6: 236
M6: 0.5</x:v>
      </x:c>
      <x:c r="E156" s="22" t="str">
        <x:v>Fuente original</x:v>
      </x:c>
      <x:c r="F156" s="22" t="str"/>
    </x:row>
    <x:row r="157" ht="70" customHeight="1">
      <x:c r="A157" s="22" t="str">
        <x:v>Excel</x:v>
      </x:c>
      <x:c r="B157" s="22" t="str">
        <x:v>GASTOS Y COMPRAS!fila 7</x:v>
      </x:c>
      <x:c r="C157" s="29" t="str"/>
      <x:c r="D157" s="32" t="str">
        <x:v>A7: Lote 19/06/2026
B7: 46192
C7: ÍTEM
D7: BAHARARA KING
E7: 20
H7: BAHARARA KING 20$
J7: Lote 01/07/2026
K7: 30
L7: 30
M7: 0</x:v>
      </x:c>
      <x:c r="E157" s="22" t="str">
        <x:v>Fuente original</x:v>
      </x:c>
      <x:c r="F157" s="22" t="str"/>
    </x:row>
    <x:row r="158" ht="70" customHeight="1">
      <x:c r="A158" s="22" t="str">
        <x:v>Excel</x:v>
      </x:c>
      <x:c r="B158" s="22" t="str">
        <x:v>GASTOS Y COMPRAS!fila 8</x:v>
      </x:c>
      <x:c r="C158" s="29" t="str"/>
      <x:c r="D158" s="32" t="str">
        <x:v>A8: Lote 19/06/2026
B8: 46192
C8: ÍTEM
D8: YARA FEM
E8: 13
H8: YARA FEM 13$
J8: Lote 08/08/2026
K8: 176
L8: 176
M8: 0</x:v>
      </x:c>
      <x:c r="E158" s="22" t="str">
        <x:v>Fuente original</x:v>
      </x:c>
      <x:c r="F158" s="22" t="str"/>
    </x:row>
    <x:row r="159" ht="70" customHeight="1">
      <x:c r="A159" s="22" t="str">
        <x:v>Excel</x:v>
      </x:c>
      <x:c r="B159" s="22" t="str">
        <x:v>GASTOS Y COMPRAS!fila 9</x:v>
      </x:c>
      <x:c r="C159" s="29" t="str"/>
      <x:c r="D159" s="32" t="str">
        <x:v>A9: Lote 19/06/2026
B9: 46192
C9: ÍTEM
D9: YARA MOI
E9: 13
H9: YARA MOI 13$
J9: Lote 10/08/2026
K9: 109
L9: 109
M9: 0</x:v>
      </x:c>
      <x:c r="E159" s="22" t="str">
        <x:v>Fuente original</x:v>
      </x:c>
      <x:c r="F159" s="22" t="str"/>
    </x:row>
    <x:row r="160" ht="70" customHeight="1">
      <x:c r="A160" s="22" t="str">
        <x:v>Excel</x:v>
      </x:c>
      <x:c r="B160" s="22" t="str">
        <x:v>GASTOS Y COMPRAS!fila 10</x:v>
      </x:c>
      <x:c r="C160" s="29" t="str"/>
      <x:c r="D160" s="32" t="str">
        <x:v>A10: Lote 19/06/2026
B10: 46192
C10: ÍTEM
D10: KHAMRA QAWA
E10: 20
H10: KHAMRA QAWA 20 $
J10: Lote 12/06/2026
K10: 15
L10: 15
M10: 0</x:v>
      </x:c>
      <x:c r="E160" s="22" t="str">
        <x:v>Fuente original</x:v>
      </x:c>
      <x:c r="F160" s="22" t="str"/>
    </x:row>
    <x:row r="161" ht="70" customHeight="1">
      <x:c r="A161" s="22" t="str">
        <x:v>Excel</x:v>
      </x:c>
      <x:c r="B161" s="22" t="str">
        <x:v>GASTOS Y COMPRAS!fila 11</x:v>
      </x:c>
      <x:c r="C161" s="29" t="str"/>
      <x:c r="D161" s="32" t="str">
        <x:v>A11: Lote 19/06/2026
B11: 46192
C11: SUBTOTAL
D11: Subtotal declarado del lote
E11: 99
G11: BINANCE
H11: TOTAL 99$ BINANCE
J11: PEDIDO CARACAS LUKA STORE
K11: 57.15
L11: 59
M11: 1.85</x:v>
      </x:c>
      <x:c r="E161" s="22" t="str">
        <x:v>Fuente original</x:v>
      </x:c>
      <x:c r="F161" s="22" t="str"/>
    </x:row>
    <x:row r="162" ht="70" customHeight="1">
      <x:c r="A162" s="22" t="str">
        <x:v>Excel</x:v>
      </x:c>
      <x:c r="B162" s="22" t="str">
        <x:v>GASTOS Y COMPRAS!fila 12</x:v>
      </x:c>
      <x:c r="C162" s="29" t="str"/>
      <x:c r="D162" s="32" t="str">
        <x:v>A12: Lote 26/06/2026
B12: 46199
C12: ENCABEZADO
D12: Lote 26/06/2026
G12: BINANCE
H12: 26.06.2026 TASA BINANCE 
J12: Lote 12/08/2026
K12: 50
L12: 0
M12: </x:v>
      </x:c>
      <x:c r="E162" s="22" t="str">
        <x:v>Fuente original</x:v>
      </x:c>
      <x:c r="F162" s="22" t="str"/>
    </x:row>
    <x:row r="163" ht="70" customHeight="1">
      <x:c r="A163" s="22" t="str">
        <x:v>Excel</x:v>
      </x:c>
      <x:c r="B163" s="22" t="str">
        <x:v>GASTOS Y COMPRAS!fila 13</x:v>
      </x:c>
      <x:c r="C163" s="29" t="str"/>
      <x:c r="D163" s="32" t="str">
        <x:v>A13: Lote 26/06/2026
B13: 46199
C13: ÍTEM
D13: CLOUD
E13: 12
H13: CLOUD  12 $
J13: TOTAL GENERAL (ítems)
K13: 771.65 [fórmula: SUMIF($C:$C,"ÍTEM",$E:$E)]
L13: 724 [fórmula: SUMIF($C:$C,"SUBTOTAL",$E:$E)]
M13: 2.35 [fórmula: SUM(M5:M12)]</x:v>
      </x:c>
      <x:c r="E163" s="22" t="str">
        <x:v>Fuente original</x:v>
      </x:c>
      <x:c r="F163" s="22" t="str"/>
    </x:row>
    <x:row r="164" ht="70" customHeight="1">
      <x:c r="A164" s="22" t="str">
        <x:v>Excel</x:v>
      </x:c>
      <x:c r="B164" s="22" t="str">
        <x:v>GASTOS Y COMPRAS!fila 14</x:v>
      </x:c>
      <x:c r="C164" s="29" t="str"/>
      <x:c r="D164" s="32" t="str">
        <x:v>A14: Lote 26/06/2026
B14: 46199
C14: ÍTEM
D14: GOOD GIRL VERY
E14: 9.5
H14: GOOD GIRL VERY 9.50$
J14: Otros gastos ($) — líneas «GASTO»
K14: 19.26 [fórmula: SUMIF($C:$C,"GASTO",$E:$E)]</x:v>
      </x:c>
      <x:c r="E164" s="22" t="str">
        <x:v>Fuente original</x:v>
      </x:c>
      <x:c r="F164" s="22" t="str"/>
    </x:row>
    <x:row r="165" ht="70" customHeight="1">
      <x:c r="A165" s="22" t="str">
        <x:v>Excel</x:v>
      </x:c>
      <x:c r="B165" s="22" t="str">
        <x:v>GASTOS Y COMPRAS!fila 15</x:v>
      </x:c>
      <x:c r="C165" s="29" t="str"/>
      <x:c r="D165" s="32" t="str">
        <x:v>A15: Lote 26/06/2026
B15: 46199
C15: ÍTEM
D15: ULTRA MALE
E15: 9.5
H15: ULTRA MALE 9.50$
J15: Gasto total en Bs registrado
K15: 15932 [fórmula: SUM($F:$F)]</x:v>
      </x:c>
      <x:c r="E165" s="22" t="str">
        <x:v>Fuente original</x:v>
      </x:c>
      <x:c r="F165" s="22" t="str"/>
    </x:row>
    <x:row r="166" ht="70" customHeight="1">
      <x:c r="A166" s="22" t="str">
        <x:v>Excel</x:v>
      </x:c>
      <x:c r="B166" s="22" t="str">
        <x:v>GASTOS Y COMPRAS!fila 16</x:v>
      </x:c>
      <x:c r="C166" s="29" t="str"/>
      <x:c r="D166" s="32" t="str">
        <x:v>A16: Lote 26/06/2026
B16: 46199
C16: ÍTEM
D16: SWISS ARMY
E16: 9.5
H16: SWISS ARMY 9.50$
J16: TOTAL COMPRAS + GASTOS ($)
K16: 790.91 [fórmula: K13+K14]</x:v>
      </x:c>
      <x:c r="E166" s="22" t="str">
        <x:v>Fuente original</x:v>
      </x:c>
      <x:c r="F166" s="22" t="str"/>
    </x:row>
    <x:row r="167" ht="70" customHeight="1">
      <x:c r="A167" s="22" t="str">
        <x:v>Excel</x:v>
      </x:c>
      <x:c r="B167" s="22" t="str">
        <x:v>GASTOS Y COMPRAS!fila 17</x:v>
      </x:c>
      <x:c r="C167" s="29" t="str"/>
      <x:c r="D167" s="32" t="str">
        <x:v>A17: Lote 26/06/2026
B17: 46199
C17: ÍTEM
E17: 9.5
H17: 360 9.50$</x:v>
      </x:c>
      <x:c r="E167" s="22" t="str">
        <x:v>Fuente original</x:v>
      </x:c>
      <x:c r="F167" s="22" t="str"/>
    </x:row>
    <x:row r="168" ht="70" customHeight="1">
      <x:c r="A168" s="22" t="str">
        <x:v>Excel</x:v>
      </x:c>
      <x:c r="B168" s="22" t="str">
        <x:v>GASTOS Y COMPRAS!fila 18</x:v>
      </x:c>
      <x:c r="C168" s="29" t="str"/>
      <x:c r="D168" s="32" t="str">
        <x:v>A18: Lote 26/06/2026
B18: 46199
C18: ÍTEM
D18: SCANDAL
E18: 9.5
H18: SCANDAL 9.50$</x:v>
      </x:c>
      <x:c r="E168" s="22" t="str">
        <x:v>Fuente original</x:v>
      </x:c>
      <x:c r="F168" s="22" t="str"/>
    </x:row>
    <x:row r="169" ht="70" customHeight="1">
      <x:c r="A169" s="22" t="str">
        <x:v>Excel</x:v>
      </x:c>
      <x:c r="B169" s="22" t="str">
        <x:v>GASTOS Y COMPRAS!fila 19</x:v>
      </x:c>
      <x:c r="C169" s="29" t="str"/>
      <x:c r="D169" s="32" t="str">
        <x:v>A19: Lote 26/06/2026
B19: 46199
C19: ÍTEM
D19: BAD BOY
E19: 9.5
H19: BAD BOY 9.50$</x:v>
      </x:c>
      <x:c r="E169" s="22" t="str">
        <x:v>Fuente original</x:v>
      </x:c>
      <x:c r="F169" s="22" t="str"/>
    </x:row>
    <x:row r="170" ht="70" customHeight="1">
      <x:c r="A170" s="22" t="str">
        <x:v>Excel</x:v>
      </x:c>
      <x:c r="B170" s="22" t="str">
        <x:v>GASTOS Y COMPRAS!fila 20</x:v>
      </x:c>
      <x:c r="C170" s="29" t="str"/>
      <x:c r="D170" s="32" t="str">
        <x:v>A20: Lote 26/06/2026
B20: 46199
C20: ÍTEM
D20: TOMMY
E20: 9.5
H20: TOMMY 9.50$</x:v>
      </x:c>
      <x:c r="E170" s="22" t="str">
        <x:v>Fuente original</x:v>
      </x:c>
      <x:c r="F170" s="22" t="str"/>
    </x:row>
    <x:row r="171" ht="70" customHeight="1">
      <x:c r="A171" s="22" t="str">
        <x:v>Excel</x:v>
      </x:c>
      <x:c r="B171" s="22" t="str">
        <x:v>GASTOS Y COMPRAS!fila 21</x:v>
      </x:c>
      <x:c r="C171" s="29" t="str"/>
      <x:c r="D171" s="32" t="str">
        <x:v>A21: Lote 26/06/2026
B21: 46199
C21: ÍTEM
D21: INVICTUS
E21: 9.5
H21: INVICTUS 9.50$</x:v>
      </x:c>
      <x:c r="E171" s="22" t="str">
        <x:v>Fuente original</x:v>
      </x:c>
      <x:c r="F171" s="22" t="str"/>
    </x:row>
    <x:row r="172" ht="70" customHeight="1">
      <x:c r="A172" s="22" t="str">
        <x:v>Excel</x:v>
      </x:c>
      <x:c r="B172" s="22" t="str">
        <x:v>GASTOS Y COMPRAS!fila 22</x:v>
      </x:c>
      <x:c r="C172" s="29" t="str"/>
      <x:c r="D172" s="32" t="str">
        <x:v>A22: Lote 26/06/2026
B22: 46199
C22: ÍTEM
D22: VIP
E22: 9.5
H22: 212 VIP 9.50$</x:v>
      </x:c>
      <x:c r="E172" s="22" t="str">
        <x:v>Fuente original</x:v>
      </x:c>
      <x:c r="F172" s="22" t="str"/>
    </x:row>
    <x:row r="173" ht="70" customHeight="1">
      <x:c r="A173" s="22" t="str">
        <x:v>Excel</x:v>
      </x:c>
      <x:c r="B173" s="22" t="str">
        <x:v>GASTOS Y COMPRAS!fila 23</x:v>
      </x:c>
      <x:c r="C173" s="29" t="str"/>
      <x:c r="D173" s="32" t="str">
        <x:v>A23: Lote 26/06/2026
B23: 46199
C23: ÍTEM
D23: EROS MEN
E23: 9.5
H23: EROS MEN 9.50$</x:v>
      </x:c>
      <x:c r="E173" s="22" t="str">
        <x:v>Fuente original</x:v>
      </x:c>
      <x:c r="F173" s="22" t="str"/>
    </x:row>
    <x:row r="174" ht="70" customHeight="1">
      <x:c r="A174" s="22" t="str">
        <x:v>Excel</x:v>
      </x:c>
      <x:c r="B174" s="22" t="str">
        <x:v>GASTOS Y COMPRAS!fila 24</x:v>
      </x:c>
      <x:c r="C174" s="29" t="str"/>
      <x:c r="D174" s="32" t="str">
        <x:v>A24: Lote 26/06/2026
B24: 46199
C24: ÍTEM
D24: AGUA DI DIO
E24: 9.5
H24: AGUA DI DIO 9.50$ </x:v>
      </x:c>
      <x:c r="E174" s="22" t="str">
        <x:v>Fuente original</x:v>
      </x:c>
      <x:c r="F174" s="22" t="str"/>
    </x:row>
    <x:row r="175" ht="70" customHeight="1">
      <x:c r="A175" s="22" t="str">
        <x:v>Excel</x:v>
      </x:c>
      <x:c r="B175" s="22" t="str">
        <x:v>GASTOS Y COMPRAS!fila 25</x:v>
      </x:c>
      <x:c r="C175" s="29" t="str"/>
      <x:c r="D175" s="32" t="str">
        <x:v>A25: Lote 26/06/2026
B25: 46199
C25: ÍTEM
D25: HONOR Y GLORY
E25: 17
H25: HONOR Y GLORY 17$</x:v>
      </x:c>
      <x:c r="E175" s="22" t="str">
        <x:v>Fuente original</x:v>
      </x:c>
      <x:c r="F175" s="22" t="str"/>
    </x:row>
    <x:row r="176" ht="70" customHeight="1">
      <x:c r="A176" s="22" t="str">
        <x:v>Excel</x:v>
      </x:c>
      <x:c r="B176" s="22" t="str">
        <x:v>GASTOS Y COMPRAS!fila 26</x:v>
      </x:c>
      <x:c r="C176" s="29" t="str"/>
      <x:c r="D176" s="32" t="str">
        <x:v>A26: Lote 26/06/2026
B26: 46199
C26: ÍTEM
D26: BAHARARA KING
E26: 20
H26: BAHARARA KING 20$</x:v>
      </x:c>
      <x:c r="E176" s="22" t="str">
        <x:v>Fuente original</x:v>
      </x:c>
      <x:c r="F176" s="22" t="str"/>
    </x:row>
    <x:row r="177" ht="70" customHeight="1">
      <x:c r="A177" s="22" t="str">
        <x:v>Excel</x:v>
      </x:c>
      <x:c r="B177" s="22" t="str">
        <x:v>GASTOS Y COMPRAS!fila 27</x:v>
      </x:c>
      <x:c r="C177" s="29" t="str"/>
      <x:c r="D177" s="32" t="str">
        <x:v>A27: Lote 26/06/2026
B27: 46199
C27: ÍTEM
D27: UNIVERSE
E27: 20
H27: UNIVERSE 20$</x:v>
      </x:c>
      <x:c r="E177" s="22" t="str">
        <x:v>Fuente original</x:v>
      </x:c>
      <x:c r="F177" s="22" t="str"/>
    </x:row>
    <x:row r="178" ht="70" customHeight="1">
      <x:c r="A178" s="22" t="str">
        <x:v>Excel</x:v>
      </x:c>
      <x:c r="B178" s="22" t="str">
        <x:v>GASTOS Y COMPRAS!fila 28</x:v>
      </x:c>
      <x:c r="C178" s="29" t="str"/>
      <x:c r="D178" s="32" t="str">
        <x:v>A28: Lote 26/06/2026
B28: 46199
C28: ÍTEM
D28: KHANRAH
E28: 20
H28: KHANRAH 20$</x:v>
      </x:c>
      <x:c r="E178" s="22" t="str">
        <x:v>Fuente original</x:v>
      </x:c>
      <x:c r="F178" s="22" t="str"/>
    </x:row>
    <x:row r="179" ht="70" customHeight="1">
      <x:c r="A179" s="22" t="str">
        <x:v>Excel</x:v>
      </x:c>
      <x:c r="B179" s="22" t="str">
        <x:v>GASTOS Y COMPRAS!fila 29</x:v>
      </x:c>
      <x:c r="C179" s="29" t="str"/>
      <x:c r="D179" s="32" t="str">
        <x:v>A29: Lote 26/06/2026
B29: 46199
C29: ÍTEM
D29: CLUB DE NUIT
E29: 12
H29: CLUB DE NUIT 12$</x:v>
      </x:c>
      <x:c r="E179" s="22" t="str">
        <x:v>Fuente original</x:v>
      </x:c>
      <x:c r="F179" s="22" t="str"/>
    </x:row>
    <x:row r="180" ht="70" customHeight="1">
      <x:c r="A180" s="22" t="str">
        <x:v>Excel</x:v>
      </x:c>
      <x:c r="B180" s="22" t="str">
        <x:v>GASTOS Y COMPRAS!fila 30</x:v>
      </x:c>
      <x:c r="C180" s="29" t="str"/>
      <x:c r="D180" s="32" t="str">
        <x:v>A30: Lote 26/06/2026
B30: 46199
C30: ÍTEM
D30: ASAD BOURBOM
E30: 13
H30: ASAD BOURBOM 13$</x:v>
      </x:c>
      <x:c r="E180" s="22" t="str">
        <x:v>Fuente original</x:v>
      </x:c>
      <x:c r="F180" s="22" t="str"/>
    </x:row>
    <x:row r="181" ht="70" customHeight="1">
      <x:c r="A181" s="22" t="str">
        <x:v>Excel</x:v>
      </x:c>
      <x:c r="B181" s="22" t="str">
        <x:v>GASTOS Y COMPRAS!fila 31</x:v>
      </x:c>
      <x:c r="C181" s="29" t="str"/>
      <x:c r="D181" s="32" t="str">
        <x:v>A31: Lote 26/06/2026
B31: 46199
C31: ÍTEM
D31: LA BOMBA
E31: 17
H31: LA BOMBA 17$</x:v>
      </x:c>
      <x:c r="E181" s="22" t="str">
        <x:v>Fuente original</x:v>
      </x:c>
      <x:c r="F181" s="22" t="str"/>
    </x:row>
    <x:row r="182" ht="70" customHeight="1">
      <x:c r="A182" s="22" t="str">
        <x:v>Excel</x:v>
      </x:c>
      <x:c r="B182" s="22" t="str">
        <x:v>GASTOS Y COMPRAS!fila 32</x:v>
      </x:c>
      <x:c r="C182" s="29" t="str"/>
      <x:c r="D182" s="32" t="str">
        <x:v>A32: Lote 26/06/2026
B32: 46199
C32: SUBTOTAL
D32: Subtotal declarado del lote
E32: 236
G32: BINANCE
H32: TOTAL  236$ BINANCE </x:v>
      </x:c>
      <x:c r="E182" s="22" t="str">
        <x:v>Fuente original</x:v>
      </x:c>
      <x:c r="F182" s="22" t="str"/>
    </x:row>
    <x:row r="183" ht="70" customHeight="1">
      <x:c r="A183" s="22" t="str">
        <x:v>Excel</x:v>
      </x:c>
      <x:c r="B183" s="22" t="str">
        <x:v>GASTOS Y COMPRAS!fila 33</x:v>
      </x:c>
      <x:c r="C183" s="29" t="str"/>
      <x:c r="D183" s="32" t="str">
        <x:v>A33: Lote 01/07/2026
B33: 46204
C33: ENCABEZADO
D33: Lote 01/07/2026
H33: 1.07.2026 </x:v>
      </x:c>
      <x:c r="E183" s="22" t="str">
        <x:v>Fuente original</x:v>
      </x:c>
      <x:c r="F183" s="22" t="str"/>
    </x:row>
    <x:row r="184" ht="70" customHeight="1">
      <x:c r="A184" s="22" t="str">
        <x:v>Excel</x:v>
      </x:c>
      <x:c r="B184" s="22" t="str">
        <x:v>GASTOS Y COMPRAS!fila 34</x:v>
      </x:c>
      <x:c r="C184" s="29" t="str"/>
      <x:c r="D184" s="32" t="str">
        <x:v>A34: Lote 01/07/2026
B34: 46204
C34: ÍTEM
D34: MEN
E34: 12
H34: 212 MEN 12$</x:v>
      </x:c>
      <x:c r="E184" s="22" t="str">
        <x:v>Fuente original</x:v>
      </x:c>
      <x:c r="F184" s="22" t="str"/>
    </x:row>
    <x:row r="185" ht="70" customHeight="1">
      <x:c r="A185" s="22" t="str">
        <x:v>Excel</x:v>
      </x:c>
      <x:c r="B185" s="22" t="str">
        <x:v>GASTOS Y COMPRAS!fila 35</x:v>
      </x:c>
      <x:c r="C185" s="29" t="str"/>
      <x:c r="D185" s="32" t="str">
        <x:v>A35: Lote 01/07/2026
B35: 46204
C35: ÍTEM
D35: HARAMAIN AQUA DUBAI
E35: 18
H35: HARAMAIN AQUA DUBAI 18$</x:v>
      </x:c>
      <x:c r="E185" s="22" t="str">
        <x:v>Fuente original</x:v>
      </x:c>
      <x:c r="F185" s="22" t="str"/>
    </x:row>
    <x:row r="186" ht="70" customHeight="1">
      <x:c r="A186" s="22" t="str">
        <x:v>Excel</x:v>
      </x:c>
      <x:c r="B186" s="22" t="str">
        <x:v>GASTOS Y COMPRAS!fila 36</x:v>
      </x:c>
      <x:c r="C186" s="29" t="str"/>
      <x:c r="D186" s="32" t="str">
        <x:v>A36: Lote 01/07/2026
B36: 46204
C36: SUBTOTAL
D36: Subtotal declarado del lote
E36: 30
G36: BINANCE
H36: TOTAL  30$ TASA BINANCE</x:v>
      </x:c>
      <x:c r="E186" s="22" t="str">
        <x:v>Fuente original</x:v>
      </x:c>
      <x:c r="F186" s="22" t="str"/>
    </x:row>
    <x:row r="187" ht="70" customHeight="1">
      <x:c r="A187" s="22" t="str">
        <x:v>Excel</x:v>
      </x:c>
      <x:c r="B187" s="22" t="str">
        <x:v>GASTOS Y COMPRAS!fila 37</x:v>
      </x:c>
      <x:c r="C187" s="29" t="str"/>
      <x:c r="D187" s="32" t="str">
        <x:v>A37: Lote 08/08/2026
B37: 46242
C37: ENCABEZADO
D37: Lote 08/08/2026
H37: 08/08/2026</x:v>
      </x:c>
      <x:c r="E187" s="22" t="str">
        <x:v>Fuente original</x:v>
      </x:c>
      <x:c r="F187" s="22" t="str"/>
    </x:row>
    <x:row r="188" ht="70" customHeight="1">
      <x:c r="A188" s="22" t="str">
        <x:v>Excel</x:v>
      </x:c>
      <x:c r="B188" s="22" t="str">
        <x:v>GASTOS Y COMPRAS!fila 38</x:v>
      </x:c>
      <x:c r="C188" s="29" t="str"/>
      <x:c r="D188" s="32" t="str">
        <x:v>A38: Lote 08/08/2026
B38: 46242
C38: ÍTEM
D38: FANTASY
E38: 12
H38: FANTASY  12$</x:v>
      </x:c>
      <x:c r="E188" s="22" t="str">
        <x:v>Fuente original</x:v>
      </x:c>
      <x:c r="F188" s="22" t="str"/>
    </x:row>
    <x:row r="189" ht="70" customHeight="1">
      <x:c r="A189" s="22" t="str">
        <x:v>Excel</x:v>
      </x:c>
      <x:c r="B189" s="22" t="str">
        <x:v>GASTOS Y COMPRAS!fila 39</x:v>
      </x:c>
      <x:c r="C189" s="29" t="str"/>
      <x:c r="D189" s="32" t="str">
        <x:v>A39: Lote 08/08/2026
B39: 46242
C39: ÍTEM
D39: AQUA DI GIO
E39: 12
H39: AQUA DI GIO 12$</x:v>
      </x:c>
      <x:c r="E189" s="22" t="str">
        <x:v>Fuente original</x:v>
      </x:c>
      <x:c r="F189" s="22" t="str"/>
    </x:row>
    <x:row r="190" ht="70" customHeight="1">
      <x:c r="A190" s="22" t="str">
        <x:v>Excel</x:v>
      </x:c>
      <x:c r="B190" s="22" t="str">
        <x:v>GASTOS Y COMPRAS!fila 40</x:v>
      </x:c>
      <x:c r="C190" s="29" t="str"/>
      <x:c r="D190" s="32" t="str">
        <x:v>A40: Lote 08/08/2026
B40: 46242
C40: ÍTEM
D40: ARIANA GRANDE CLOUD
E40: 12
H40: ARIANA GRANDE CLOUD 12$</x:v>
      </x:c>
      <x:c r="E190" s="22" t="str">
        <x:v>Fuente original</x:v>
      </x:c>
      <x:c r="F190" s="22" t="str"/>
    </x:row>
    <x:row r="191" ht="70" customHeight="1">
      <x:c r="A191" s="22" t="str">
        <x:v>Excel</x:v>
      </x:c>
      <x:c r="B191" s="22" t="str">
        <x:v>GASTOS Y COMPRAS!fila 41</x:v>
      </x:c>
      <x:c r="C191" s="29" t="str"/>
      <x:c r="D191" s="32" t="str">
        <x:v>A41: Lote 08/08/2026
B41: 46242
C41: ÍTEM
D41: ASAD
E41: 12
H41: ASAD 12$</x:v>
      </x:c>
      <x:c r="E191" s="22" t="str">
        <x:v>Fuente original</x:v>
      </x:c>
      <x:c r="F191" s="22" t="str"/>
    </x:row>
    <x:row r="192" ht="70" customHeight="1">
      <x:c r="A192" s="22" t="str">
        <x:v>Excel</x:v>
      </x:c>
      <x:c r="B192" s="22" t="str">
        <x:v>GASTOS Y COMPRAS!fila 42</x:v>
      </x:c>
      <x:c r="C192" s="29" t="str"/>
      <x:c r="D192" s="32" t="str">
        <x:v>A42: Lote 08/08/2026
B42: 46242
C42: ÍTEM
D42: YARA ELIXIR
E42: 12
H42: YARA ELIXIR 12$</x:v>
      </x:c>
      <x:c r="E192" s="22" t="str">
        <x:v>Fuente original</x:v>
      </x:c>
      <x:c r="F192" s="22" t="str"/>
    </x:row>
    <x:row r="193" ht="70" customHeight="1">
      <x:c r="A193" s="22" t="str">
        <x:v>Excel</x:v>
      </x:c>
      <x:c r="B193" s="22" t="str">
        <x:v>GASTOS Y COMPRAS!fila 43</x:v>
      </x:c>
      <x:c r="C193" s="29" t="str"/>
      <x:c r="D193" s="32" t="str">
        <x:v>A43: Lote 08/08/2026
B43: 46242
C43: ÍTEM
D43: VIP MEN
E43: 12
H43: 212 VIP MEN 12$</x:v>
      </x:c>
      <x:c r="E193" s="22" t="str">
        <x:v>Fuente original</x:v>
      </x:c>
      <x:c r="F193" s="22" t="str"/>
    </x:row>
    <x:row r="194" ht="70" customHeight="1">
      <x:c r="A194" s="22" t="str">
        <x:v>Excel</x:v>
      </x:c>
      <x:c r="B194" s="22" t="str">
        <x:v>GASTOS Y COMPRAS!fila 44</x:v>
      </x:c>
      <x:c r="C194" s="29" t="str"/>
      <x:c r="D194" s="32" t="str">
        <x:v>A44: Lote 08/08/2026
B44: 46242
C44: ÍTEM
D44: EROS FLAME
E44: 12
H44: EROS FLAME 12$</x:v>
      </x:c>
      <x:c r="E194" s="22" t="str">
        <x:v>Fuente original</x:v>
      </x:c>
      <x:c r="F194" s="22" t="str"/>
    </x:row>
    <x:row r="195" ht="70" customHeight="1">
      <x:c r="A195" s="22" t="str">
        <x:v>Excel</x:v>
      </x:c>
      <x:c r="B195" s="22" t="str">
        <x:v>GASTOS Y COMPRAS!fila 45</x:v>
      </x:c>
      <x:c r="C195" s="29" t="str"/>
      <x:c r="D195" s="32" t="str">
        <x:v>A45: Lote 08/08/2026
B45: 46242
C45: ÍTEM
D45: LE LABO SANTAL
E45: 12
H45: LE LABO SANTAL 33 12$</x:v>
      </x:c>
      <x:c r="E195" s="22" t="str">
        <x:v>Fuente original</x:v>
      </x:c>
      <x:c r="F195" s="22" t="str"/>
    </x:row>
    <x:row r="196" ht="70" customHeight="1">
      <x:c r="A196" s="22" t="str">
        <x:v>Excel</x:v>
      </x:c>
      <x:c r="B196" s="22" t="str">
        <x:v>GASTOS Y COMPRAS!fila 46</x:v>
      </x:c>
      <x:c r="C196" s="29" t="str"/>
      <x:c r="D196" s="32" t="str">
        <x:v>A46: Lote 08/08/2026
B46: 46242
C46: ÍTEM
D46: SAUVAGE DIOR
E46: 12
H46: SAUVAGE DIOR 12$</x:v>
      </x:c>
      <x:c r="E196" s="22" t="str">
        <x:v>Fuente original</x:v>
      </x:c>
      <x:c r="F196" s="22" t="str"/>
    </x:row>
    <x:row r="197" ht="70" customHeight="1">
      <x:c r="A197" s="22" t="str">
        <x:v>Excel</x:v>
      </x:c>
      <x:c r="B197" s="22" t="str">
        <x:v>GASTOS Y COMPRAS!fila 47</x:v>
      </x:c>
      <x:c r="C197" s="29" t="str"/>
      <x:c r="D197" s="32" t="str">
        <x:v>A47: Lote 08/08/2026
B47: 46242
C47: ÍTEM
D47: TOMY MEN
E47: 12
H47: TOMY MEN 12$</x:v>
      </x:c>
      <x:c r="E197" s="22" t="str">
        <x:v>Fuente original</x:v>
      </x:c>
      <x:c r="F197" s="22" t="str"/>
    </x:row>
    <x:row r="198" ht="70" customHeight="1">
      <x:c r="A198" s="22" t="str">
        <x:v>Excel</x:v>
      </x:c>
      <x:c r="B198" s="22" t="str">
        <x:v>GASTOS Y COMPRAS!fila 48</x:v>
      </x:c>
      <x:c r="C198" s="29" t="str"/>
      <x:c r="D198" s="32" t="str">
        <x:v>A48: Lote 08/08/2026
B48: 46242
C48: ÍTEM
D48: ASAD BOURBOND
E48: 12
H48: ASAD BOURBOND 12$</x:v>
      </x:c>
      <x:c r="E198" s="22" t="str">
        <x:v>Fuente original</x:v>
      </x:c>
      <x:c r="F198" s="22" t="str"/>
    </x:row>
    <x:row r="199" ht="70" customHeight="1">
      <x:c r="A199" s="22" t="str">
        <x:v>Excel</x:v>
      </x:c>
      <x:c r="B199" s="22" t="str">
        <x:v>GASTOS Y COMPRAS!fila 49</x:v>
      </x:c>
      <x:c r="C199" s="29" t="str"/>
      <x:c r="D199" s="32" t="str">
        <x:v>A49: Lote 08/08/2026
B49: 46242
C49: ÍTEM
D49: BHARARA BLUE
E49: 18
H49: BHARARA BLUE 18$</x:v>
      </x:c>
      <x:c r="E199" s="22" t="str">
        <x:v>Fuente original</x:v>
      </x:c>
      <x:c r="F199" s="22" t="str"/>
    </x:row>
    <x:row r="200" ht="70" customHeight="1">
      <x:c r="A200" s="22" t="str">
        <x:v>Excel</x:v>
      </x:c>
      <x:c r="B200" s="22" t="str">
        <x:v>GASTOS Y COMPRAS!fila 50</x:v>
      </x:c>
      <x:c r="C200" s="29" t="str"/>
      <x:c r="D200" s="32" t="str">
        <x:v>A50: Lote 08/08/2026
B50: 46242
C50: ÍTEM
D50: POLO BLUE
E50: 12
H50: POLO BLUE 12$</x:v>
      </x:c>
      <x:c r="E200" s="22" t="str">
        <x:v>Fuente original</x:v>
      </x:c>
      <x:c r="F200" s="22" t="str"/>
    </x:row>
    <x:row r="201" ht="70" customHeight="1">
      <x:c r="A201" s="22" t="str">
        <x:v>Excel</x:v>
      </x:c>
      <x:c r="B201" s="22" t="str">
        <x:v>GASTOS Y COMPRAS!fila 51</x:v>
      </x:c>
      <x:c r="C201" s="29" t="str"/>
      <x:c r="D201" s="32" t="str">
        <x:v>A51: Lote 08/08/2026
B51: 46242
C51: ÍTEM
D51: MANDARIN SKY
E51: 14
H51: MANDARIN SKY 14$</x:v>
      </x:c>
      <x:c r="E201" s="22" t="str">
        <x:v>Fuente original</x:v>
      </x:c>
      <x:c r="F201" s="22" t="str"/>
    </x:row>
    <x:row r="202" ht="70" customHeight="1">
      <x:c r="A202" s="22" t="str">
        <x:v>Excel</x:v>
      </x:c>
      <x:c r="B202" s="22" t="str">
        <x:v>GASTOS Y COMPRAS!fila 52</x:v>
      </x:c>
      <x:c r="C202" s="29" t="str"/>
      <x:c r="D202" s="32" t="str">
        <x:v>A52: Lote 08/08/2026
B52: 46242
C52: SUBTOTAL
D52: Subtotal declarado del lote
E52: 176
G52: BINANCE
H52: TASA BINANCE 176$</x:v>
      </x:c>
      <x:c r="E202" s="22" t="str">
        <x:v>Fuente original</x:v>
      </x:c>
      <x:c r="F202" s="22" t="str"/>
    </x:row>
    <x:row r="203" ht="70" customHeight="1">
      <x:c r="A203" s="22" t="str">
        <x:v>Excel</x:v>
      </x:c>
      <x:c r="B203" s="22" t="str">
        <x:v>GASTOS Y COMPRAS!fila 53</x:v>
      </x:c>
      <x:c r="C203" s="29" t="str"/>
      <x:c r="D203" s="32" t="str">
        <x:v>A53: Lote 10/08/2026
B53: 46244
C53: ENCABEZADO
D53: Lote 10/08/2026
H53: 10/08/2026</x:v>
      </x:c>
      <x:c r="E203" s="22" t="str">
        <x:v>Fuente original</x:v>
      </x:c>
      <x:c r="F203" s="22" t="str"/>
    </x:row>
    <x:row r="204" ht="70" customHeight="1">
      <x:c r="A204" s="22" t="str">
        <x:v>Excel</x:v>
      </x:c>
      <x:c r="B204" s="22" t="str">
        <x:v>GASTOS Y COMPRAS!fila 54</x:v>
      </x:c>
      <x:c r="C204" s="29" t="str"/>
      <x:c r="D204" s="32" t="str">
        <x:v>A54: Lote 10/08/2026
B54: 46244
C54: ÍTEM
D54: DECANST
E54: 1
H54: DECANST 1$</x:v>
      </x:c>
      <x:c r="E204" s="22" t="str">
        <x:v>Fuente original</x:v>
      </x:c>
      <x:c r="F204" s="22" t="str"/>
    </x:row>
    <x:row r="205" ht="70" customHeight="1">
      <x:c r="A205" s="22" t="str">
        <x:v>Excel</x:v>
      </x:c>
      <x:c r="B205" s="22" t="str">
        <x:v>GASTOS Y COMPRAS!fila 55</x:v>
      </x:c>
      <x:c r="C205" s="29" t="str"/>
      <x:c r="D205" s="32" t="str">
        <x:v>A55: Lote 10/08/2026
B55: 46244
C55: ÍTEM
D55: MANDARIN SKY
E55: 15
H55: MANDARIN SKY 15$</x:v>
      </x:c>
      <x:c r="E205" s="22" t="str">
        <x:v>Fuente original</x:v>
      </x:c>
      <x:c r="F205" s="22" t="str"/>
    </x:row>
    <x:row r="206" ht="70" customHeight="1">
      <x:c r="A206" s="22" t="str">
        <x:v>Excel</x:v>
      </x:c>
      <x:c r="B206" s="22" t="str">
        <x:v>GASTOS Y COMPRAS!fila 56</x:v>
      </x:c>
      <x:c r="C206" s="29" t="str"/>
      <x:c r="D206" s="32" t="str">
        <x:v>A56: Lote 10/08/2026
B56: 46244
C56: ÍTEM
D56: MANDARIN SKY
E56: 15
H56: MANDARIN SKY 15$</x:v>
      </x:c>
      <x:c r="E206" s="22" t="str">
        <x:v>Fuente original</x:v>
      </x:c>
      <x:c r="F206" s="22" t="str"/>
    </x:row>
    <x:row r="207" ht="70" customHeight="1">
      <x:c r="A207" s="22" t="str">
        <x:v>Excel</x:v>
      </x:c>
      <x:c r="B207" s="22" t="str">
        <x:v>GASTOS Y COMPRAS!fila 57</x:v>
      </x:c>
      <x:c r="C207" s="29" t="str"/>
      <x:c r="D207" s="32" t="str">
        <x:v>A57: Lote 10/08/2026
B57: 46244
C57: ÍTEM
D57: SAUVAGE DIOR
E57: 13
H57: SAUVAGE DIOR 13$</x:v>
      </x:c>
      <x:c r="E207" s="22" t="str">
        <x:v>Fuente original</x:v>
      </x:c>
      <x:c r="F207" s="22" t="str"/>
    </x:row>
    <x:row r="208" ht="70" customHeight="1">
      <x:c r="A208" s="22" t="str">
        <x:v>Excel</x:v>
      </x:c>
      <x:c r="B208" s="22" t="str">
        <x:v>GASTOS Y COMPRAS!fila 58</x:v>
      </x:c>
      <x:c r="C208" s="29" t="str"/>
      <x:c r="D208" s="32" t="str">
        <x:v>A58: Lote 10/08/2026
B58: 46244
C58: ÍTEM
D58: SAUVAGE DIOR
E58: 13
H58: SAUVAGE DIOR 13$</x:v>
      </x:c>
      <x:c r="E208" s="22" t="str">
        <x:v>Fuente original</x:v>
      </x:c>
      <x:c r="F208" s="22" t="str"/>
    </x:row>
    <x:row r="209" ht="70" customHeight="1">
      <x:c r="A209" s="22" t="str">
        <x:v>Excel</x:v>
      </x:c>
      <x:c r="B209" s="22" t="str">
        <x:v>GASTOS Y COMPRAS!fila 59</x:v>
      </x:c>
      <x:c r="C209" s="29" t="str"/>
      <x:c r="D209" s="32" t="str">
        <x:v>A59: Lote 10/08/2026
B59: 46244
C59: ÍTEM
D59: SAUVAGE DIOR
E59: 13
H59: SAUVAGE DIOR 13$</x:v>
      </x:c>
      <x:c r="E209" s="22" t="str">
        <x:v>Fuente original</x:v>
      </x:c>
      <x:c r="F209" s="22" t="str"/>
    </x:row>
    <x:row r="210" ht="70" customHeight="1">
      <x:c r="A210" s="22" t="str">
        <x:v>Excel</x:v>
      </x:c>
      <x:c r="B210" s="22" t="str">
        <x:v>GASTOS Y COMPRAS!fila 60</x:v>
      </x:c>
      <x:c r="C210" s="29" t="str"/>
      <x:c r="D210" s="32" t="str">
        <x:v>A60: Lote 10/08/2026
B60: 46244
C60: ÍTEM
D60: SAUVAGE DIOR
E60: 13
H60: SAUVAGE DIOR 13$</x:v>
      </x:c>
      <x:c r="E210" s="22" t="str">
        <x:v>Fuente original</x:v>
      </x:c>
      <x:c r="F210" s="22" t="str"/>
    </x:row>
    <x:row r="211" ht="70" customHeight="1">
      <x:c r="A211" s="22" t="str">
        <x:v>Excel</x:v>
      </x:c>
      <x:c r="B211" s="22" t="str">
        <x:v>GASTOS Y COMPRAS!fila 61</x:v>
      </x:c>
      <x:c r="C211" s="29" t="str"/>
      <x:c r="D211" s="32" t="str">
        <x:v>A61: Lote 10/08/2026
B61: 46244
C61: ÍTEM
D61: ACQUA DI GIO
E61: 13
H61: ACQUA DI GIO 13$</x:v>
      </x:c>
      <x:c r="E211" s="22" t="str">
        <x:v>Fuente original</x:v>
      </x:c>
      <x:c r="F211" s="22" t="str"/>
    </x:row>
    <x:row r="212" ht="70" customHeight="1">
      <x:c r="A212" s="22" t="str">
        <x:v>Excel</x:v>
      </x:c>
      <x:c r="B212" s="22" t="str">
        <x:v>GASTOS Y COMPRAS!fila 62</x:v>
      </x:c>
      <x:c r="C212" s="29" t="str"/>
      <x:c r="D212" s="32" t="str">
        <x:v>A62: Lote 10/08/2026
B62: 46244
C62: ÍTEM
D62: ACQUA DI GIO
E62: 13
H62: ACQUA DI GIO 13$</x:v>
      </x:c>
      <x:c r="E212" s="22" t="str">
        <x:v>Fuente original</x:v>
      </x:c>
      <x:c r="F212" s="22" t="str"/>
    </x:row>
    <x:row r="213" ht="70" customHeight="1">
      <x:c r="A213" s="22" t="str">
        <x:v>Excel</x:v>
      </x:c>
      <x:c r="B213" s="22" t="str">
        <x:v>GASTOS Y COMPRAS!fila 63</x:v>
      </x:c>
      <x:c r="C213" s="29" t="str"/>
      <x:c r="D213" s="32" t="str">
        <x:v>A63: Lote 10/08/2026
B63: 46244
C63: SUBTOTAL
D63: Subtotal declarado del lote
E63: 109
G63: BINANCE
H63:  TASA BINANCE 109$</x:v>
      </x:c>
      <x:c r="E213" s="22" t="str">
        <x:v>Fuente original</x:v>
      </x:c>
      <x:c r="F213" s="22" t="str"/>
    </x:row>
    <x:row r="214" ht="70" customHeight="1">
      <x:c r="A214" s="22" t="str">
        <x:v>Excel</x:v>
      </x:c>
      <x:c r="B214" s="22" t="str">
        <x:v>GASTOS Y COMPRAS!fila 64</x:v>
      </x:c>
      <x:c r="C214" s="29" t="str"/>
      <x:c r="D214" s="32" t="str">
        <x:v>A64: Lote 12/06/2026
B64: 46185
C64: ENCABEZADO
D64: Lote 12/06/2026
H64: 12/06/2026</x:v>
      </x:c>
      <x:c r="E214" s="22" t="str">
        <x:v>Fuente original</x:v>
      </x:c>
      <x:c r="F214" s="22" t="str"/>
    </x:row>
    <x:row r="215" ht="70" customHeight="1">
      <x:c r="A215" s="22" t="str">
        <x:v>Excel</x:v>
      </x:c>
      <x:c r="B215" s="22" t="str">
        <x:v>GASTOS Y COMPRAS!fila 65</x:v>
      </x:c>
      <x:c r="C215" s="29" t="str"/>
      <x:c r="D215" s="32" t="str">
        <x:v>A65: Lote 12/06/2026
B65: 46185
C65: ÍTEM
D65: CLUD DE NUIT INTENSE
E65: 15
H65: CLUD DE NUIT INTENSE 15$</x:v>
      </x:c>
      <x:c r="E215" s="22" t="str">
        <x:v>Fuente original</x:v>
      </x:c>
      <x:c r="F215" s="22" t="str"/>
    </x:row>
    <x:row r="216" ht="70" customHeight="1">
      <x:c r="A216" s="22" t="str">
        <x:v>Excel</x:v>
      </x:c>
      <x:c r="B216" s="22" t="str">
        <x:v>GASTOS Y COMPRAS!fila 66</x:v>
      </x:c>
      <x:c r="C216" s="29" t="str"/>
      <x:c r="D216" s="32" t="str">
        <x:v>A66: Lote 12/06/2026
B66: 46185
C66: SUBTOTAL
D66: Subtotal declarado del lote
E66: 15
G66: BINANCE
H66: TASA BINANCE 15$</x:v>
      </x:c>
      <x:c r="E216" s="22" t="str">
        <x:v>Fuente original</x:v>
      </x:c>
      <x:c r="F216" s="22" t="str"/>
    </x:row>
    <x:row r="217" ht="70" customHeight="1">
      <x:c r="A217" s="22" t="str">
        <x:v>Excel</x:v>
      </x:c>
      <x:c r="B217" s="22" t="str">
        <x:v>GASTOS Y COMPRAS!fila 67</x:v>
      </x:c>
      <x:c r="C217" s="29" t="str"/>
      <x:c r="D217" s="32" t="str">
        <x:v>A67: PEDIDO CARACAS LUKA STORE
C67: ENCABEZADO
D67: PEDIDO CARACAS LUKA STORE
H67: PEDIDO CARACAS LUKA STORE </x:v>
      </x:c>
      <x:c r="E217" s="22" t="str">
        <x:v>Fuente original</x:v>
      </x:c>
      <x:c r="F217" s="22" t="str"/>
    </x:row>
    <x:row r="218" ht="70" customHeight="1">
      <x:c r="A218" s="22" t="str">
        <x:v>Excel</x:v>
      </x:c>
      <x:c r="B218" s="22" t="str">
        <x:v>GASTOS Y COMPRAS!fila 68</x:v>
      </x:c>
      <x:c r="C218" s="29" t="str"/>
      <x:c r="D218" s="32" t="str">
        <x:v>A68: PEDIDO CARACAS LUKA STORE
C68: ÍTEM
D68: SCANDAL
E68: 9.1
H68: SCANDAL  9.10$</x:v>
      </x:c>
      <x:c r="E218" s="22" t="str">
        <x:v>Fuente original</x:v>
      </x:c>
      <x:c r="F218" s="22" t="str"/>
    </x:row>
    <x:row r="219" ht="70" customHeight="1">
      <x:c r="A219" s="22" t="str">
        <x:v>Excel</x:v>
      </x:c>
      <x:c r="B219" s="22" t="str">
        <x:v>GASTOS Y COMPRAS!fila 69</x:v>
      </x:c>
      <x:c r="C219" s="29" t="str"/>
      <x:c r="D219" s="32" t="str">
        <x:v>A69: PEDIDO CARACAS LUKA STORE
C69: ÍTEM
D69: SCANDAL
E69: 9.1
H69: SCANDAL  9.10$</x:v>
      </x:c>
      <x:c r="E219" s="22" t="str">
        <x:v>Fuente original</x:v>
      </x:c>
      <x:c r="F219" s="22" t="str"/>
    </x:row>
    <x:row r="220" ht="70" customHeight="1">
      <x:c r="A220" s="22" t="str">
        <x:v>Excel</x:v>
      </x:c>
      <x:c r="B220" s="22" t="str">
        <x:v>GASTOS Y COMPRAS!fila 70</x:v>
      </x:c>
      <x:c r="C220" s="29" t="str"/>
      <x:c r="D220" s="32" t="str">
        <x:v>A70: PEDIDO CARACAS LUKA STORE
C70: ÍTEM
D70: ISSEY MIYAKE
E70: 7.5
H70: ISSEY MIYAKE 7.50$</x:v>
      </x:c>
      <x:c r="E220" s="22" t="str">
        <x:v>Fuente original</x:v>
      </x:c>
      <x:c r="F220" s="22" t="str"/>
    </x:row>
    <x:row r="221" ht="70" customHeight="1">
      <x:c r="A221" s="22" t="str">
        <x:v>Excel</x:v>
      </x:c>
      <x:c r="B221" s="22" t="str">
        <x:v>GASTOS Y COMPRAS!fila 71</x:v>
      </x:c>
      <x:c r="C221" s="29" t="str"/>
      <x:c r="D221" s="32" t="str">
        <x:v>A71: PEDIDO CARACAS LUKA STORE
C71: ÍTEM
D71: ISSEY MIYAKE
E71: 7.5
H71: ISSEY MIYAKE 7.50$</x:v>
      </x:c>
      <x:c r="E221" s="22" t="str">
        <x:v>Fuente original</x:v>
      </x:c>
      <x:c r="F221" s="22" t="str"/>
    </x:row>
    <x:row r="222" ht="70" customHeight="1">
      <x:c r="A222" s="22" t="str">
        <x:v>Excel</x:v>
      </x:c>
      <x:c r="B222" s="22" t="str">
        <x:v>GASTOS Y COMPRAS!fila 72</x:v>
      </x:c>
      <x:c r="C222" s="29" t="str"/>
      <x:c r="D222" s="32" t="str">
        <x:v>A72: PEDIDO CARACAS LUKA STORE
C72: ÍTEM
D72: ISSEY MIYAKE
E72: 7.5
H72: ISSEY MIYAKE 7.50$</x:v>
      </x:c>
      <x:c r="E222" s="22" t="str">
        <x:v>Fuente original</x:v>
      </x:c>
      <x:c r="F222" s="22" t="str"/>
    </x:row>
    <x:row r="223" ht="70" customHeight="1">
      <x:c r="A223" s="22" t="str">
        <x:v>Excel</x:v>
      </x:c>
      <x:c r="B223" s="22" t="str">
        <x:v>GASTOS Y COMPRAS!fila 73</x:v>
      </x:c>
      <x:c r="C223" s="29" t="str"/>
      <x:c r="D223" s="32" t="str">
        <x:v>A73: PEDIDO CARACAS LUKA STORE
C73: ÍTEM
D73: CLUD DE NUIT MALEKA
E73: 9.1
H73: CLUD DE NUIT MALEKA 9.10$</x:v>
      </x:c>
      <x:c r="E223" s="22" t="str">
        <x:v>Fuente original</x:v>
      </x:c>
      <x:c r="F223" s="22" t="str"/>
    </x:row>
    <x:row r="224" ht="70" customHeight="1">
      <x:c r="A224" s="22" t="str">
        <x:v>Excel</x:v>
      </x:c>
      <x:c r="B224" s="22" t="str">
        <x:v>GASTOS Y COMPRAS!fila 74</x:v>
      </x:c>
      <x:c r="C224" s="29" t="str"/>
      <x:c r="D224" s="32" t="str">
        <x:v>A74: PEDIDO CARACAS LUKA STORE
C74: ÍTEM
D74: INVICTUS
E74: 7.35
H74: INVICTUS 7.35$</x:v>
      </x:c>
      <x:c r="E224" s="22" t="str">
        <x:v>Fuente original</x:v>
      </x:c>
      <x:c r="F224" s="22" t="str"/>
    </x:row>
    <x:row r="225" ht="70" customHeight="1">
      <x:c r="A225" s="22" t="str">
        <x:v>Excel</x:v>
      </x:c>
      <x:c r="B225" s="22" t="str">
        <x:v>GASTOS Y COMPRAS!fila 75</x:v>
      </x:c>
      <x:c r="C225" s="29" t="str"/>
      <x:c r="D225" s="32" t="str">
        <x:v>A75: PEDIDO CARACAS LUKA STORE
C75: SUBTOTAL
D75: Subtotal declarado del lote
E75: 59
G75: BINANCE
H75: TASA BINANCE 59 $</x:v>
      </x:c>
      <x:c r="E225" s="22" t="str">
        <x:v>Fuente original</x:v>
      </x:c>
      <x:c r="F225" s="22" t="str"/>
    </x:row>
    <x:row r="226" ht="70" customHeight="1">
      <x:c r="A226" s="22" t="str">
        <x:v>Excel</x:v>
      </x:c>
      <x:c r="B226" s="22" t="str">
        <x:v>GASTOS Y COMPRAS!fila 76</x:v>
      </x:c>
      <x:c r="C226" s="29" t="str"/>
      <x:c r="D226" s="32" t="str">
        <x:v>A76: PEDIDO CARACAS LUKA STORE
C76: GASTO
D76: GASTO ENVÍO PEDIDO DE CARACAS
E76: 14.92
F76: 13000
G76: BINANCE
H76: GASTO ENVIO PEDIDO DE CARACAS 13.000 14.92 BINANCE</x:v>
      </x:c>
      <x:c r="E226" s="22" t="str">
        <x:v>Fuente original</x:v>
      </x:c>
      <x:c r="F226" s="22" t="str"/>
    </x:row>
    <x:row r="227" ht="70" customHeight="1">
      <x:c r="A227" s="22" t="str">
        <x:v>Excel</x:v>
      </x:c>
      <x:c r="B227" s="22" t="str">
        <x:v>GASTOS Y COMPRAS!fila 77</x:v>
      </x:c>
      <x:c r="C227" s="29" t="str"/>
      <x:c r="D227" s="32" t="str">
        <x:v>A77: Lote 12/08/2026
B77: 46246
C77: ENCABEZADO
D77: Lote 12/08/2026
H77: 12/08/2026</x:v>
      </x:c>
      <x:c r="E227" s="22" t="str">
        <x:v>Fuente original</x:v>
      </x:c>
      <x:c r="F227" s="22" t="str"/>
    </x:row>
    <x:row r="228" ht="70" customHeight="1">
      <x:c r="A228" s="22" t="str">
        <x:v>Excel</x:v>
      </x:c>
      <x:c r="B228" s="22" t="str">
        <x:v>GASTOS Y COMPRAS!fila 78</x:v>
      </x:c>
      <x:c r="C228" s="29" t="str"/>
      <x:c r="D228" s="32" t="str">
        <x:v>A78: Lote 12/08/2026
B78: 46246
C78: ÍTEM
D78: PM REBEL ORIGINAL
E78: 50
G78: BINANCE
H78: 9PM REBEL ORIGINAL 50$ BINANCE </x:v>
      </x:c>
      <x:c r="E228" s="22" t="str">
        <x:v>Fuente original</x:v>
      </x:c>
      <x:c r="F228" s="22" t="str"/>
    </x:row>
    <x:row r="229" ht="70" customHeight="1">
      <x:c r="A229" s="22" t="str">
        <x:v>Excel</x:v>
      </x:c>
      <x:c r="B229" s="22" t="str">
        <x:v>GASTOS Y COMPRAS!fila 79</x:v>
      </x:c>
      <x:c r="C229" s="29" t="str"/>
      <x:c r="D229" s="32" t="str">
        <x:v>A79: Lote 12/08/2026
B79: 46246
C79: GASTO
D79: GASTO MUESTRA DE CLIENTE — DECANT (comprado el 10/08/2026)
E79: 1
H79: GASTO MUESTRA DE CLIENTE DECANST 1 $ COMPRADO EL 10/08/2026</x:v>
      </x:c>
      <x:c r="E229" s="22" t="str">
        <x:v>Fuente original</x:v>
      </x:c>
      <x:c r="F229" s="22" t="str"/>
    </x:row>
    <x:row r="230" ht="70" customHeight="1">
      <x:c r="A230" s="22" t="str">
        <x:v>Excel</x:v>
      </x:c>
      <x:c r="B230" s="22" t="str">
        <x:v>GASTOS Y COMPRAS!fila 80</x:v>
      </x:c>
      <x:c r="C230" s="29" t="str"/>
      <x:c r="D230" s="32" t="str">
        <x:v>A80: Lote 12/08/2026
B80: 46246
C80: GASTO
D80: GASTO YUMMY (referencia 0612)
E80: 3.34
F80: 2932
G80: BINANCE
H80: GASTO YUMMY 2.932,00 REFERENCIA 0612  3.34 BINANCE</x:v>
      </x:c>
      <x:c r="E230" s="22" t="str">
        <x:v>Fuente original</x:v>
      </x:c>
      <x:c r="F230" s="22" t="str"/>
    </x:row>
    <x:row r="231" ht="70" customHeight="1">
      <x:c r="A231" s="22" t="str">
        <x:v>Excel</x:v>
      </x:c>
      <x:c r="B231" s="22" t="str">
        <x:v>PRECIOS PERF TOP QUALITY!fila 1</x:v>
      </x:c>
      <x:c r="C231" s="29" t="str"/>
      <x:c r="D231" s="32" t="str">
        <x:v>A1: LISTA DE PRECIOS — TOP QUALITY</x:v>
      </x:c>
      <x:c r="E231" s="22" t="str">
        <x:v>Fuente original</x:v>
      </x:c>
      <x:c r="F231" s="22" t="str"/>
    </x:row>
    <x:row r="232" ht="70" customHeight="1">
      <x:c r="A232" s="22" t="str">
        <x:v>Excel</x:v>
      </x:c>
      <x:c r="B232" s="22" t="str">
        <x:v>PRECIOS PERF TOP QUALITY!fila 2</x:v>
      </x:c>
      <x:c r="C232" s="29" t="str"/>
      <x:c r="D232" s="32" t="str">
        <x:v>A2: Precios calculados con FACTOR_DIVISA y FACTOR_BCV desde PARÁMETROS. Solo se edita el Costo.</x:v>
      </x:c>
      <x:c r="E232" s="22" t="str">
        <x:v>Fuente original</x:v>
      </x:c>
      <x:c r="F232" s="22" t="str"/>
    </x:row>
    <x:row r="233" ht="70" customHeight="1">
      <x:c r="A233" s="22" t="str">
        <x:v>Excel</x:v>
      </x:c>
      <x:c r="B233" s="22" t="str">
        <x:v>PRECIOS PERF TOP QUALITY!fila 3</x:v>
      </x:c>
      <x:c r="C233" s="29" t="str"/>
      <x:c r="D233" s="32" t="str">
        <x:v>A3: LÍNEA
B3: PRODUCTO
C3: COSTO ($)
D3: PRECIO DIVISA / USDT ($)
E3: PRECIO TASA BCV ($)
G3: RESUMEN (dinámico)</x:v>
      </x:c>
      <x:c r="E233" s="22" t="str">
        <x:v>Fuente original</x:v>
      </x:c>
      <x:c r="F233" s="22" t="str"/>
    </x:row>
    <x:row r="234" ht="70" customHeight="1">
      <x:c r="A234" s="22" t="str">
        <x:v>Excel</x:v>
      </x:c>
      <x:c r="B234" s="22" t="str">
        <x:v>PRECIOS PERF TOP QUALITY!fila 4</x:v>
      </x:c>
      <x:c r="C234" s="29" t="str"/>
      <x:c r="D234" s="32" t="str">
        <x:v>A4: SIN LÍNEA
B4: Cloud
C4: 12
D4: 20.4 [fórmula: IF($C4="","",ROUND($C4*FACTOR_DIVISA,2))]
E4: 26.4 [fórmula: IF($C4="","",ROUND($C4*FACTOR_BCV,2))]
G4: Productos en catálogo
H4: 212 [fórmula: COUNTA($B$4:$B$215)]</x:v>
      </x:c>
      <x:c r="E234" s="22" t="str">
        <x:v>Fuente original</x:v>
      </x:c>
      <x:c r="F234" s="22" t="str"/>
    </x:row>
    <x:row r="235" ht="70" customHeight="1">
      <x:c r="A235" s="22" t="str">
        <x:v>Excel</x:v>
      </x:c>
      <x:c r="B235" s="22" t="str">
        <x:v>PRECIOS PERF TOP QUALITY!fila 5</x:v>
      </x:c>
      <x:c r="C235" s="29" t="str"/>
      <x:c r="D235" s="32" t="str">
        <x:v>A5: SIN LÍNEA
B5: Good girl very
C5: 9.5
D5: 16.15 [fórmula: IF($C5="","",ROUND($C5*FACTOR_DIVISA,2))]
E5: 20.9 [fórmula: IF($C5="","",ROUND($C5*FACTOR_BCV,2))]
G5: Con costo cargado
H5: 31 [fórmula: COUNT($C$4:$C$215)]</x:v>
      </x:c>
      <x:c r="E235" s="22" t="str">
        <x:v>Fuente original</x:v>
      </x:c>
      <x:c r="F235" s="22" t="str"/>
    </x:row>
    <x:row r="236" ht="70" customHeight="1">
      <x:c r="A236" s="22" t="str">
        <x:v>Excel</x:v>
      </x:c>
      <x:c r="B236" s="22" t="str">
        <x:v>PRECIOS PERF TOP QUALITY!fila 6</x:v>
      </x:c>
      <x:c r="C236" s="29" t="str"/>
      <x:c r="D236" s="32" t="str">
        <x:v>A6: SIN LÍNEA
B6: Ultramale
C6: 15
D6: 25.5 [fórmula: IF($C6="","",ROUND($C6*FACTOR_DIVISA,2))]
E6: 33 [fórmula: IF($C6="","",ROUND($C6*FACTOR_BCV,2))]
G6: Sin costo (precio en blanco)
H6: 181 [fórmula: COUNTA($B$4:$B$215)-COUNT($C$4:$C$215)]</x:v>
      </x:c>
      <x:c r="E236" s="22" t="str">
        <x:v>Fuente original</x:v>
      </x:c>
      <x:c r="F236" s="22" t="str"/>
    </x:row>
    <x:row r="237" ht="70" customHeight="1">
      <x:c r="A237" s="22" t="str">
        <x:v>Excel</x:v>
      </x:c>
      <x:c r="B237" s="22" t="str">
        <x:v>PRECIOS PERF TOP QUALITY!fila 7</x:v>
      </x:c>
      <x:c r="C237" s="29" t="str"/>
      <x:c r="D237" s="32" t="str">
        <x:v>A7: SIN LÍNEA
B7: Swiss army
C7: 9.5
D7: 16.15 [fórmula: IF($C7="","",ROUND($C7*FACTOR_DIVISA,2))]
E7: 20.9 [fórmula: IF($C7="","",ROUND($C7*FACTOR_BCV,2))]
G7: Nombres repetidos
H7: 18 [fórmula: SUMPRODUCT((COUNTIF($B$4:$B$215,$B$4:$B$215)&gt;1)*($B$4:$B$215&lt;&gt;""))]</x:v>
      </x:c>
      <x:c r="E237" s="22" t="str">
        <x:v>Fuente original</x:v>
      </x:c>
      <x:c r="F237" s="22" t="str"/>
    </x:row>
    <x:row r="238" ht="70" customHeight="1">
      <x:c r="A238" s="22" t="str">
        <x:v>Excel</x:v>
      </x:c>
      <x:c r="B238" s="22" t="str">
        <x:v>PRECIOS PERF TOP QUALITY!fila 8</x:v>
      </x:c>
      <x:c r="C238" s="29" t="str"/>
      <x:c r="D238" s="32" t="str">
        <x:v>A8: SIN LÍNEA
B8: 360
C8: 9.5
D8: 16.15 [fórmula: IF($C8="","",ROUND($C8*FACTOR_DIVISA,2))]
E8: 20.9 [fórmula: IF($C8="","",ROUND($C8*FACTOR_BCV,2))]
G8: Costo promedio ($)
H8: 12.48387097 [fórmula: IFERROR(AVERAGE($C$4:$C$215),"")]</x:v>
      </x:c>
      <x:c r="E238" s="22" t="str">
        <x:v>Fuente original</x:v>
      </x:c>
      <x:c r="F238" s="22" t="str"/>
    </x:row>
    <x:row r="239" ht="70" customHeight="1">
      <x:c r="A239" s="22" t="str">
        <x:v>Excel</x:v>
      </x:c>
      <x:c r="B239" s="22" t="str">
        <x:v>PRECIOS PERF TOP QUALITY!fila 9</x:v>
      </x:c>
      <x:c r="C239" s="29" t="str"/>
      <x:c r="D239" s="32" t="str">
        <x:v>A9: SIN LÍNEA
B9: Scandal
C9: 9.5
D9: 16.15 [fórmula: IF($C9="","",ROUND($C9*FACTOR_DIVISA,2))]
E9: 20.9 [fórmula: IF($C9="","",ROUND($C9*FACTOR_BCV,2))]</x:v>
      </x:c>
      <x:c r="E239" s="22" t="str">
        <x:v>Fuente original</x:v>
      </x:c>
      <x:c r="F239" s="22" t="str"/>
    </x:row>
    <x:row r="240" ht="70" customHeight="1">
      <x:c r="A240" s="22" t="str">
        <x:v>Excel</x:v>
      </x:c>
      <x:c r="B240" s="22" t="str">
        <x:v>PRECIOS PERF TOP QUALITY!fila 10</x:v>
      </x:c>
      <x:c r="C240" s="29" t="str"/>
      <x:c r="D240" s="32" t="str">
        <x:v>A10: SIN LÍNEA
B10: Bad boy
C10: 9.5
D10: 16.15 [fórmula: IF($C10="","",ROUND($C10*FACTOR_DIVISA,2))]
E10: 20.9 [fórmula: IF($C10="","",ROUND($C10*FACTOR_BCV,2))]
G10: Amarillo = producto sin costo, su precio queda en blanco (antes mostraba $0,00). Rojo = nombre repetido en el catálogo, a fusionar.</x:v>
      </x:c>
      <x:c r="E240" s="22" t="str">
        <x:v>Fuente original</x:v>
      </x:c>
      <x:c r="F240" s="22" t="str"/>
    </x:row>
    <x:row r="241" ht="70" customHeight="1">
      <x:c r="A241" s="22" t="str">
        <x:v>Excel</x:v>
      </x:c>
      <x:c r="B241" s="22" t="str">
        <x:v>PRECIOS PERF TOP QUALITY!fila 11</x:v>
      </x:c>
      <x:c r="C241" s="29" t="str"/>
      <x:c r="D241" s="32" t="str">
        <x:v>A11: SIN LÍNEA
B11: Tommy
C11: 9.5
D11: 16.15 [fórmula: IF($C11="","",ROUND($C11*FACTOR_DIVISA,2))]
E11: 20.9 [fórmula: IF($C11="","",ROUND($C11*FACTOR_BCV,2))]</x:v>
      </x:c>
      <x:c r="E241" s="22" t="str">
        <x:v>Fuente original</x:v>
      </x:c>
      <x:c r="F241" s="22" t="str"/>
    </x:row>
    <x:row r="242" ht="70" customHeight="1">
      <x:c r="A242" s="22" t="str">
        <x:v>Excel</x:v>
      </x:c>
      <x:c r="B242" s="22" t="str">
        <x:v>PRECIOS PERF TOP QUALITY!fila 12</x:v>
      </x:c>
      <x:c r="C242" s="29" t="str"/>
      <x:c r="D242" s="32" t="str">
        <x:v>A12: SIN LÍNEA
B12: Invictus
C12: 9.5
D12: 16.15 [fórmula: IF($C12="","",ROUND($C12*FACTOR_DIVISA,2))]
E12: 20.9 [fórmula: IF($C12="","",ROUND($C12*FACTOR_BCV,2))]</x:v>
      </x:c>
      <x:c r="E242" s="22" t="str">
        <x:v>Fuente original</x:v>
      </x:c>
      <x:c r="F242" s="22" t="str"/>
    </x:row>
    <x:row r="243" ht="70" customHeight="1">
      <x:c r="A243" s="22" t="str">
        <x:v>Excel</x:v>
      </x:c>
      <x:c r="B243" s="22" t="str">
        <x:v>PRECIOS PERF TOP QUALITY!fila 13</x:v>
      </x:c>
      <x:c r="C243" s="29" t="str"/>
      <x:c r="D243" s="32" t="str">
        <x:v>A13: SIN LÍNEA
B13: 212 vip
C13: 9.5
D13: 16.15 [fórmula: IF($C13="","",ROUND($C13*FACTOR_DIVISA,2))]
E13: 20.9 [fórmula: IF($C13="","",ROUND($C13*FACTOR_BCV,2))]</x:v>
      </x:c>
      <x:c r="E243" s="22" t="str">
        <x:v>Fuente original</x:v>
      </x:c>
      <x:c r="F243" s="22" t="str"/>
    </x:row>
    <x:row r="244" ht="70" customHeight="1">
      <x:c r="A244" s="22" t="str">
        <x:v>Excel</x:v>
      </x:c>
      <x:c r="B244" s="22" t="str">
        <x:v>PRECIOS PERF TOP QUALITY!fila 14</x:v>
      </x:c>
      <x:c r="C244" s="29" t="str"/>
      <x:c r="D244" s="32" t="str">
        <x:v>A14: SIN LÍNEA
B14: Eros men
C14: 9.5
D14: 16.15 [fórmula: IF($C14="","",ROUND($C14*FACTOR_DIVISA,2))]
E14: 20.9 [fórmula: IF($C14="","",ROUND($C14*FACTOR_BCV,2))]</x:v>
      </x:c>
      <x:c r="E244" s="22" t="str">
        <x:v>Fuente original</x:v>
      </x:c>
      <x:c r="F244" s="22" t="str"/>
    </x:row>
    <x:row r="245" ht="70" customHeight="1">
      <x:c r="A245" s="22" t="str">
        <x:v>Excel</x:v>
      </x:c>
      <x:c r="B245" s="22" t="str">
        <x:v>PRECIOS PERF TOP QUALITY!fila 15</x:v>
      </x:c>
      <x:c r="C245" s="29" t="str"/>
      <x:c r="D245" s="32" t="str">
        <x:v>A15: SIN LÍNEA
B15: Agua di gio
C15: 9.5
D15: 16.15 [fórmula: IF($C15="","",ROUND($C15*FACTOR_DIVISA,2))]
E15: 20.9 [fórmula: IF($C15="","",ROUND($C15*FACTOR_BCV,2))]</x:v>
      </x:c>
      <x:c r="E245" s="22" t="str">
        <x:v>Fuente original</x:v>
      </x:c>
      <x:c r="F245" s="22" t="str"/>
    </x:row>
    <x:row r="246" ht="70" customHeight="1">
      <x:c r="A246" s="22" t="str">
        <x:v>Excel</x:v>
      </x:c>
      <x:c r="B246" s="22" t="str">
        <x:v>PRECIOS PERF TOP QUALITY!fila 16</x:v>
      </x:c>
      <x:c r="C246" s="29" t="str"/>
      <x:c r="D246" s="32" t="str">
        <x:v>A16: SIN LÍNEA
B16: Honor y glory
C16: 17
D16: 28.9 [fórmula: IF($C16="","",ROUND($C16*FACTOR_DIVISA,2))]
E16: 37.4 [fórmula: IF($C16="","",ROUND($C16*FACTOR_BCV,2))]</x:v>
      </x:c>
      <x:c r="E246" s="22" t="str">
        <x:v>Fuente original</x:v>
      </x:c>
      <x:c r="F246" s="22" t="str"/>
    </x:row>
    <x:row r="247" ht="70" customHeight="1">
      <x:c r="A247" s="22" t="str">
        <x:v>Excel</x:v>
      </x:c>
      <x:c r="B247" s="22" t="str">
        <x:v>PRECIOS PERF TOP QUALITY!fila 17</x:v>
      </x:c>
      <x:c r="C247" s="29" t="str"/>
      <x:c r="D247" s="32" t="str">
        <x:v>A17: SIN LÍNEA
B17: Bharara king
C17: 20
D17: 34 [fórmula: IF($C17="","",ROUND($C17*FACTOR_DIVISA,2))]
E17: 44 [fórmula: IF($C17="","",ROUND($C17*FACTOR_BCV,2))]</x:v>
      </x:c>
      <x:c r="E247" s="22" t="str">
        <x:v>Fuente original</x:v>
      </x:c>
      <x:c r="F247" s="22" t="str"/>
    </x:row>
    <x:row r="248" ht="70" customHeight="1">
      <x:c r="A248" s="22" t="str">
        <x:v>Excel</x:v>
      </x:c>
      <x:c r="B248" s="22" t="str">
        <x:v>PRECIOS PERF TOP QUALITY!fila 18</x:v>
      </x:c>
      <x:c r="C248" s="29" t="str"/>
      <x:c r="D248" s="32" t="str">
        <x:v>A18: SIN LÍNEA
B18: Universe
C18: 20
D18: 34 [fórmula: IF($C18="","",ROUND($C18*FACTOR_DIVISA,2))]
E18: 44 [fórmula: IF($C18="","",ROUND($C18*FACTOR_BCV,2))]</x:v>
      </x:c>
      <x:c r="E248" s="22" t="str">
        <x:v>Fuente original</x:v>
      </x:c>
      <x:c r="F248" s="22" t="str"/>
    </x:row>
    <x:row r="249" ht="70" customHeight="1">
      <x:c r="A249" s="22" t="str">
        <x:v>Excel</x:v>
      </x:c>
      <x:c r="B249" s="22" t="str">
        <x:v>PRECIOS PERF TOP QUALITY!fila 19</x:v>
      </x:c>
      <x:c r="C249" s="29" t="str"/>
      <x:c r="D249" s="32" t="str">
        <x:v>A19: SIN LÍNEA
B19: Khamrah
C19: 15
D19: 25.5 [fórmula: IF($C19="","",ROUND($C19*FACTOR_DIVISA,2))]
E19: 33 [fórmula: IF($C19="","",ROUND($C19*FACTOR_BCV,2))]</x:v>
      </x:c>
      <x:c r="E249" s="22" t="str">
        <x:v>Fuente original</x:v>
      </x:c>
      <x:c r="F249" s="22" t="str"/>
    </x:row>
    <x:row r="250" ht="70" customHeight="1">
      <x:c r="A250" s="22" t="str">
        <x:v>Excel</x:v>
      </x:c>
      <x:c r="B250" s="22" t="str">
        <x:v>PRECIOS PERF TOP QUALITY!fila 20</x:v>
      </x:c>
      <x:c r="C250" s="29" t="str"/>
      <x:c r="D250" s="32" t="str">
        <x:v>A20: SIN LÍNEA
B20: Club de nuit
C20: 12
D20: 20.4 [fórmula: IF($C20="","",ROUND($C20*FACTOR_DIVISA,2))]
E20: 26.4 [fórmula: IF($C20="","",ROUND($C20*FACTOR_BCV,2))]</x:v>
      </x:c>
      <x:c r="E250" s="22" t="str">
        <x:v>Fuente original</x:v>
      </x:c>
      <x:c r="F250" s="22" t="str"/>
    </x:row>
    <x:row r="251" ht="70" customHeight="1">
      <x:c r="A251" s="22" t="str">
        <x:v>Excel</x:v>
      </x:c>
      <x:c r="B251" s="22" t="str">
        <x:v>PRECIOS PERF TOP QUALITY!fila 21</x:v>
      </x:c>
      <x:c r="C251" s="29" t="str"/>
      <x:c r="D251" s="32" t="str">
        <x:v>A21: SIN LÍNEA
B21: Asad bourbon
C21: 12
D21: 20.4 [fórmula: IF($C21="","",ROUND($C21*FACTOR_DIVISA,2))]
E21: 26.4 [fórmula: IF($C21="","",ROUND($C21*FACTOR_BCV,2))]</x:v>
      </x:c>
      <x:c r="E251" s="22" t="str">
        <x:v>Fuente original</x:v>
      </x:c>
      <x:c r="F251" s="22" t="str"/>
    </x:row>
    <x:row r="252" ht="70" customHeight="1">
      <x:c r="A252" s="22" t="str">
        <x:v>Excel</x:v>
      </x:c>
      <x:c r="B252" s="22" t="str">
        <x:v>PRECIOS PERF TOP QUALITY!fila 22</x:v>
      </x:c>
      <x:c r="C252" s="29" t="str"/>
      <x:c r="D252" s="32" t="str">
        <x:v>A22: SIN LÍNEA
B22: La bomba
C22: 17
D22: 28.9 [fórmula: IF($C22="","",ROUND($C22*FACTOR_DIVISA,2))]
E22: 37.4 [fórmula: IF($C22="","",ROUND($C22*FACTOR_BCV,2))]</x:v>
      </x:c>
      <x:c r="E252" s="22" t="str">
        <x:v>Fuente original</x:v>
      </x:c>
      <x:c r="F252" s="22" t="str"/>
    </x:row>
    <x:row r="253" ht="70" customHeight="1">
      <x:c r="A253" s="22" t="str">
        <x:v>Excel</x:v>
      </x:c>
      <x:c r="B253" s="22" t="str">
        <x:v>PRECIOS PERF TOP QUALITY!fila 23</x:v>
      </x:c>
      <x:c r="C253" s="29" t="str"/>
      <x:c r="D253" s="32" t="str">
        <x:v>A23: LÍNEA ÁRABE
B23: YARA CANDY
D23:  [fórmula: IF($C23="","",ROUND($C23*FACTOR_DIVISA,2))]
E23:  [fórmula: IF($C23="","",ROUND($C23*FACTOR_BCV,2))]</x:v>
      </x:c>
      <x:c r="E253" s="22" t="str">
        <x:v>Fuente original</x:v>
      </x:c>
      <x:c r="F253" s="22" t="str"/>
    </x:row>
    <x:row r="254" ht="70" customHeight="1">
      <x:c r="A254" s="22" t="str">
        <x:v>Excel</x:v>
      </x:c>
      <x:c r="B254" s="22" t="str">
        <x:v>PRECIOS PERF TOP QUALITY!fila 24</x:v>
      </x:c>
      <x:c r="C254" s="29" t="str"/>
      <x:c r="D254" s="32" t="str">
        <x:v>A24: LÍNEA ÁRABE
B24: YARA ELIXIR
C24: 12
D24: 20.4 [fórmula: IF($C24="","",ROUND($C24*FACTOR_DIVISA,2))]
E24: 26.4 [fórmula: IF($C24="","",ROUND($C24*FACTOR_BCV,2))]</x:v>
      </x:c>
      <x:c r="E254" s="22" t="str">
        <x:v>Fuente original</x:v>
      </x:c>
      <x:c r="F254" s="22" t="str"/>
    </x:row>
    <x:row r="255" ht="70" customHeight="1">
      <x:c r="A255" s="22" t="str">
        <x:v>Excel</x:v>
      </x:c>
      <x:c r="B255" s="22" t="str">
        <x:v>PRECIOS PERF TOP QUALITY!fila 25</x:v>
      </x:c>
      <x:c r="C255" s="29" t="str"/>
      <x:c r="D255" s="32" t="str">
        <x:v>A25: LÍNEA ÁRABE
B25: YARA FEM
D25:  [fórmula: IF($C25="","",ROUND($C25*FACTOR_DIVISA,2))]
E25:  [fórmula: IF($C25="","",ROUND($C25*FACTOR_BCV,2))]</x:v>
      </x:c>
      <x:c r="E255" s="22" t="str">
        <x:v>Fuente original</x:v>
      </x:c>
      <x:c r="F255" s="22" t="str"/>
    </x:row>
    <x:row r="256" ht="70" customHeight="1">
      <x:c r="A256" s="22" t="str">
        <x:v>Excel</x:v>
      </x:c>
      <x:c r="B256" s="22" t="str">
        <x:v>PRECIOS PERF TOP QUALITY!fila 26</x:v>
      </x:c>
      <x:c r="C256" s="29" t="str"/>
      <x:c r="D256" s="32" t="str">
        <x:v>A26: LÍNEA ÁRABE
B26: YARA TOUS
D26:  [fórmula: IF($C26="","",ROUND($C26*FACTOR_DIVISA,2))]
E26:  [fórmula: IF($C26="","",ROUND($C26*FACTOR_BCV,2))]</x:v>
      </x:c>
      <x:c r="E256" s="22" t="str">
        <x:v>Fuente original</x:v>
      </x:c>
      <x:c r="F256" s="22" t="str"/>
    </x:row>
    <x:row r="257" ht="70" customHeight="1">
      <x:c r="A257" s="22" t="str">
        <x:v>Excel</x:v>
      </x:c>
      <x:c r="B257" s="22" t="str">
        <x:v>PRECIOS PERF TOP QUALITY!fila 27</x:v>
      </x:c>
      <x:c r="C257" s="29" t="str"/>
      <x:c r="D257" s="32" t="str">
        <x:v>A27: LÍNEA ÁRABE
B27: YARA MOI
D27:  [fórmula: IF($C27="","",ROUND($C27*FACTOR_DIVISA,2))]
E27:  [fórmula: IF($C27="","",ROUND($C27*FACTOR_BCV,2))]</x:v>
      </x:c>
      <x:c r="E257" s="22" t="str">
        <x:v>Fuente original</x:v>
      </x:c>
      <x:c r="F257" s="22" t="str"/>
    </x:row>
    <x:row r="258" ht="70" customHeight="1">
      <x:c r="A258" s="22" t="str">
        <x:v>Excel</x:v>
      </x:c>
      <x:c r="B258" s="22" t="str">
        <x:v>PRECIOS PERF TOP QUALITY!fila 28</x:v>
      </x:c>
      <x:c r="C258" s="29" t="str"/>
      <x:c r="D258" s="32" t="str">
        <x:v>A28: LÍNEA ÁRABE
B28: ASAD ELIXIR
D28:  [fórmula: IF($C28="","",ROUND($C28*FACTOR_DIVISA,2))]
E28:  [fórmula: IF($C28="","",ROUND($C28*FACTOR_BCV,2))]</x:v>
      </x:c>
      <x:c r="E258" s="22" t="str">
        <x:v>Fuente original</x:v>
      </x:c>
      <x:c r="F258" s="22" t="str"/>
    </x:row>
    <x:row r="259" ht="70" customHeight="1">
      <x:c r="A259" s="22" t="str">
        <x:v>Excel</x:v>
      </x:c>
      <x:c r="B259" s="22" t="str">
        <x:v>PRECIOS PERF TOP QUALITY!fila 29</x:v>
      </x:c>
      <x:c r="C259" s="29" t="str"/>
      <x:c r="D259" s="32" t="str">
        <x:v>A29: LÍNEA ÁRABE
B29: ASAD
D29:  [fórmula: IF($C29="","",ROUND($C29*FACTOR_DIVISA,2))]
E29:  [fórmula: IF($C29="","",ROUND($C29*FACTOR_BCV,2))]</x:v>
      </x:c>
      <x:c r="E259" s="22" t="str">
        <x:v>Fuente original</x:v>
      </x:c>
      <x:c r="F259" s="22" t="str"/>
    </x:row>
    <x:row r="260" ht="70" customHeight="1">
      <x:c r="A260" s="22" t="str">
        <x:v>Excel</x:v>
      </x:c>
      <x:c r="B260" s="22" t="str">
        <x:v>PRECIOS PERF TOP QUALITY!fila 30</x:v>
      </x:c>
      <x:c r="C260" s="29" t="str"/>
      <x:c r="D260" s="32" t="str">
        <x:v>A30: LÍNEA ÁRABE
B30: ASAD BOURBON
D30:  [fórmula: IF($C30="","",ROUND($C30*FACTOR_DIVISA,2))]
E30:  [fórmula: IF($C30="","",ROUND($C30*FACTOR_BCV,2))]</x:v>
      </x:c>
      <x:c r="E260" s="22" t="str">
        <x:v>Fuente original</x:v>
      </x:c>
      <x:c r="F260" s="22" t="str"/>
    </x:row>
    <x:row r="261" ht="70" customHeight="1">
      <x:c r="A261" s="22" t="str">
        <x:v>Excel</x:v>
      </x:c>
      <x:c r="B261" s="22" t="str">
        <x:v>PRECIOS PERF TOP QUALITY!fila 31</x:v>
      </x:c>
      <x:c r="C261" s="29" t="str"/>
      <x:c r="D261" s="32" t="str">
        <x:v>A31: LÍNEA ÁRABE
B31: ASAD ZANZÍBAR
D31:  [fórmula: IF($C31="","",ROUND($C31*FACTOR_DIVISA,2))]
E31:  [fórmula: IF($C31="","",ROUND($C31*FACTOR_BCV,2))]</x:v>
      </x:c>
      <x:c r="E261" s="22" t="str">
        <x:v>Fuente original</x:v>
      </x:c>
      <x:c r="F261" s="22" t="str"/>
    </x:row>
    <x:row r="262" ht="70" customHeight="1">
      <x:c r="A262" s="22" t="str">
        <x:v>Excel</x:v>
      </x:c>
      <x:c r="B262" s="22" t="str">
        <x:v>PRECIOS PERF TOP QUALITY!fila 32</x:v>
      </x:c>
      <x:c r="C262" s="29" t="str"/>
      <x:c r="D262" s="32" t="str">
        <x:v>A32: LÍNEA ÁRABE
B32: KHAMRA
D32:  [fórmula: IF($C32="","",ROUND($C32*FACTOR_DIVISA,2))]
E32:  [fórmula: IF($C32="","",ROUND($C32*FACTOR_BCV,2))]</x:v>
      </x:c>
      <x:c r="E262" s="22" t="str">
        <x:v>Fuente original</x:v>
      </x:c>
      <x:c r="F262" s="22" t="str"/>
    </x:row>
    <x:row r="263" ht="70" customHeight="1">
      <x:c r="A263" s="22" t="str">
        <x:v>Excel</x:v>
      </x:c>
      <x:c r="B263" s="22" t="str">
        <x:v>PRECIOS PERF TOP QUALITY!fila 33</x:v>
      </x:c>
      <x:c r="C263" s="29" t="str"/>
      <x:c r="D263" s="32" t="str">
        <x:v>A33: LÍNEA ÁRABE
B33: KHAMRAH DUKHAN
D33:  [fórmula: IF($C33="","",ROUND($C33*FACTOR_DIVISA,2))]
E33:  [fórmula: IF($C33="","",ROUND($C33*FACTOR_BCV,2))]</x:v>
      </x:c>
      <x:c r="E263" s="22" t="str">
        <x:v>Fuente original</x:v>
      </x:c>
      <x:c r="F263" s="22" t="str"/>
    </x:row>
    <x:row r="264" ht="70" customHeight="1">
      <x:c r="A264" s="22" t="str">
        <x:v>Excel</x:v>
      </x:c>
      <x:c r="B264" s="22" t="str">
        <x:v>PRECIOS PERF TOP QUALITY!fila 34</x:v>
      </x:c>
      <x:c r="C264" s="29" t="str"/>
      <x:c r="D264" s="32" t="str">
        <x:v>A34: LÍNEA ÁRABE
B34: KHAMRAH QAHWA
D34:  [fórmula: IF($C34="","",ROUND($C34*FACTOR_DIVISA,2))]
E34:  [fórmula: IF($C34="","",ROUND($C34*FACTOR_BCV,2))]</x:v>
      </x:c>
      <x:c r="E264" s="22" t="str">
        <x:v>Fuente original</x:v>
      </x:c>
      <x:c r="F264" s="22" t="str"/>
    </x:row>
    <x:row r="265" ht="70" customHeight="1">
      <x:c r="A265" s="22" t="str">
        <x:v>Excel</x:v>
      </x:c>
      <x:c r="B265" s="22" t="str">
        <x:v>PRECIOS PERF TOP QUALITY!fila 35</x:v>
      </x:c>
      <x:c r="C265" s="29" t="str"/>
      <x:c r="D265" s="32" t="str">
        <x:v>A35: LÍNEA ÁRABE
B35: FAKHAR BLACK
D35:  [fórmula: IF($C35="","",ROUND($C35*FACTOR_DIVISA,2))]
E35:  [fórmula: IF($C35="","",ROUND($C35*FACTOR_BCV,2))]</x:v>
      </x:c>
      <x:c r="E265" s="22" t="str">
        <x:v>Fuente original</x:v>
      </x:c>
      <x:c r="F265" s="22" t="str"/>
    </x:row>
    <x:row r="266" ht="70" customHeight="1">
      <x:c r="A266" s="22" t="str">
        <x:v>Excel</x:v>
      </x:c>
      <x:c r="B266" s="22" t="str">
        <x:v>PRECIOS PERF TOP QUALITY!fila 36</x:v>
      </x:c>
      <x:c r="C266" s="29" t="str"/>
      <x:c r="D266" s="32" t="str">
        <x:v>A36: LÍNEA ÁRABE
B36: FAKHAR EXTRAIT
D36:  [fórmula: IF($C36="","",ROUND($C36*FACTOR_DIVISA,2))]
E36:  [fórmula: IF($C36="","",ROUND($C36*FACTOR_BCV,2))]</x:v>
      </x:c>
      <x:c r="E266" s="22" t="str">
        <x:v>Fuente original</x:v>
      </x:c>
      <x:c r="F266" s="22" t="str"/>
    </x:row>
    <x:row r="267" ht="70" customHeight="1">
      <x:c r="A267" s="22" t="str">
        <x:v>Excel</x:v>
      </x:c>
      <x:c r="B267" s="22" t="str">
        <x:v>PRECIOS PERF TOP QUALITY!fila 37</x:v>
      </x:c>
      <x:c r="C267" s="29" t="str"/>
      <x:c r="D267" s="32" t="str">
        <x:v>A37: LÍNEA ÁRABE
B37: FAKHAR ROSE
D37:  [fórmula: IF($C37="","",ROUND($C37*FACTOR_DIVISA,2))]
E37:  [fórmula: IF($C37="","",ROUND($C37*FACTOR_BCV,2))]</x:v>
      </x:c>
      <x:c r="E267" s="22" t="str">
        <x:v>Fuente original</x:v>
      </x:c>
      <x:c r="F267" s="22" t="str"/>
    </x:row>
    <x:row r="268" ht="70" customHeight="1">
      <x:c r="A268" s="22" t="str">
        <x:v>Excel</x:v>
      </x:c>
      <x:c r="B268" s="22" t="str">
        <x:v>PRECIOS PERF TOP QUALITY!fila 38</x:v>
      </x:c>
      <x:c r="C268" s="29" t="str"/>
      <x:c r="D268" s="32" t="str">
        <x:v>A38: LÍNEA ÁRABE
B38: VULCAN BAIE
D38:  [fórmula: IF($C38="","",ROUND($C38*FACTOR_DIVISA,2))]
E38:  [fórmula: IF($C38="","",ROUND($C38*FACTOR_BCV,2))]</x:v>
      </x:c>
      <x:c r="E268" s="22" t="str">
        <x:v>Fuente original</x:v>
      </x:c>
      <x:c r="F268" s="22" t="str"/>
    </x:row>
    <x:row r="269" ht="70" customHeight="1">
      <x:c r="A269" s="22" t="str">
        <x:v>Excel</x:v>
      </x:c>
      <x:c r="B269" s="22" t="str">
        <x:v>PRECIOS PERF TOP QUALITY!fila 39</x:v>
      </x:c>
      <x:c r="C269" s="29" t="str"/>
      <x:c r="D269" s="32" t="str">
        <x:v>A39: LÍNEA ÁRABE
B39: VULCAN FEU
D39:  [fórmula: IF($C39="","",ROUND($C39*FACTOR_DIVISA,2))]
E39:  [fórmula: IF($C39="","",ROUND($C39*FACTOR_BCV,2))]</x:v>
      </x:c>
      <x:c r="E269" s="22" t="str">
        <x:v>Fuente original</x:v>
      </x:c>
      <x:c r="F269" s="22" t="str"/>
    </x:row>
    <x:row r="270" ht="70" customHeight="1">
      <x:c r="A270" s="22" t="str">
        <x:v>Excel</x:v>
      </x:c>
      <x:c r="B270" s="22" t="str">
        <x:v>PRECIOS PERF TOP QUALITY!fila 40</x:v>
      </x:c>
      <x:c r="C270" s="29" t="str"/>
      <x:c r="D270" s="32" t="str">
        <x:v>A40: LÍNEA ÁRABE
B40: SUBLIME
D40:  [fórmula: IF($C40="","",ROUND($C40*FACTOR_DIVISA,2))]
E40:  [fórmula: IF($C40="","",ROUND($C40*FACTOR_BCV,2))]</x:v>
      </x:c>
      <x:c r="E270" s="22" t="str">
        <x:v>Fuente original</x:v>
      </x:c>
      <x:c r="F270" s="22" t="str"/>
    </x:row>
    <x:row r="271" ht="70" customHeight="1">
      <x:c r="A271" s="22" t="str">
        <x:v>Excel</x:v>
      </x:c>
      <x:c r="B271" s="22" t="str">
        <x:v>PRECIOS PERF TOP QUALITY!fila 41</x:v>
      </x:c>
      <x:c r="C271" s="29" t="str"/>
      <x:c r="D271" s="32" t="str">
        <x:v>A41: LÍNEA ÁRABE
B41: NOBLE BLUSH
D41:  [fórmula: IF($C41="","",ROUND($C41*FACTOR_DIVISA,2))]
E41:  [fórmula: IF($C41="","",ROUND($C41*FACTOR_BCV,2))]</x:v>
      </x:c>
      <x:c r="E271" s="22" t="str">
        <x:v>Fuente original</x:v>
      </x:c>
      <x:c r="F271" s="22" t="str"/>
    </x:row>
    <x:row r="272" ht="70" customHeight="1">
      <x:c r="A272" s="22" t="str">
        <x:v>Excel</x:v>
      </x:c>
      <x:c r="B272" s="22" t="str">
        <x:v>PRECIOS PERF TOP QUALITY!fila 42</x:v>
      </x:c>
      <x:c r="C272" s="29" t="str"/>
      <x:c r="D272" s="32" t="str">
        <x:v>A42: LÍNEA ÁRABE
B42: HONOR &amp; GLORY
D42:  [fórmula: IF($C42="","",ROUND($C42*FACTOR_DIVISA,2))]
E42:  [fórmula: IF($C42="","",ROUND($C42*FACTOR_BCV,2))]</x:v>
      </x:c>
      <x:c r="E272" s="22" t="str">
        <x:v>Fuente original</x:v>
      </x:c>
      <x:c r="F272" s="22" t="str"/>
    </x:row>
    <x:row r="273" ht="70" customHeight="1">
      <x:c r="A273" s="22" t="str">
        <x:v>Excel</x:v>
      </x:c>
      <x:c r="B273" s="22" t="str">
        <x:v>PRECIOS PERF TOP QUALITY!fila 43</x:v>
      </x:c>
      <x:c r="C273" s="29" t="str"/>
      <x:c r="D273" s="32" t="str">
        <x:v>A43: LÍNEA ÁRABE
B43: OUD FOR GLORY
D43:  [fórmula: IF($C43="","",ROUND($C43*FACTOR_DIVISA,2))]
E43:  [fórmula: IF($C43="","",ROUND($C43*FACTOR_BCV,2))]</x:v>
      </x:c>
      <x:c r="E273" s="22" t="str">
        <x:v>Fuente original</x:v>
      </x:c>
      <x:c r="F273" s="22" t="str"/>
    </x:row>
    <x:row r="274" ht="70" customHeight="1">
      <x:c r="A274" s="22" t="str">
        <x:v>Excel</x:v>
      </x:c>
      <x:c r="B274" s="22" t="str">
        <x:v>PRECIOS PERF TOP QUALITY!fila 44</x:v>
      </x:c>
      <x:c r="C274" s="29" t="str"/>
      <x:c r="D274" s="32" t="str">
        <x:v>A44: LÍNEA ÁRABE
B44: AMETHYST
D44:  [fórmula: IF($C44="","",ROUND($C44*FACTOR_DIVISA,2))]
E44:  [fórmula: IF($C44="","",ROUND($C44*FACTOR_BCV,2))]</x:v>
      </x:c>
      <x:c r="E274" s="22" t="str">
        <x:v>Fuente original</x:v>
      </x:c>
      <x:c r="F274" s="22" t="str"/>
    </x:row>
    <x:row r="275" ht="70" customHeight="1">
      <x:c r="A275" s="22" t="str">
        <x:v>Excel</x:v>
      </x:c>
      <x:c r="B275" s="22" t="str">
        <x:v>PRECIOS PERF TOP QUALITY!fila 45</x:v>
      </x:c>
      <x:c r="C275" s="29" t="str"/>
      <x:c r="D275" s="32" t="str">
        <x:v>A45: LÍNEA ÁRABE
B45: HER CONFESSION
D45:  [fórmula: IF($C45="","",ROUND($C45*FACTOR_DIVISA,2))]
E45:  [fórmula: IF($C45="","",ROUND($C45*FACTOR_BCV,2))]</x:v>
      </x:c>
      <x:c r="E275" s="22" t="str">
        <x:v>Fuente original</x:v>
      </x:c>
      <x:c r="F275" s="22" t="str"/>
    </x:row>
    <x:row r="276" ht="70" customHeight="1">
      <x:c r="A276" s="22" t="str">
        <x:v>Excel</x:v>
      </x:c>
      <x:c r="B276" s="22" t="str">
        <x:v>PRECIOS PERF TOP QUALITY!fila 46</x:v>
      </x:c>
      <x:c r="C276" s="29" t="str"/>
      <x:c r="D276" s="32" t="str">
        <x:v>A46: LÍNEA ÁRABE
B46: HIS CONFESSION
D46:  [fórmula: IF($C46="","",ROUND($C46*FACTOR_DIVISA,2))]
E46:  [fórmula: IF($C46="","",ROUND($C46*FACTOR_BCV,2))]</x:v>
      </x:c>
      <x:c r="E276" s="22" t="str">
        <x:v>Fuente original</x:v>
      </x:c>
      <x:c r="F276" s="22" t="str"/>
    </x:row>
    <x:row r="277" ht="70" customHeight="1">
      <x:c r="A277" s="22" t="str">
        <x:v>Excel</x:v>
      </x:c>
      <x:c r="B277" s="22" t="str">
        <x:v>PRECIOS PERF TOP QUALITY!fila 47</x:v>
      </x:c>
      <x:c r="C277" s="29" t="str"/>
      <x:c r="D277" s="32" t="str">
        <x:v>A47: LÍNEA ÁRABE
B47: ECLAIRE
D47:  [fórmula: IF($C47="","",ROUND($C47*FACTOR_DIVISA,2))]
E47:  [fórmula: IF($C47="","",ROUND($C47*FACTOR_BCV,2))]</x:v>
      </x:c>
      <x:c r="E277" s="22" t="str">
        <x:v>Fuente original</x:v>
      </x:c>
      <x:c r="F277" s="22" t="str"/>
    </x:row>
    <x:row r="278" ht="70" customHeight="1">
      <x:c r="A278" s="22" t="str">
        <x:v>Excel</x:v>
      </x:c>
      <x:c r="B278" s="22" t="str">
        <x:v>PRECIOS PERF TOP QUALITY!fila 48</x:v>
      </x:c>
      <x:c r="C278" s="29" t="str"/>
      <x:c r="D278" s="32" t="str">
        <x:v>A48: LÍNEA ÁRABE
B48: VICTORIA
D48:  [fórmula: IF($C48="","",ROUND($C48*FACTOR_DIVISA,2))]
E48:  [fórmula: IF($C48="","",ROUND($C48*FACTOR_BCV,2))]</x:v>
      </x:c>
      <x:c r="E278" s="22" t="str">
        <x:v>Fuente original</x:v>
      </x:c>
      <x:c r="F278" s="22" t="str"/>
    </x:row>
    <x:row r="279" ht="70" customHeight="1">
      <x:c r="A279" s="22" t="str">
        <x:v>Excel</x:v>
      </x:c>
      <x:c r="B279" s="22" t="str">
        <x:v>PRECIOS PERF TOP QUALITY!fila 49</x:v>
      </x:c>
      <x:c r="C279" s="29" t="str"/>
      <x:c r="D279" s="32" t="str">
        <x:v>A49: LÍNEA ÁRABE
B49: MAYAR
D49:  [fórmula: IF($C49="","",ROUND($C49*FACTOR_DIVISA,2))]
E49:  [fórmula: IF($C49="","",ROUND($C49*FACTOR_BCV,2))]</x:v>
      </x:c>
      <x:c r="E279" s="22" t="str">
        <x:v>Fuente original</x:v>
      </x:c>
      <x:c r="F279" s="22" t="str"/>
    </x:row>
    <x:row r="280" ht="70" customHeight="1">
      <x:c r="A280" s="22" t="str">
        <x:v>Excel</x:v>
      </x:c>
      <x:c r="B280" s="22" t="str">
        <x:v>PRECIOS PERF TOP QUALITY!fila 50</x:v>
      </x:c>
      <x:c r="C280" s="29" t="str"/>
      <x:c r="D280" s="32" t="str">
        <x:v>A50: LÍNEA ÁRABE
B50: MAYAR NATURAL
D50:  [fórmula: IF($C50="","",ROUND($C50*FACTOR_DIVISA,2))]
E50:  [fórmula: IF($C50="","",ROUND($C50*FACTOR_BCV,2))]</x:v>
      </x:c>
      <x:c r="E280" s="22" t="str">
        <x:v>Fuente original</x:v>
      </x:c>
      <x:c r="F280" s="22" t="str"/>
    </x:row>
    <x:row r="281" ht="70" customHeight="1">
      <x:c r="A281" s="22" t="str">
        <x:v>Excel</x:v>
      </x:c>
      <x:c r="B281" s="22" t="str">
        <x:v>PRECIOS PERF TOP QUALITY!fila 51</x:v>
      </x:c>
      <x:c r="C281" s="29" t="str"/>
      <x:c r="D281" s="32" t="str">
        <x:v>A51: LÍNEA ÁRABE
B51: EMEER
D51:  [fórmula: IF($C51="","",ROUND($C51*FACTOR_DIVISA,2))]
E51:  [fórmula: IF($C51="","",ROUND($C51*FACTOR_BCV,2))]</x:v>
      </x:c>
      <x:c r="E281" s="22" t="str">
        <x:v>Fuente original</x:v>
      </x:c>
      <x:c r="F281" s="22" t="str"/>
    </x:row>
    <x:row r="282" ht="70" customHeight="1">
      <x:c r="A282" s="22" t="str">
        <x:v>Excel</x:v>
      </x:c>
      <x:c r="B282" s="22" t="str">
        <x:v>PRECIOS PERF TOP QUALITY!fila 52</x:v>
      </x:c>
      <x:c r="C282" s="29" t="str"/>
      <x:c r="D282" s="32" t="str">
        <x:v>A52: LÍNEA ÁRABE
B52: HAYA
D52:  [fórmula: IF($C52="","",ROUND($C52*FACTOR_DIVISA,2))]
E52:  [fórmula: IF($C52="","",ROUND($C52*FACTOR_BCV,2))]</x:v>
      </x:c>
      <x:c r="E282" s="22" t="str">
        <x:v>Fuente original</x:v>
      </x:c>
      <x:c r="F282" s="22" t="str"/>
    </x:row>
    <x:row r="283" ht="70" customHeight="1">
      <x:c r="A283" s="22" t="str">
        <x:v>Excel</x:v>
      </x:c>
      <x:c r="B283" s="22" t="str">
        <x:v>PRECIOS PERF TOP QUALITY!fila 53</x:v>
      </x:c>
      <x:c r="C283" s="29" t="str"/>
      <x:c r="D283" s="32" t="str">
        <x:v>A53: LÍNEA ÁRABE
B53: AJWAD
D53:  [fórmula: IF($C53="","",ROUND($C53*FACTOR_DIVISA,2))]
E53:  [fórmula: IF($C53="","",ROUND($C53*FACTOR_BCV,2))]</x:v>
      </x:c>
      <x:c r="E283" s="22" t="str">
        <x:v>Fuente original</x:v>
      </x:c>
      <x:c r="F283" s="22" t="str"/>
    </x:row>
    <x:row r="284" ht="70" customHeight="1">
      <x:c r="A284" s="22" t="str">
        <x:v>Excel</x:v>
      </x:c>
      <x:c r="B284" s="22" t="str">
        <x:v>PRECIOS PERF TOP QUALITY!fila 54</x:v>
      </x:c>
      <x:c r="C284" s="29" t="str"/>
      <x:c r="D284" s="32" t="str">
        <x:v>A54: LÍNEA ÁRABE
B54: SHER
D54:  [fórmula: IF($C54="","",ROUND($C54*FACTOR_DIVISA,2))]
E54:  [fórmula: IF($C54="","",ROUND($C54*FACTOR_BCV,2))]</x:v>
      </x:c>
      <x:c r="E284" s="22" t="str">
        <x:v>Fuente original</x:v>
      </x:c>
      <x:c r="F284" s="22" t="str"/>
    </x:row>
    <x:row r="285" ht="70" customHeight="1">
      <x:c r="A285" s="22" t="str">
        <x:v>Excel</x:v>
      </x:c>
      <x:c r="B285" s="22" t="str">
        <x:v>PRECIOS PERF TOP QUALITY!fila 55</x:v>
      </x:c>
      <x:c r="C285" s="29" t="str"/>
      <x:c r="D285" s="32" t="str">
        <x:v>A55: LÍNEA ÁRABE
B55: ART OF UNIVERSE
D55:  [fórmula: IF($C55="","",ROUND($C55*FACTOR_DIVISA,2))]
E55:  [fórmula: IF($C55="","",ROUND($C55*FACTOR_BCV,2))]</x:v>
      </x:c>
      <x:c r="E285" s="22" t="str">
        <x:v>Fuente original</x:v>
      </x:c>
      <x:c r="F285" s="22" t="str"/>
    </x:row>
    <x:row r="286" ht="70" customHeight="1">
      <x:c r="A286" s="22" t="str">
        <x:v>Excel</x:v>
      </x:c>
      <x:c r="B286" s="22" t="str">
        <x:v>PRECIOS PERF TOP QUALITY!fila 56</x:v>
      </x:c>
      <x:c r="C286" s="29" t="str"/>
      <x:c r="D286" s="32" t="str">
        <x:v>A56: LÍNEA ÁRABE
B56: BERTY ON TOP
D56:  [fórmula: IF($C56="","",ROUND($C56*FACTOR_DIVISA,2))]
E56:  [fórmula: IF($C56="","",ROUND($C56*FACTOR_BCV,2))]</x:v>
      </x:c>
      <x:c r="E286" s="22" t="str">
        <x:v>Fuente original</x:v>
      </x:c>
      <x:c r="F286" s="22" t="str"/>
    </x:row>
    <x:row r="287" ht="70" customHeight="1">
      <x:c r="A287" s="22" t="str">
        <x:v>Excel</x:v>
      </x:c>
      <x:c r="B287" s="22" t="str">
        <x:v>PRECIOS PERF TOP QUALITY!fila 57</x:v>
      </x:c>
      <x:c r="C287" s="29" t="str"/>
      <x:c r="D287" s="32" t="str">
        <x:v>A57: LÍNEA ÁRABE
B57: VAINILLA FREAK
D57:  [fórmula: IF($C57="","",ROUND($C57*FACTOR_DIVISA,2))]
E57:  [fórmula: IF($C57="","",ROUND($C57*FACTOR_BCV,2))]</x:v>
      </x:c>
      <x:c r="E287" s="22" t="str">
        <x:v>Fuente original</x:v>
      </x:c>
      <x:c r="F287" s="22" t="str"/>
    </x:row>
    <x:row r="288" ht="70" customHeight="1">
      <x:c r="A288" s="22" t="str">
        <x:v>Excel</x:v>
      </x:c>
      <x:c r="B288" s="22" t="str">
        <x:v>PRECIOS PERF TOP QUALITY!fila 58</x:v>
      </x:c>
      <x:c r="C288" s="29" t="str"/>
      <x:c r="D288" s="32" t="str">
        <x:v>A58: LÍNEA ÁRABE
B58: CHOCO OVERDOSE
D58:  [fórmula: IF($C58="","",ROUND($C58*FACTOR_DIVISA,2))]
E58:  [fórmula: IF($C58="","",ROUND($C58*FACTOR_BCV,2))]</x:v>
      </x:c>
      <x:c r="E288" s="22" t="str">
        <x:v>Fuente original</x:v>
      </x:c>
      <x:c r="F288" s="22" t="str"/>
    </x:row>
    <x:row r="289" ht="70" customHeight="1">
      <x:c r="A289" s="22" t="str">
        <x:v>Excel</x:v>
      </x:c>
      <x:c r="B289" s="22" t="str">
        <x:v>PRECIOS PERF TOP QUALITY!fila 59</x:v>
      </x:c>
      <x:c r="C289" s="29" t="str"/>
      <x:c r="D289" s="32" t="str">
        <x:v>A59: LÍNEA ÁRABE
B59: MALLOW MADNESS
D59:  [fórmula: IF($C59="","",ROUND($C59*FACTOR_DIVISA,2))]
E59:  [fórmula: IF($C59="","",ROUND($C59*FACTOR_BCV,2))]</x:v>
      </x:c>
      <x:c r="E289" s="22" t="str">
        <x:v>Fuente original</x:v>
      </x:c>
      <x:c r="F289" s="22" t="str"/>
    </x:row>
    <x:row r="290" ht="70" customHeight="1">
      <x:c r="A290" s="22" t="str">
        <x:v>Excel</x:v>
      </x:c>
      <x:c r="B290" s="22" t="str">
        <x:v>PRECIOS PERF TOP QUALITY!fila 60</x:v>
      </x:c>
      <x:c r="C290" s="29" t="str"/>
      <x:c r="D290" s="32" t="str">
        <x:v>A60: LÍNEA ÁRABE
B60: WHIPPED PLEAUSURE
D60:  [fórmula: IF($C60="","",ROUND($C60*FACTOR_DIVISA,2))]
E60:  [fórmula: IF($C60="","",ROUND($C60*FACTOR_BCV,2))]</x:v>
      </x:c>
      <x:c r="E290" s="22" t="str">
        <x:v>Fuente original</x:v>
      </x:c>
      <x:c r="F290" s="22" t="str"/>
    </x:row>
    <x:row r="291" ht="70" customHeight="1">
      <x:c r="A291" s="22" t="str">
        <x:v>Excel</x:v>
      </x:c>
      <x:c r="B291" s="22" t="str">
        <x:v>PRECIOS PERF TOP QUALITY!fila 61</x:v>
      </x:c>
      <x:c r="C291" s="29" t="str"/>
      <x:c r="D291" s="32" t="str">
        <x:v>A61: LÍNEA ÁRABE
B61: COOKIE CRAVE
D61:  [fórmula: IF($C61="","",ROUND($C61*FACTOR_DIVISA,2))]
E61:  [fórmula: IF($C61="","",ROUND($C61*FACTOR_BCV,2))]</x:v>
      </x:c>
      <x:c r="E291" s="22" t="str">
        <x:v>Fuente original</x:v>
      </x:c>
      <x:c r="F291" s="22" t="str"/>
    </x:row>
    <x:row r="292" ht="70" customHeight="1">
      <x:c r="A292" s="22" t="str">
        <x:v>Excel</x:v>
      </x:c>
      <x:c r="B292" s="22" t="str">
        <x:v>PRECIOS PERF TOP QUALITY!fila 62</x:v>
      </x:c>
      <x:c r="C292" s="29" t="str"/>
      <x:c r="D292" s="32" t="str">
        <x:v>A62: LÍNEA ÁRABE
B62: 9 AM DIVE
D62:  [fórmula: IF($C62="","",ROUND($C62*FACTOR_DIVISA,2))]
E62:  [fórmula: IF($C62="","",ROUND($C62*FACTOR_BCV,2))]</x:v>
      </x:c>
      <x:c r="E292" s="22" t="str">
        <x:v>Fuente original</x:v>
      </x:c>
      <x:c r="F292" s="22" t="str"/>
    </x:row>
    <x:row r="293" ht="70" customHeight="1">
      <x:c r="A293" s="22" t="str">
        <x:v>Excel</x:v>
      </x:c>
      <x:c r="B293" s="22" t="str">
        <x:v>PRECIOS PERF TOP QUALITY!fila 63</x:v>
      </x:c>
      <x:c r="C293" s="29" t="str"/>
      <x:c r="D293" s="32" t="str">
        <x:v>A63: LÍNEA ÁRABE
B63: 9 AM POUR FEMME
D63:  [fórmula: IF($C63="","",ROUND($C63*FACTOR_DIVISA,2))]
E63:  [fórmula: IF($C63="","",ROUND($C63*FACTOR_BCV,2))]</x:v>
      </x:c>
      <x:c r="E293" s="22" t="str">
        <x:v>Fuente original</x:v>
      </x:c>
      <x:c r="F293" s="22" t="str"/>
    </x:row>
    <x:row r="294" ht="70" customHeight="1">
      <x:c r="A294" s="22" t="str">
        <x:v>Excel</x:v>
      </x:c>
      <x:c r="B294" s="22" t="str">
        <x:v>PRECIOS PERF TOP QUALITY!fila 64</x:v>
      </x:c>
      <x:c r="C294" s="29" t="str"/>
      <x:c r="D294" s="32" t="str">
        <x:v>A64: LÍNEA ÁRABE
B64: 9PM ELIXIR
D64:  [fórmula: IF($C64="","",ROUND($C64*FACTOR_DIVISA,2))]
E64:  [fórmula: IF($C64="","",ROUND($C64*FACTOR_BCV,2))]</x:v>
      </x:c>
      <x:c r="E294" s="22" t="str">
        <x:v>Fuente original</x:v>
      </x:c>
      <x:c r="F294" s="22" t="str"/>
    </x:row>
    <x:row r="295" ht="70" customHeight="1">
      <x:c r="A295" s="22" t="str">
        <x:v>Excel</x:v>
      </x:c>
      <x:c r="B295" s="22" t="str">
        <x:v>PRECIOS PERF TOP QUALITY!fila 65</x:v>
      </x:c>
      <x:c r="C295" s="29" t="str"/>
      <x:c r="D295" s="32" t="str">
        <x:v>A65: LÍNEA ÁRABE
B65: BHARARA KING
D65:  [fórmula: IF($C65="","",ROUND($C65*FACTOR_DIVISA,2))]
E65:  [fórmula: IF($C65="","",ROUND($C65*FACTOR_BCV,2))]</x:v>
      </x:c>
      <x:c r="E295" s="22" t="str">
        <x:v>Fuente original</x:v>
      </x:c>
      <x:c r="F295" s="22" t="str"/>
    </x:row>
    <x:row r="296" ht="70" customHeight="1">
      <x:c r="A296" s="22" t="str">
        <x:v>Excel</x:v>
      </x:c>
      <x:c r="B296" s="22" t="str">
        <x:v>PRECIOS PERF TOP QUALITY!fila 66</x:v>
      </x:c>
      <x:c r="C296" s="29" t="str"/>
      <x:c r="D296" s="32" t="str">
        <x:v>A66: LÍNEA ÁRABE
B66: BHARARA NICHE
D66:  [fórmula: IF($C66="","",ROUND($C66*FACTOR_DIVISA,2))]
E66:  [fórmula: IF($C66="","",ROUND($C66*FACTOR_BCV,2))]</x:v>
      </x:c>
      <x:c r="E296" s="22" t="str">
        <x:v>Fuente original</x:v>
      </x:c>
      <x:c r="F296" s="22" t="str"/>
    </x:row>
    <x:row r="297" ht="70" customHeight="1">
      <x:c r="A297" s="22" t="str">
        <x:v>Excel</x:v>
      </x:c>
      <x:c r="B297" s="22" t="str">
        <x:v>PRECIOS PERF TOP QUALITY!fila 67</x:v>
      </x:c>
      <x:c r="C297" s="29" t="str"/>
      <x:c r="D297" s="32" t="str">
        <x:v>A67: LÍNEA ÁRABE
B67: BHARARA BLUE
C67: 12
D67: 20.4 [fórmula: IF($C67="","",ROUND($C67*FACTOR_DIVISA,2))]
E67: 26.4 [fórmula: IF($C67="","",ROUND($C67*FACTOR_BCV,2))]</x:v>
      </x:c>
      <x:c r="E297" s="22" t="str">
        <x:v>Fuente original</x:v>
      </x:c>
      <x:c r="F297" s="22" t="str"/>
    </x:row>
    <x:row r="298" ht="70" customHeight="1">
      <x:c r="A298" s="22" t="str">
        <x:v>Excel</x:v>
      </x:c>
      <x:c r="B298" s="22" t="str">
        <x:v>PRECIOS PERF TOP QUALITY!fila 68</x:v>
      </x:c>
      <x:c r="C298" s="29" t="str"/>
      <x:c r="D298" s="32" t="str">
        <x:v>A68: LÍNEA ÁRABE
B68: BHARARA ROSE
D68:  [fórmula: IF($C68="","",ROUND($C68*FACTOR_DIVISA,2))]
E68:  [fórmula: IF($C68="","",ROUND($C68*FACTOR_BCV,2))]</x:v>
      </x:c>
      <x:c r="E298" s="22" t="str">
        <x:v>Fuente original</x:v>
      </x:c>
      <x:c r="F298" s="22" t="str"/>
    </x:row>
    <x:row r="299" ht="70" customHeight="1">
      <x:c r="A299" s="22" t="str">
        <x:v>Excel</x:v>
      </x:c>
      <x:c r="B299" s="22" t="str">
        <x:v>PRECIOS PERF TOP QUALITY!fila 69</x:v>
      </x:c>
      <x:c r="C299" s="29" t="str"/>
      <x:c r="D299" s="32" t="str">
        <x:v>A69: LÍNEA ÁRABE
B69: BHARARA KING SOLEIL
D69:  [fórmula: IF($C69="","",ROUND($C69*FACTOR_DIVISA,2))]
E69:  [fórmula: IF($C69="","",ROUND($C69*FACTOR_BCV,2))]</x:v>
      </x:c>
      <x:c r="E299" s="22" t="str">
        <x:v>Fuente original</x:v>
      </x:c>
      <x:c r="F299" s="22" t="str"/>
    </x:row>
    <x:row r="300" ht="70" customHeight="1">
      <x:c r="A300" s="22" t="str">
        <x:v>Excel</x:v>
      </x:c>
      <x:c r="B300" s="22" t="str">
        <x:v>PRECIOS PERF TOP QUALITY!fila 70</x:v>
      </x:c>
      <x:c r="C300" s="29" t="str"/>
      <x:c r="D300" s="32" t="str">
        <x:v>A70: LÍNEA ÁRABE
B70: BHARARA SCARLET
D70:  [fórmula: IF($C70="","",ROUND($C70*FACTOR_DIVISA,2))]
E70:  [fórmula: IF($C70="","",ROUND($C70*FACTOR_BCV,2))]</x:v>
      </x:c>
      <x:c r="E300" s="22" t="str">
        <x:v>Fuente original</x:v>
      </x:c>
      <x:c r="F300" s="22" t="str"/>
    </x:row>
    <x:row r="301" ht="70" customHeight="1">
      <x:c r="A301" s="22" t="str">
        <x:v>Excel</x:v>
      </x:c>
      <x:c r="B301" s="22" t="str">
        <x:v>PRECIOS PERF TOP QUALITY!fila 71</x:v>
      </x:c>
      <x:c r="C301" s="29" t="str"/>
      <x:c r="D301" s="32" t="str">
        <x:v>A71: LÍNEA ÁRABE
B71: ORIENTICA ROUGE
D71:  [fórmula: IF($C71="","",ROUND($C71*FACTOR_DIVISA,2))]
E71:  [fórmula: IF($C71="","",ROUND($C71*FACTOR_BCV,2))]</x:v>
      </x:c>
      <x:c r="E301" s="22" t="str">
        <x:v>Fuente original</x:v>
      </x:c>
      <x:c r="F301" s="22" t="str"/>
    </x:row>
    <x:row r="302" ht="70" customHeight="1">
      <x:c r="A302" s="22" t="str">
        <x:v>Excel</x:v>
      </x:c>
      <x:c r="B302" s="22" t="str">
        <x:v>PRECIOS PERF TOP QUALITY!fila 72</x:v>
      </x:c>
      <x:c r="C302" s="29" t="str"/>
      <x:c r="D302" s="32" t="str">
        <x:v>A72: LÍNEA ÁRABE
B72: ORIENTICA ROYAL
D72:  [fórmula: IF($C72="","",ROUND($C72*FACTOR_DIVISA,2))]
E72:  [fórmula: IF($C72="","",ROUND($C72*FACTOR_BCV,2))]</x:v>
      </x:c>
      <x:c r="E302" s="22" t="str">
        <x:v>Fuente original</x:v>
      </x:c>
      <x:c r="F302" s="22" t="str"/>
    </x:row>
    <x:row r="303" ht="70" customHeight="1">
      <x:c r="A303" s="22" t="str">
        <x:v>Excel</x:v>
      </x:c>
      <x:c r="B303" s="22" t="str">
        <x:v>PRECIOS PERF TOP QUALITY!fila 73</x:v>
      </x:c>
      <x:c r="C303" s="29" t="str"/>
      <x:c r="D303" s="32" t="str">
        <x:v>A73: LÍNEA ÁRABE
B73: ORIENTICA SAFRON
D73:  [fórmula: IF($C73="","",ROUND($C73*FACTOR_DIVISA,2))]
E73:  [fórmula: IF($C73="","",ROUND($C73*FACTOR_BCV,2))]</x:v>
      </x:c>
      <x:c r="E303" s="22" t="str">
        <x:v>Fuente original</x:v>
      </x:c>
      <x:c r="F303" s="22" t="str"/>
    </x:row>
    <x:row r="304" ht="70" customHeight="1">
      <x:c r="A304" s="22" t="str">
        <x:v>Excel</x:v>
      </x:c>
      <x:c r="B304" s="22" t="str">
        <x:v>PRECIOS PERF TOP QUALITY!fila 74</x:v>
      </x:c>
      <x:c r="C304" s="29" t="str"/>
      <x:c r="D304" s="32" t="str">
        <x:v>A74: LÍNEA ÁRABE
B74: ORIENTICA AL NOBLE
D74:  [fórmula: IF($C74="","",ROUND($C74*FACTOR_DIVISA,2))]
E74:  [fórmula: IF($C74="","",ROUND($C74*FACTOR_BCV,2))]</x:v>
      </x:c>
      <x:c r="E304" s="22" t="str">
        <x:v>Fuente original</x:v>
      </x:c>
      <x:c r="F304" s="22" t="str"/>
    </x:row>
    <x:row r="305" ht="70" customHeight="1">
      <x:c r="A305" s="22" t="str">
        <x:v>Excel</x:v>
      </x:c>
      <x:c r="B305" s="22" t="str">
        <x:v>PRECIOS PERF TOP QUALITY!fila 75</x:v>
      </x:c>
      <x:c r="C305" s="29" t="str"/>
      <x:c r="D305" s="32" t="str">
        <x:v>A75: LÍNEA ÁRABE
B75: ORIENTICA VELVET
D75:  [fórmula: IF($C75="","",ROUND($C75*FACTOR_DIVISA,2))]
E75:  [fórmula: IF($C75="","",ROUND($C75*FACTOR_BCV,2))]</x:v>
      </x:c>
      <x:c r="E305" s="22" t="str">
        <x:v>Fuente original</x:v>
      </x:c>
      <x:c r="F305" s="22" t="str"/>
    </x:row>
    <x:row r="306" ht="70" customHeight="1">
      <x:c r="A306" s="22" t="str">
        <x:v>Excel</x:v>
      </x:c>
      <x:c r="B306" s="22" t="str">
        <x:v>PRECIOS PERF TOP QUALITY!fila 76</x:v>
      </x:c>
      <x:c r="C306" s="29" t="str"/>
      <x:c r="D306" s="32" t="str">
        <x:v>A76: LÍNEA ÁRABE
B76: ORIENTICA DANIA
D76:  [fórmula: IF($C76="","",ROUND($C76*FACTOR_DIVISA,2))]
E76:  [fórmula: IF($C76="","",ROUND($C76*FACTOR_BCV,2))]</x:v>
      </x:c>
      <x:c r="E306" s="22" t="str">
        <x:v>Fuente original</x:v>
      </x:c>
      <x:c r="F306" s="22" t="str"/>
    </x:row>
    <x:row r="307" ht="70" customHeight="1">
      <x:c r="A307" s="22" t="str">
        <x:v>Excel</x:v>
      </x:c>
      <x:c r="B307" s="22" t="str">
        <x:v>PRECIOS PERF TOP QUALITY!fila 77</x:v>
      </x:c>
      <x:c r="C307" s="29" t="str"/>
      <x:c r="D307" s="32" t="str">
        <x:v>A77: LÍNEA ÁRABE
B77: ORIENTICA AZURE
D77:  [fórmula: IF($C77="","",ROUND($C77*FACTOR_DIVISA,2))]
E77:  [fórmula: IF($C77="","",ROUND($C77*FACTOR_BCV,2))]</x:v>
      </x:c>
      <x:c r="E307" s="22" t="str">
        <x:v>Fuente original</x:v>
      </x:c>
      <x:c r="F307" s="22" t="str"/>
    </x:row>
    <x:row r="308" ht="70" customHeight="1">
      <x:c r="A308" s="22" t="str">
        <x:v>Excel</x:v>
      </x:c>
      <x:c r="B308" s="22" t="str">
        <x:v>PRECIOS PERF TOP QUALITY!fila 78</x:v>
      </x:c>
      <x:c r="C308" s="29" t="str"/>
      <x:c r="D308" s="32" t="str">
        <x:v>A78: LÍNEA ÁRABE
B78: AMBER OUD EXCLUSIF ESMERALD
D78:  [fórmula: IF($C78="","",ROUND($C78*FACTOR_DIVISA,2))]
E78:  [fórmula: IF($C78="","",ROUND($C78*FACTOR_BCV,2))]</x:v>
      </x:c>
      <x:c r="E308" s="22" t="str">
        <x:v>Fuente original</x:v>
      </x:c>
      <x:c r="F308" s="22" t="str"/>
    </x:row>
    <x:row r="309" ht="70" customHeight="1">
      <x:c r="A309" s="22" t="str">
        <x:v>Excel</x:v>
      </x:c>
      <x:c r="B309" s="22" t="str">
        <x:v>PRECIOS PERF TOP QUALITY!fila 79</x:v>
      </x:c>
      <x:c r="C309" s="29" t="str"/>
      <x:c r="D309" s="32" t="str">
        <x:v>A79: LÍNEA ÁRABE
B79: AMBER OUD AQUA DUBAI
D79:  [fórmula: IF($C79="","",ROUND($C79*FACTOR_DIVISA,2))]
E79:  [fórmula: IF($C79="","",ROUND($C79*FACTOR_BCV,2))]</x:v>
      </x:c>
      <x:c r="E309" s="22" t="str">
        <x:v>Fuente original</x:v>
      </x:c>
      <x:c r="F309" s="22" t="str"/>
    </x:row>
    <x:row r="310" ht="70" customHeight="1">
      <x:c r="A310" s="22" t="str">
        <x:v>Excel</x:v>
      </x:c>
      <x:c r="B310" s="22" t="str">
        <x:v>PRECIOS PERF TOP QUALITY!fila 80</x:v>
      </x:c>
      <x:c r="C310" s="29" t="str"/>
      <x:c r="D310" s="32" t="str">
        <x:v>A80: LÍNEA ÁRABE
B80: AMBER OUD ULTRAVIOLET
D80:  [fórmula: IF($C80="","",ROUND($C80*FACTOR_DIVISA,2))]
E80:  [fórmula: IF($C80="","",ROUND($C80*FACTOR_BCV,2))]</x:v>
      </x:c>
      <x:c r="E310" s="22" t="str">
        <x:v>Fuente original</x:v>
      </x:c>
      <x:c r="F310" s="22" t="str"/>
    </x:row>
    <x:row r="311" ht="70" customHeight="1">
      <x:c r="A311" s="22" t="str">
        <x:v>Excel</x:v>
      </x:c>
      <x:c r="B311" s="22" t="str">
        <x:v>PRECIOS PERF TOP QUALITY!fila 81</x:v>
      </x:c>
      <x:c r="C311" s="29" t="str"/>
      <x:c r="D311" s="32" t="str">
        <x:v>A81: LÍNEA ÁRABE
B81: AMBER OUD GOLD EDITION
D81:  [fórmula: IF($C81="","",ROUND($C81*FACTOR_DIVISA,2))]
E81:  [fórmula: IF($C81="","",ROUND($C81*FACTOR_BCV,2))]</x:v>
      </x:c>
      <x:c r="E311" s="22" t="str">
        <x:v>Fuente original</x:v>
      </x:c>
      <x:c r="F311" s="22" t="str"/>
    </x:row>
    <x:row r="312" ht="70" customHeight="1">
      <x:c r="A312" s="22" t="str">
        <x:v>Excel</x:v>
      </x:c>
      <x:c r="B312" s="22" t="str">
        <x:v>PRECIOS PERF TOP QUALITY!fila 82</x:v>
      </x:c>
      <x:c r="C312" s="29" t="str"/>
      <x:c r="D312" s="32" t="str">
        <x:v>A82: LÍNEA ÁRABE
B82: AMBER OUD BLUE EDITION
D82:  [fórmula: IF($C82="","",ROUND($C82*FACTOR_DIVISA,2))]
E82:  [fórmula: IF($C82="","",ROUND($C82*FACTOR_BCV,2))]</x:v>
      </x:c>
      <x:c r="E312" s="22" t="str">
        <x:v>Fuente original</x:v>
      </x:c>
      <x:c r="F312" s="22" t="str"/>
    </x:row>
    <x:row r="313" ht="70" customHeight="1">
      <x:c r="A313" s="22" t="str">
        <x:v>Excel</x:v>
      </x:c>
      <x:c r="B313" s="22" t="str">
        <x:v>PRECIOS PERF TOP QUALITY!fila 83</x:v>
      </x:c>
      <x:c r="C313" s="29" t="str"/>
      <x:c r="D313" s="32" t="str">
        <x:v>A83: LÍNEA ÁRABE
B83: AMBER OUD AQUA DUBAI NIGHT
D83:  [fórmula: IF($C83="","",ROUND($C83*FACTOR_DIVISA,2))]
E83:  [fórmula: IF($C83="","",ROUND($C83*FACTOR_BCV,2))]</x:v>
      </x:c>
      <x:c r="E313" s="22" t="str">
        <x:v>Fuente original</x:v>
      </x:c>
      <x:c r="F313" s="22" t="str"/>
    </x:row>
    <x:row r="314" ht="70" customHeight="1">
      <x:c r="A314" s="22" t="str">
        <x:v>Excel</x:v>
      </x:c>
      <x:c r="B314" s="22" t="str">
        <x:v>PRECIOS PERF TOP QUALITY!fila 84</x:v>
      </x:c>
      <x:c r="C314" s="29" t="str"/>
      <x:c r="D314" s="32" t="str">
        <x:v>A84: LÍNEA ÁRABE
B84: YUM YUM
D84:  [fórmula: IF($C84="","",ROUND($C84*FACTOR_DIVISA,2))]
E84:  [fórmula: IF($C84="","",ROUND($C84*FACTOR_BCV,2))]</x:v>
      </x:c>
      <x:c r="E314" s="22" t="str">
        <x:v>Fuente original</x:v>
      </x:c>
      <x:c r="F314" s="22" t="str"/>
    </x:row>
    <x:row r="315" ht="70" customHeight="1">
      <x:c r="A315" s="22" t="str">
        <x:v>Excel</x:v>
      </x:c>
      <x:c r="B315" s="22" t="str">
        <x:v>PRECIOS PERF TOP QUALITY!fila 85</x:v>
      </x:c>
      <x:c r="C315" s="29" t="str"/>
      <x:c r="D315" s="32" t="str">
        <x:v>A85: LÍNEA ÁRABE
B85: ISLAND BLISS
D85:  [fórmula: IF($C85="","",ROUND($C85*FACTOR_DIVISA,2))]
E85:  [fórmula: IF($C85="","",ROUND($C85*FACTOR_BCV,2))]</x:v>
      </x:c>
      <x:c r="E315" s="22" t="str">
        <x:v>Fuente original</x:v>
      </x:c>
      <x:c r="F315" s="22" t="str"/>
    </x:row>
    <x:row r="316" ht="70" customHeight="1">
      <x:c r="A316" s="22" t="str">
        <x:v>Excel</x:v>
      </x:c>
      <x:c r="B316" s="22" t="str">
        <x:v>PRECIOS PERF TOP QUALITY!fila 86</x:v>
      </x:c>
      <x:c r="C316" s="29" t="str"/>
      <x:c r="D316" s="32" t="str">
        <x:v>A86: LÍNEA ÁRABE
B86: ISLAND BREAZZE
D86:  [fórmula: IF($C86="","",ROUND($C86*FACTOR_DIVISA,2))]
E86:  [fórmula: IF($C86="","",ROUND($C86*FACTOR_BCV,2))]</x:v>
      </x:c>
      <x:c r="E316" s="22" t="str">
        <x:v>Fuente original</x:v>
      </x:c>
      <x:c r="F316" s="22" t="str"/>
    </x:row>
    <x:row r="317" ht="70" customHeight="1">
      <x:c r="A317" s="22" t="str">
        <x:v>Excel</x:v>
      </x:c>
      <x:c r="B317" s="22" t="str">
        <x:v>PRECIOS PERF TOP QUALITY!fila 87</x:v>
      </x:c>
      <x:c r="C317" s="29" t="str"/>
      <x:c r="D317" s="32" t="str">
        <x:v>A87: LÍNEA ÁRABE
B87: ODISSEY MANDARIN
D87:  [fórmula: IF($C87="","",ROUND($C87*FACTOR_DIVISA,2))]
E87:  [fórmula: IF($C87="","",ROUND($C87*FACTOR_BCV,2))]</x:v>
      </x:c>
      <x:c r="E317" s="22" t="str">
        <x:v>Fuente original</x:v>
      </x:c>
      <x:c r="F317" s="22" t="str"/>
    </x:row>
    <x:row r="318" ht="70" customHeight="1">
      <x:c r="A318" s="22" t="str">
        <x:v>Excel</x:v>
      </x:c>
      <x:c r="B318" s="22" t="str">
        <x:v>PRECIOS PERF TOP QUALITY!fila 88</x:v>
      </x:c>
      <x:c r="C318" s="29" t="str"/>
      <x:c r="D318" s="32" t="str">
        <x:v>A88: LÍNEA ÁRABE
B88: ODISSEY MANDARIN SKY ELIXIR
C88: 14
D88: 23.8 [fórmula: IF($C88="","",ROUND($C88*FACTOR_DIVISA,2))]
E88: 30.8 [fórmula: IF($C88="","",ROUND($C88*FACTOR_BCV,2))]</x:v>
      </x:c>
      <x:c r="E318" s="22" t="str">
        <x:v>Fuente original</x:v>
      </x:c>
      <x:c r="F318" s="22" t="str"/>
    </x:row>
    <x:row r="319" ht="70" customHeight="1">
      <x:c r="A319" s="22" t="str">
        <x:v>Excel</x:v>
      </x:c>
      <x:c r="B319" s="22" t="str">
        <x:v>PRECIOS PERF TOP QUALITY!fila 89</x:v>
      </x:c>
      <x:c r="C319" s="29" t="str"/>
      <x:c r="D319" s="32" t="str">
        <x:v>A89: LÍNEA ÁRABE
B89: ODISSEY ARTISTO
D89:  [fórmula: IF($C89="","",ROUND($C89*FACTOR_DIVISA,2))]
E89:  [fórmula: IF($C89="","",ROUND($C89*FACTOR_BCV,2))]</x:v>
      </x:c>
      <x:c r="E319" s="22" t="str">
        <x:v>Fuente original</x:v>
      </x:c>
      <x:c r="F319" s="22" t="str"/>
    </x:row>
    <x:row r="320" ht="70" customHeight="1">
      <x:c r="A320" s="22" t="str">
        <x:v>Excel</x:v>
      </x:c>
      <x:c r="B320" s="22" t="str">
        <x:v>PRECIOS PERF TOP QUALITY!fila 90</x:v>
      </x:c>
      <x:c r="C320" s="29" t="str"/>
      <x:c r="D320" s="32" t="str">
        <x:v>A90: LÍNEA ÁRABE
B90: ODISSEY OUD
D90:  [fórmula: IF($C90="","",ROUND($C90*FACTOR_DIVISA,2))]
E90:  [fórmula: IF($C90="","",ROUND($C90*FACTOR_BCV,2))]</x:v>
      </x:c>
      <x:c r="E320" s="22" t="str">
        <x:v>Fuente original</x:v>
      </x:c>
      <x:c r="F320" s="22" t="str"/>
    </x:row>
    <x:row r="321" ht="70" customHeight="1">
      <x:c r="A321" s="22" t="str">
        <x:v>Excel</x:v>
      </x:c>
      <x:c r="B321" s="22" t="str">
        <x:v>PRECIOS PERF TOP QUALITY!fila 91</x:v>
      </x:c>
      <x:c r="C321" s="29" t="str"/>
      <x:c r="D321" s="32" t="str">
        <x:v>A91: LÍNEA ÁRABE
B91: ODISSEY MEGA
D91:  [fórmula: IF($C91="","",ROUND($C91*FACTOR_DIVISA,2))]
E91:  [fórmula: IF($C91="","",ROUND($C91*FACTOR_BCV,2))]</x:v>
      </x:c>
      <x:c r="E321" s="22" t="str">
        <x:v>Fuente original</x:v>
      </x:c>
      <x:c r="F321" s="22" t="str"/>
    </x:row>
    <x:row r="322" ht="70" customHeight="1">
      <x:c r="A322" s="22" t="str">
        <x:v>Excel</x:v>
      </x:c>
      <x:c r="B322" s="22" t="str">
        <x:v>PRECIOS PERF TOP QUALITY!fila 92</x:v>
      </x:c>
      <x:c r="C322" s="29" t="str"/>
      <x:c r="D322" s="32" t="str">
        <x:v>A92: LÍNEA ÁRABE
B92: ODISSEY WILD
D92:  [fórmula: IF($C92="","",ROUND($C92*FACTOR_DIVISA,2))]
E92:  [fórmula: IF($C92="","",ROUND($C92*FACTOR_BCV,2))]</x:v>
      </x:c>
      <x:c r="E322" s="22" t="str">
        <x:v>Fuente original</x:v>
      </x:c>
      <x:c r="F322" s="22" t="str"/>
    </x:row>
    <x:row r="323" ht="70" customHeight="1">
      <x:c r="A323" s="22" t="str">
        <x:v>Excel</x:v>
      </x:c>
      <x:c r="B323" s="22" t="str">
        <x:v>PRECIOS PERF TOP QUALITY!fila 93</x:v>
      </x:c>
      <x:c r="C323" s="29" t="str"/>
      <x:c r="D323" s="32" t="str">
        <x:v>A93: LÍNEA ÁRABE
B93: ODISSEY TYRANT
D93:  [fórmula: IF($C93="","",ROUND($C93*FACTOR_DIVISA,2))]
E93:  [fórmula: IF($C93="","",ROUND($C93*FACTOR_BCV,2))]</x:v>
      </x:c>
      <x:c r="E323" s="22" t="str">
        <x:v>Fuente original</x:v>
      </x:c>
      <x:c r="F323" s="22" t="str"/>
    </x:row>
    <x:row r="324" ht="70" customHeight="1">
      <x:c r="A324" s="22" t="str">
        <x:v>Excel</x:v>
      </x:c>
      <x:c r="B324" s="22" t="str">
        <x:v>PRECIOS PERF TOP QUALITY!fila 94</x:v>
      </x:c>
      <x:c r="C324" s="29" t="str"/>
      <x:c r="D324" s="32" t="str">
        <x:v>A94: LÍNEA ÁRABE
B94: ODISSEY HOMME
D94:  [fórmula: IF($C94="","",ROUND($C94*FACTOR_DIVISA,2))]
E94:  [fórmula: IF($C94="","",ROUND($C94*FACTOR_BCV,2))]</x:v>
      </x:c>
      <x:c r="E324" s="22" t="str">
        <x:v>Fuente original</x:v>
      </x:c>
      <x:c r="F324" s="22" t="str"/>
    </x:row>
    <x:row r="325" ht="70" customHeight="1">
      <x:c r="A325" s="22" t="str">
        <x:v>Excel</x:v>
      </x:c>
      <x:c r="B325" s="22" t="str">
        <x:v>PRECIOS PERF TOP QUALITY!fila 95</x:v>
      </x:c>
      <x:c r="C325" s="29" t="str"/>
      <x:c r="D325" s="32" t="str">
        <x:v>A95: LÍNEA ÁRABE
B95: ODISSEY SPECTRA
D95:  [fórmula: IF($C95="","",ROUND($C95*FACTOR_DIVISA,2))]
E95:  [fórmula: IF($C95="","",ROUND($C95*FACTOR_BCV,2))]</x:v>
      </x:c>
      <x:c r="E325" s="22" t="str">
        <x:v>Fuente original</x:v>
      </x:c>
      <x:c r="F325" s="22" t="str"/>
    </x:row>
    <x:row r="326" ht="70" customHeight="1">
      <x:c r="A326" s="22" t="str">
        <x:v>Excel</x:v>
      </x:c>
      <x:c r="B326" s="22" t="str">
        <x:v>PRECIOS PERF TOP QUALITY!fila 96</x:v>
      </x:c>
      <x:c r="C326" s="29" t="str"/>
      <x:c r="D326" s="32" t="str">
        <x:v>A96: LÍNEA ÁRABE
B96: ODISSEY CANDEE
D96:  [fórmula: IF($C96="","",ROUND($C96*FACTOR_DIVISA,2))]
E96:  [fórmula: IF($C96="","",ROUND($C96*FACTOR_BCV,2))]</x:v>
      </x:c>
      <x:c r="E326" s="22" t="str">
        <x:v>Fuente original</x:v>
      </x:c>
      <x:c r="F326" s="22" t="str"/>
    </x:row>
    <x:row r="327" ht="70" customHeight="1">
      <x:c r="A327" s="22" t="str">
        <x:v>Excel</x:v>
      </x:c>
      <x:c r="B327" s="22" t="str">
        <x:v>PRECIOS PERF TOP QUALITY!fila 97</x:v>
      </x:c>
      <x:c r="C327" s="29" t="str"/>
      <x:c r="D327" s="32" t="str">
        <x:v>A97: LÍNEA ÁRABE
B97: CLUB DE NUIT LYON HEART WOMAN
D97:  [fórmula: IF($C97="","",ROUND($C97*FACTOR_DIVISA,2))]
E97:  [fórmula: IF($C97="","",ROUND($C97*FACTOR_BCV,2))]</x:v>
      </x:c>
      <x:c r="E327" s="22" t="str">
        <x:v>Fuente original</x:v>
      </x:c>
      <x:c r="F327" s="22" t="str"/>
    </x:row>
    <x:row r="328" ht="70" customHeight="1">
      <x:c r="A328" s="22" t="str">
        <x:v>Excel</x:v>
      </x:c>
      <x:c r="B328" s="22" t="str">
        <x:v>PRECIOS PERF TOP QUALITY!fila 98</x:v>
      </x:c>
      <x:c r="C328" s="29" t="str"/>
      <x:c r="D328" s="32" t="str">
        <x:v>A98: LÍNEA ÁRABE
B98: CLUB DE NUIT MAN INTENSE
D98:  [fórmula: IF($C98="","",ROUND($C98*FACTOR_DIVISA,2))]
E98:  [fórmula: IF($C98="","",ROUND($C98*FACTOR_BCV,2))]</x:v>
      </x:c>
      <x:c r="E328" s="22" t="str">
        <x:v>Fuente original</x:v>
      </x:c>
      <x:c r="F328" s="22" t="str"/>
    </x:row>
    <x:row r="329" ht="70" customHeight="1">
      <x:c r="A329" s="22" t="str">
        <x:v>Excel</x:v>
      </x:c>
      <x:c r="B329" s="22" t="str">
        <x:v>PRECIOS PERF TOP QUALITY!fila 99</x:v>
      </x:c>
      <x:c r="C329" s="29" t="str"/>
      <x:c r="D329" s="32" t="str">
        <x:v>A99: LÍNEA ÁRABE
B99: CLUB DE NUIT URBAN ELIXIR
D99:  [fórmula: IF($C99="","",ROUND($C99*FACTOR_DIVISA,2))]
E99:  [fórmula: IF($C99="","",ROUND($C99*FACTOR_BCV,2))]</x:v>
      </x:c>
      <x:c r="E329" s="22" t="str">
        <x:v>Fuente original</x:v>
      </x:c>
      <x:c r="F329" s="22" t="str"/>
    </x:row>
    <x:row r="330" ht="70" customHeight="1">
      <x:c r="A330" s="22" t="str">
        <x:v>Excel</x:v>
      </x:c>
      <x:c r="B330" s="22" t="str">
        <x:v>PRECIOS PERF TOP QUALITY!fila 100</x:v>
      </x:c>
      <x:c r="C330" s="29" t="str"/>
      <x:c r="D330" s="32" t="str">
        <x:v>A100: LÍNEA ÁRABE
B100: CLUB DE NUIT LYON HEART MAN
D100:  [fórmula: IF($C100="","",ROUND($C100*FACTOR_DIVISA,2))]
E100:  [fórmula: IF($C100="","",ROUND($C100*FACTOR_BCV,2))]</x:v>
      </x:c>
      <x:c r="E330" s="22" t="str">
        <x:v>Fuente original</x:v>
      </x:c>
      <x:c r="F330" s="22" t="str"/>
    </x:row>
    <x:row r="331" ht="70" customHeight="1">
      <x:c r="A331" s="22" t="str">
        <x:v>Excel</x:v>
      </x:c>
      <x:c r="B331" s="22" t="str">
        <x:v>PRECIOS PERF TOP QUALITY!fila 101</x:v>
      </x:c>
      <x:c r="C331" s="29" t="str"/>
      <x:c r="D331" s="32" t="str">
        <x:v>A101: LÍNEA ÁRABE
B101: CLUB DE NUIT SILLAGE
D101:  [fórmula: IF($C101="","",ROUND($C101*FACTOR_DIVISA,2))]
E101:  [fórmula: IF($C101="","",ROUND($C101*FACTOR_BCV,2))]</x:v>
      </x:c>
      <x:c r="E331" s="22" t="str">
        <x:v>Fuente original</x:v>
      </x:c>
      <x:c r="F331" s="22" t="str"/>
    </x:row>
    <x:row r="332" ht="70" customHeight="1">
      <x:c r="A332" s="22" t="str">
        <x:v>Excel</x:v>
      </x:c>
      <x:c r="B332" s="22" t="str">
        <x:v>PRECIOS PERF TOP QUALITY!fila 102</x:v>
      </x:c>
      <x:c r="C332" s="29" t="str"/>
      <x:c r="D332" s="32" t="str">
        <x:v>A102: LÍNEA ÁRABE
B102: CLUB DE NUIT ICONIC
D102:  [fórmula: IF($C102="","",ROUND($C102*FACTOR_DIVISA,2))]
E102:  [fórmula: IF($C102="","",ROUND($C102*FACTOR_BCV,2))]</x:v>
      </x:c>
      <x:c r="E332" s="22" t="str">
        <x:v>Fuente original</x:v>
      </x:c>
      <x:c r="F332" s="22" t="str"/>
    </x:row>
    <x:row r="333" ht="70" customHeight="1">
      <x:c r="A333" s="22" t="str">
        <x:v>Excel</x:v>
      </x:c>
      <x:c r="B333" s="22" t="str">
        <x:v>PRECIOS PERF TOP QUALITY!fila 103</x:v>
      </x:c>
      <x:c r="C333" s="29" t="str"/>
      <x:c r="D333" s="32" t="str">
        <x:v>A103: LÍNEA ÁRABE
B103: CLUB DE NUIT UNTOLD
D103:  [fórmula: IF($C103="","",ROUND($C103*FACTOR_DIVISA,2))]
E103:  [fórmula: IF($C103="","",ROUND($C103*FACTOR_BCV,2))]</x:v>
      </x:c>
      <x:c r="E333" s="22" t="str">
        <x:v>Fuente original</x:v>
      </x:c>
      <x:c r="F333" s="22" t="str"/>
    </x:row>
    <x:row r="334" ht="70" customHeight="1">
      <x:c r="A334" s="22" t="str">
        <x:v>Excel</x:v>
      </x:c>
      <x:c r="B334" s="22" t="str">
        <x:v>PRECIOS PERF TOP QUALITY!fila 104</x:v>
      </x:c>
      <x:c r="C334" s="29" t="str"/>
      <x:c r="D334" s="32" t="str">
        <x:v>A104: LÍNEA ÁRABE
B104: CLUB DE NUIT WOMAN
D104:  [fórmula: IF($C104="","",ROUND($C104*FACTOR_DIVISA,2))]
E104:  [fórmula: IF($C104="","",ROUND($C104*FACTOR_BCV,2))]</x:v>
      </x:c>
      <x:c r="E334" s="22" t="str">
        <x:v>Fuente original</x:v>
      </x:c>
      <x:c r="F334" s="22" t="str"/>
    </x:row>
    <x:row r="335" ht="70" customHeight="1">
      <x:c r="A335" s="22" t="str">
        <x:v>Excel</x:v>
      </x:c>
      <x:c r="B335" s="22" t="str">
        <x:v>PRECIOS PERF TOP QUALITY!fila 105</x:v>
      </x:c>
      <x:c r="C335" s="29" t="str"/>
      <x:c r="D335" s="32" t="str">
        <x:v>A105: LÍNEA ÁRABE
B105: CLUB DE NUIT MILESTONE
D105:  [fórmula: IF($C105="","",ROUND($C105*FACTOR_DIVISA,2))]
E105:  [fórmula: IF($C105="","",ROUND($C105*FACTOR_BCV,2))]</x:v>
      </x:c>
      <x:c r="E335" s="22" t="str">
        <x:v>Fuente original</x:v>
      </x:c>
      <x:c r="F335" s="22" t="str"/>
    </x:row>
    <x:row r="336" ht="70" customHeight="1">
      <x:c r="A336" s="22" t="str">
        <x:v>Excel</x:v>
      </x:c>
      <x:c r="B336" s="22" t="str">
        <x:v>PRECIOS PERF TOP QUALITY!fila 106</x:v>
      </x:c>
      <x:c r="C336" s="29" t="str"/>
      <x:c r="D336" s="32" t="str">
        <x:v>A106: LÍNEA ÁRABE
B106: CLUB DE NUIT IMPERIALE
D106:  [fórmula: IF($C106="","",ROUND($C106*FACTOR_DIVISA,2))]
E106:  [fórmula: IF($C106="","",ROUND($C106*FACTOR_BCV,2))]</x:v>
      </x:c>
      <x:c r="E336" s="22" t="str">
        <x:v>Fuente original</x:v>
      </x:c>
      <x:c r="F336" s="22" t="str"/>
    </x:row>
    <x:row r="337" ht="70" customHeight="1">
      <x:c r="A337" s="22" t="str">
        <x:v>Excel</x:v>
      </x:c>
      <x:c r="B337" s="22" t="str">
        <x:v>PRECIOS PERF TOP QUALITY!fila 107</x:v>
      </x:c>
      <x:c r="C337" s="29" t="str"/>
      <x:c r="D337" s="32" t="str">
        <x:v>A107: LÍNEA CLÁSICA O DISEÑADOR
B107: LE MALE
D107:  [fórmula: IF($C107="","",ROUND($C107*FACTOR_DIVISA,2))]
E107:  [fórmula: IF($C107="","",ROUND($C107*FACTOR_BCV,2))]</x:v>
      </x:c>
      <x:c r="E337" s="22" t="str">
        <x:v>Fuente original</x:v>
      </x:c>
      <x:c r="F337" s="22" t="str"/>
    </x:row>
    <x:row r="338" ht="70" customHeight="1">
      <x:c r="A338" s="22" t="str">
        <x:v>Excel</x:v>
      </x:c>
      <x:c r="B338" s="22" t="str">
        <x:v>PRECIOS PERF TOP QUALITY!fila 108</x:v>
      </x:c>
      <x:c r="C338" s="29" t="str"/>
      <x:c r="D338" s="32" t="str">
        <x:v>A108: LÍNEA CLÁSICA O DISEÑADOR
B108: LE BEAU
D108:  [fórmula: IF($C108="","",ROUND($C108*FACTOR_DIVISA,2))]
E108:  [fórmula: IF($C108="","",ROUND($C108*FACTOR_BCV,2))]</x:v>
      </x:c>
      <x:c r="E338" s="22" t="str">
        <x:v>Fuente original</x:v>
      </x:c>
      <x:c r="F338" s="22" t="str"/>
    </x:row>
    <x:row r="339" ht="70" customHeight="1">
      <x:c r="A339" s="22" t="str">
        <x:v>Excel</x:v>
      </x:c>
      <x:c r="B339" s="22" t="str">
        <x:v>PRECIOS PERF TOP QUALITY!fila 109</x:v>
      </x:c>
      <x:c r="C339" s="29" t="str"/>
      <x:c r="D339" s="32" t="str">
        <x:v>A109: LÍNEA CLÁSICA O DISEÑADOR
B109: LE BEA PARADISE GARDEN
D109:  [fórmula: IF($C109="","",ROUND($C109*FACTOR_DIVISA,2))]
E109:  [fórmula: IF($C109="","",ROUND($C109*FACTOR_BCV,2))]</x:v>
      </x:c>
      <x:c r="E339" s="22" t="str">
        <x:v>Fuente original</x:v>
      </x:c>
      <x:c r="F339" s="22" t="str"/>
    </x:row>
    <x:row r="340" ht="70" customHeight="1">
      <x:c r="A340" s="22" t="str">
        <x:v>Excel</x:v>
      </x:c>
      <x:c r="B340" s="22" t="str">
        <x:v>PRECIOS PERF TOP QUALITY!fila 110</x:v>
      </x:c>
      <x:c r="C340" s="29" t="str"/>
      <x:c r="D340" s="32" t="str">
        <x:v>A110: LÍNEA CLÁSICA O DISEÑADOR
B110: LE MALE ELIXIR
D110:  [fórmula: IF($C110="","",ROUND($C110*FACTOR_DIVISA,2))]
E110:  [fórmula: IF($C110="","",ROUND($C110*FACTOR_BCV,2))]</x:v>
      </x:c>
      <x:c r="E340" s="22" t="str">
        <x:v>Fuente original</x:v>
      </x:c>
      <x:c r="F340" s="22" t="str"/>
    </x:row>
    <x:row r="341" ht="70" customHeight="1">
      <x:c r="A341" s="22" t="str">
        <x:v>Excel</x:v>
      </x:c>
      <x:c r="B341" s="22" t="str">
        <x:v>PRECIOS PERF TOP QUALITY!fila 111</x:v>
      </x:c>
      <x:c r="C341" s="29" t="str"/>
      <x:c r="D341" s="32" t="str">
        <x:v>A111: LÍNEA CLÁSICA O DISEÑADOR
B111: ULTRAMALE
D111:  [fórmula: IF($C111="","",ROUND($C111*FACTOR_DIVISA,2))]
E111:  [fórmula: IF($C111="","",ROUND($C111*FACTOR_BCV,2))]</x:v>
      </x:c>
      <x:c r="E341" s="22" t="str">
        <x:v>Fuente original</x:v>
      </x:c>
      <x:c r="F341" s="22" t="str"/>
    </x:row>
    <x:row r="342" ht="70" customHeight="1">
      <x:c r="A342" s="22" t="str">
        <x:v>Excel</x:v>
      </x:c>
      <x:c r="B342" s="22" t="str">
        <x:v>PRECIOS PERF TOP QUALITY!fila 112</x:v>
      </x:c>
      <x:c r="C342" s="29" t="str"/>
      <x:c r="D342" s="32" t="str">
        <x:v>A112: LÍNEA CLÁSICA O DISEÑADOR
B112: DIVINE
D112:  [fórmula: IF($C112="","",ROUND($C112*FACTOR_DIVISA,2))]
E112:  [fórmula: IF($C112="","",ROUND($C112*FACTOR_BCV,2))]</x:v>
      </x:c>
      <x:c r="E342" s="22" t="str">
        <x:v>Fuente original</x:v>
      </x:c>
      <x:c r="F342" s="22" t="str"/>
    </x:row>
    <x:row r="343" ht="70" customHeight="1">
      <x:c r="A343" s="22" t="str">
        <x:v>Excel</x:v>
      </x:c>
      <x:c r="B343" s="22" t="str">
        <x:v>PRECIOS PERF TOP QUALITY!fila 113</x:v>
      </x:c>
      <x:c r="C343" s="29" t="str"/>
      <x:c r="D343" s="32" t="str">
        <x:v>A113: LÍNEA CLÁSICA O DISEÑADOR
B113: CLOUD
D113:  [fórmula: IF($C113="","",ROUND($C113*FACTOR_DIVISA,2))]
E113:  [fórmula: IF($C113="","",ROUND($C113*FACTOR_BCV,2))]</x:v>
      </x:c>
      <x:c r="E343" s="22" t="str">
        <x:v>Fuente original</x:v>
      </x:c>
      <x:c r="F343" s="22" t="str"/>
    </x:row>
    <x:row r="344" ht="70" customHeight="1">
      <x:c r="A344" s="22" t="str">
        <x:v>Excel</x:v>
      </x:c>
      <x:c r="B344" s="22" t="str">
        <x:v>PRECIOS PERF TOP QUALITY!fila 114</x:v>
      </x:c>
      <x:c r="C344" s="29" t="str"/>
      <x:c r="D344" s="32" t="str">
        <x:v>A114: LÍNEA CLÁSICA O DISEÑADOR
B114: CLOUD 2.0
D114:  [fórmula: IF($C114="","",ROUND($C114*FACTOR_DIVISA,2))]
E114:  [fórmula: IF($C114="","",ROUND($C114*FACTOR_BCV,2))]</x:v>
      </x:c>
      <x:c r="E344" s="22" t="str">
        <x:v>Fuente original</x:v>
      </x:c>
      <x:c r="F344" s="22" t="str"/>
    </x:row>
    <x:row r="345" ht="70" customHeight="1">
      <x:c r="A345" s="22" t="str">
        <x:v>Excel</x:v>
      </x:c>
      <x:c r="B345" s="22" t="str">
        <x:v>PRECIOS PERF TOP QUALITY!fila 115</x:v>
      </x:c>
      <x:c r="C345" s="29" t="str"/>
      <x:c r="D345" s="32" t="str">
        <x:v>A115: LÍNEA CLÁSICA O DISEÑADOR
B115: THANK U NEXT
D115:  [fórmula: IF($C115="","",ROUND($C115*FACTOR_DIVISA,2))]
E115:  [fórmula: IF($C115="","",ROUND($C115*FACTOR_BCV,2))]</x:v>
      </x:c>
      <x:c r="E345" s="22" t="str">
        <x:v>Fuente original</x:v>
      </x:c>
      <x:c r="F345" s="22" t="str"/>
    </x:row>
    <x:row r="346" ht="70" customHeight="1">
      <x:c r="A346" s="22" t="str">
        <x:v>Excel</x:v>
      </x:c>
      <x:c r="B346" s="22" t="str">
        <x:v>PRECIOS PERF TOP QUALITY!fila 116</x:v>
      </x:c>
      <x:c r="C346" s="29" t="str"/>
      <x:c r="D346" s="32" t="str">
        <x:v>A116: LÍNEA CLÁSICA O DISEÑADOR
B116: SWEET LIKE CANDY
D116:  [fórmula: IF($C116="","",ROUND($C116*FACTOR_DIVISA,2))]
E116:  [fórmula: IF($C116="","",ROUND($C116*FACTOR_BCV,2))]</x:v>
      </x:c>
      <x:c r="E346" s="22" t="str">
        <x:v>Fuente original</x:v>
      </x:c>
      <x:c r="F346" s="22" t="str"/>
    </x:row>
    <x:row r="347" ht="70" customHeight="1">
      <x:c r="A347" s="22" t="str">
        <x:v>Excel</x:v>
      </x:c>
      <x:c r="B347" s="22" t="str">
        <x:v>PRECIOS PERF TOP QUALITY!fila 117</x:v>
      </x:c>
      <x:c r="C347" s="29" t="str"/>
      <x:c r="D347" s="32" t="str">
        <x:v>A117: LÍNEA CLÁSICA O DISEÑADOR
B117: R.E.M
D117:  [fórmula: IF($C117="","",ROUND($C117*FACTOR_DIVISA,2))]
E117:  [fórmula: IF($C117="","",ROUND($C117*FACTOR_BCV,2))]</x:v>
      </x:c>
      <x:c r="E347" s="22" t="str">
        <x:v>Fuente original</x:v>
      </x:c>
      <x:c r="F347" s="22" t="str"/>
    </x:row>
    <x:row r="348" ht="70" customHeight="1">
      <x:c r="A348" s="22" t="str">
        <x:v>Excel</x:v>
      </x:c>
      <x:c r="B348" s="22" t="str">
        <x:v>PRECIOS PERF TOP QUALITY!fila 118</x:v>
      </x:c>
      <x:c r="C348" s="29" t="str"/>
      <x:c r="D348" s="32" t="str">
        <x:v>A118: LÍNEA CLÁSICA O DISEÑADOR
B118: MOOD VAINILLA
D118:  [fórmula: IF($C118="","",ROUND($C118*FACTOR_DIVISA,2))]
E118:  [fórmula: IF($C118="","",ROUND($C118*FACTOR_BCV,2))]</x:v>
      </x:c>
      <x:c r="E348" s="22" t="str">
        <x:v>Fuente original</x:v>
      </x:c>
      <x:c r="F348" s="22" t="str"/>
    </x:row>
    <x:row r="349" ht="70" customHeight="1">
      <x:c r="A349" s="22" t="str">
        <x:v>Excel</x:v>
      </x:c>
      <x:c r="B349" s="22" t="str">
        <x:v>PRECIOS PERF TOP QUALITY!fila 119</x:v>
      </x:c>
      <x:c r="C349" s="29" t="str"/>
      <x:c r="D349" s="32" t="str">
        <x:v>A119: LÍNEA CLÁSICA O DISEÑADOR
B119: MOOD BLUSH
D119:  [fórmula: IF($C119="","",ROUND($C119*FACTOR_DIVISA,2))]
E119:  [fórmula: IF($C119="","",ROUND($C119*FACTOR_BCV,2))]</x:v>
      </x:c>
      <x:c r="E349" s="22" t="str">
        <x:v>Fuente original</x:v>
      </x:c>
      <x:c r="F349" s="22" t="str"/>
    </x:row>
    <x:row r="350" ht="70" customHeight="1">
      <x:c r="A350" s="22" t="str">
        <x:v>Excel</x:v>
      </x:c>
      <x:c r="B350" s="22" t="str">
        <x:v>PRECIOS PERF TOP QUALITY!fila 120</x:v>
      </x:c>
      <x:c r="C350" s="29" t="str"/>
      <x:c r="D350" s="32" t="str">
        <x:v>A120: LÍNEA CLÁSICA O DISEÑADOR
B120: 212 VIP FEM
D120:  [fórmula: IF($C120="","",ROUND($C120*FACTOR_DIVISA,2))]
E120:  [fórmula: IF($C120="","",ROUND($C120*FACTOR_BCV,2))]</x:v>
      </x:c>
      <x:c r="E350" s="22" t="str">
        <x:v>Fuente original</x:v>
      </x:c>
      <x:c r="F350" s="22" t="str"/>
    </x:row>
    <x:row r="351" ht="70" customHeight="1">
      <x:c r="A351" s="22" t="str">
        <x:v>Excel</x:v>
      </x:c>
      <x:c r="B351" s="22" t="str">
        <x:v>PRECIOS PERF TOP QUALITY!fila 121</x:v>
      </x:c>
      <x:c r="C351" s="29" t="str"/>
      <x:c r="D351" s="32" t="str">
        <x:v>A121: LÍNEA CLÁSICA O DISEÑADOR
B121: 212 VIP ROSE
D121:  [fórmula: IF($C121="","",ROUND($C121*FACTOR_DIVISA,2))]
E121:  [fórmula: IF($C121="","",ROUND($C121*FACTOR_BCV,2))]</x:v>
      </x:c>
      <x:c r="E351" s="22" t="str">
        <x:v>Fuente original</x:v>
      </x:c>
      <x:c r="F351" s="22" t="str"/>
    </x:row>
    <x:row r="352" ht="70" customHeight="1">
      <x:c r="A352" s="22" t="str">
        <x:v>Excel</x:v>
      </x:c>
      <x:c r="B352" s="22" t="str">
        <x:v>PRECIOS PERF TOP QUALITY!fila 122</x:v>
      </x:c>
      <x:c r="C352" s="29" t="str"/>
      <x:c r="D352" s="32" t="str">
        <x:v>A122: LÍNEA CLÁSICA O DISEÑADOR
B122: 212 SEXY FEM
D122:  [fórmula: IF($C122="","",ROUND($C122*FACTOR_DIVISA,2))]
E122:  [fórmula: IF($C122="","",ROUND($C122*FACTOR_BCV,2))]</x:v>
      </x:c>
      <x:c r="E352" s="22" t="str">
        <x:v>Fuente original</x:v>
      </x:c>
      <x:c r="F352" s="22" t="str"/>
    </x:row>
    <x:row r="353" ht="70" customHeight="1">
      <x:c r="A353" s="22" t="str">
        <x:v>Excel</x:v>
      </x:c>
      <x:c r="B353" s="22" t="str">
        <x:v>PRECIOS PERF TOP QUALITY!fila 123</x:v>
      </x:c>
      <x:c r="C353" s="29" t="str"/>
      <x:c r="D353" s="32" t="str">
        <x:v>A123: LÍNEA CLÁSICA O DISEÑADOR
B123: 212 HEROES FEM
D123:  [fórmula: IF($C123="","",ROUND($C123*FACTOR_DIVISA,2))]
E123:  [fórmula: IF($C123="","",ROUND($C123*FACTOR_BCV,2))]</x:v>
      </x:c>
      <x:c r="E353" s="22" t="str">
        <x:v>Fuente original</x:v>
      </x:c>
      <x:c r="F353" s="22" t="str"/>
    </x:row>
    <x:row r="354" ht="70" customHeight="1">
      <x:c r="A354" s="22" t="str">
        <x:v>Excel</x:v>
      </x:c>
      <x:c r="B354" s="22" t="str">
        <x:v>PRECIOS PERF TOP QUALITY!fila 124</x:v>
      </x:c>
      <x:c r="C354" s="29" t="str"/>
      <x:c r="D354" s="32" t="str">
        <x:v>A124: LÍNEA CLÁSICA O DISEÑADOR
B124: LA BOMBA
D124:  [fórmula: IF($C124="","",ROUND($C124*FACTOR_DIVISA,2))]
E124:  [fórmula: IF($C124="","",ROUND($C124*FACTOR_BCV,2))]</x:v>
      </x:c>
      <x:c r="E354" s="22" t="str">
        <x:v>Fuente original</x:v>
      </x:c>
      <x:c r="F354" s="22" t="str"/>
    </x:row>
    <x:row r="355" ht="70" customHeight="1">
      <x:c r="A355" s="22" t="str">
        <x:v>Excel</x:v>
      </x:c>
      <x:c r="B355" s="22" t="str">
        <x:v>PRECIOS PERF TOP QUALITY!fila 125</x:v>
      </x:c>
      <x:c r="C355" s="29" t="str"/>
      <x:c r="D355" s="32" t="str">
        <x:v>A125: LÍNEA CLÁSICA O DISEÑADOR
B125: GOOD GIRL
D125:  [fórmula: IF($C125="","",ROUND($C125*FACTOR_DIVISA,2))]
E125:  [fórmula: IF($C125="","",ROUND($C125*FACTOR_BCV,2))]</x:v>
      </x:c>
      <x:c r="E355" s="22" t="str">
        <x:v>Fuente original</x:v>
      </x:c>
      <x:c r="F355" s="22" t="str"/>
    </x:row>
    <x:row r="356" ht="70" customHeight="1">
      <x:c r="A356" s="22" t="str">
        <x:v>Excel</x:v>
      </x:c>
      <x:c r="B356" s="22" t="str">
        <x:v>PRECIOS PERF TOP QUALITY!fila 126</x:v>
      </x:c>
      <x:c r="C356" s="29" t="str"/>
      <x:c r="D356" s="32" t="str">
        <x:v>A126: LÍNEA CLÁSICA O DISEÑADOR
B126: GOOD GIRL LEGERE
D126:  [fórmula: IF($C126="","",ROUND($C126*FACTOR_DIVISA,2))]
E126:  [fórmula: IF($C126="","",ROUND($C126*FACTOR_BCV,2))]</x:v>
      </x:c>
      <x:c r="E356" s="22" t="str">
        <x:v>Fuente original</x:v>
      </x:c>
      <x:c r="F356" s="22" t="str"/>
    </x:row>
    <x:row r="357" ht="70" customHeight="1">
      <x:c r="A357" s="22" t="str">
        <x:v>Excel</x:v>
      </x:c>
      <x:c r="B357" s="22" t="str">
        <x:v>PRECIOS PERF TOP QUALITY!fila 127</x:v>
      </x:c>
      <x:c r="C357" s="29" t="str"/>
      <x:c r="D357" s="32" t="str">
        <x:v>A127: LÍNEA CLÁSICA O DISEÑADOR
B127: VERY GOOD GIRL
D127:  [fórmula: IF($C127="","",ROUND($C127*FACTOR_DIVISA,2))]
E127:  [fórmula: IF($C127="","",ROUND($C127*FACTOR_BCV,2))]</x:v>
      </x:c>
      <x:c r="E357" s="22" t="str">
        <x:v>Fuente original</x:v>
      </x:c>
      <x:c r="F357" s="22" t="str"/>
    </x:row>
    <x:row r="358" ht="70" customHeight="1">
      <x:c r="A358" s="22" t="str">
        <x:v>Excel</x:v>
      </x:c>
      <x:c r="B358" s="22" t="str">
        <x:v>PRECIOS PERF TOP QUALITY!fila 128</x:v>
      </x:c>
      <x:c r="C358" s="29" t="str"/>
      <x:c r="D358" s="32" t="str">
        <x:v>A128: LÍNEA CLÁSICA O DISEÑADOR
B128: CH FEM
D128:  [fórmula: IF($C128="","",ROUND($C128*FACTOR_DIVISA,2))]
E128:  [fórmula: IF($C128="","",ROUND($C128*FACTOR_BCV,2))]</x:v>
      </x:c>
      <x:c r="E358" s="22" t="str">
        <x:v>Fuente original</x:v>
      </x:c>
      <x:c r="F358" s="22" t="str"/>
    </x:row>
    <x:row r="359" ht="70" customHeight="1">
      <x:c r="A359" s="22" t="str">
        <x:v>Excel</x:v>
      </x:c>
      <x:c r="B359" s="22" t="str">
        <x:v>PRECIOS PERF TOP QUALITY!fila 129</x:v>
      </x:c>
      <x:c r="C359" s="29" t="str"/>
      <x:c r="D359" s="32" t="str">
        <x:v>A129: LÍNEA CLÁSICA O DISEÑADOR
B129: CAN CAN
D129:  [fórmula: IF($C129="","",ROUND($C129*FACTOR_DIVISA,2))]
E129:  [fórmula: IF($C129="","",ROUND($C129*FACTOR_BCV,2))]</x:v>
      </x:c>
      <x:c r="E359" s="22" t="str">
        <x:v>Fuente original</x:v>
      </x:c>
      <x:c r="F359" s="22" t="str"/>
    </x:row>
    <x:row r="360" ht="70" customHeight="1">
      <x:c r="A360" s="22" t="str">
        <x:v>Excel</x:v>
      </x:c>
      <x:c r="B360" s="22" t="str">
        <x:v>PRECIOS PERF TOP QUALITY!fila 130</x:v>
      </x:c>
      <x:c r="C360" s="29" t="str"/>
      <x:c r="D360" s="32" t="str">
        <x:v>A130: LÍNEA CLÁSICA O DISEÑADOR
B130: HEIRESS
D130:  [fórmula: IF($C130="","",ROUND($C130*FACTOR_DIVISA,2))]
E130:  [fórmula: IF($C130="","",ROUND($C130*FACTOR_BCV,2))]</x:v>
      </x:c>
      <x:c r="E360" s="22" t="str">
        <x:v>Fuente original</x:v>
      </x:c>
      <x:c r="F360" s="22" t="str"/>
    </x:row>
    <x:row r="361" ht="70" customHeight="1">
      <x:c r="A361" s="22" t="str">
        <x:v>Excel</x:v>
      </x:c>
      <x:c r="B361" s="22" t="str">
        <x:v>PRECIOS PERF TOP QUALITY!fila 131</x:v>
      </x:c>
      <x:c r="C361" s="29" t="str"/>
      <x:c r="D361" s="32" t="str">
        <x:v>A131: LÍNEA CLÁSICA O DISEÑADOR
B131: FANTASY
D131:  [fórmula: IF($C131="","",ROUND($C131*FACTOR_DIVISA,2))]
E131:  [fórmula: IF($C131="","",ROUND($C131*FACTOR_BCV,2))]</x:v>
      </x:c>
      <x:c r="E361" s="22" t="str">
        <x:v>Fuente original</x:v>
      </x:c>
      <x:c r="F361" s="22" t="str"/>
    </x:row>
    <x:row r="362" ht="70" customHeight="1">
      <x:c r="A362" s="22" t="str">
        <x:v>Excel</x:v>
      </x:c>
      <x:c r="B362" s="22" t="str">
        <x:v>PRECIOS PERF TOP QUALITY!fila 132</x:v>
      </x:c>
      <x:c r="C362" s="29" t="str"/>
      <x:c r="D362" s="32" t="str">
        <x:v>A132: LÍNEA CLÁSICA O DISEÑADOR
B132: FANTASY MIDNIGHT
D132:  [fórmula: IF($C132="","",ROUND($C132*FACTOR_DIVISA,2))]
E132:  [fórmula: IF($C132="","",ROUND($C132*FACTOR_BCV,2))]</x:v>
      </x:c>
      <x:c r="E362" s="22" t="str">
        <x:v>Fuente original</x:v>
      </x:c>
      <x:c r="F362" s="22" t="str"/>
    </x:row>
    <x:row r="363" ht="70" customHeight="1">
      <x:c r="A363" s="22" t="str">
        <x:v>Excel</x:v>
      </x:c>
      <x:c r="B363" s="22" t="str">
        <x:v>PRECIOS PERF TOP QUALITY!fila 133</x:v>
      </x:c>
      <x:c r="C363" s="29" t="str"/>
      <x:c r="D363" s="32" t="str">
        <x:v>A133: LÍNEA CLÁSICA O DISEÑADOR
B133: FANTASY CIRCUS
D133:  [fórmula: IF($C133="","",ROUND($C133*FACTOR_DIVISA,2))]
E133:  [fórmula: IF($C133="","",ROUND($C133*FACTOR_BCV,2))]</x:v>
      </x:c>
      <x:c r="E363" s="22" t="str">
        <x:v>Fuente original</x:v>
      </x:c>
      <x:c r="F363" s="22" t="str"/>
    </x:row>
    <x:row r="364" ht="70" customHeight="1">
      <x:c r="A364" s="22" t="str">
        <x:v>Excel</x:v>
      </x:c>
      <x:c r="B364" s="22" t="str">
        <x:v>PRECIOS PERF TOP QUALITY!fila 134</x:v>
      </x:c>
      <x:c r="C364" s="29" t="str"/>
      <x:c r="D364" s="32" t="str">
        <x:v>A134: LÍNEA CLÁSICA O DISEÑADOR
B134: SORBETO ROSSO
D134:  [fórmula: IF($C134="","",ROUND($C134*FACTOR_DIVISA,2))]
E134:  [fórmula: IF($C134="","",ROUND($C134*FACTOR_BCV,2))]</x:v>
      </x:c>
      <x:c r="E364" s="22" t="str">
        <x:v>Fuente original</x:v>
      </x:c>
      <x:c r="F364" s="22" t="str"/>
    </x:row>
    <x:row r="365" ht="70" customHeight="1">
      <x:c r="A365" s="22" t="str">
        <x:v>Excel</x:v>
      </x:c>
      <x:c r="B365" s="22" t="str">
        <x:v>PRECIOS PERF TOP QUALITY!fila 135</x:v>
      </x:c>
      <x:c r="C365" s="29" t="str"/>
      <x:c r="D365" s="32" t="str">
        <x:v>A135: LÍNEA CLÁSICA O DISEÑADOR
B135: AGUA DE SOL
D135:  [fórmula: IF($C135="","",ROUND($C135*FACTOR_DIVISA,2))]
E135:  [fórmula: IF($C135="","",ROUND($C135*FACTOR_BCV,2))]</x:v>
      </x:c>
      <x:c r="E365" s="22" t="str">
        <x:v>Fuente original</x:v>
      </x:c>
      <x:c r="F365" s="22" t="str"/>
    </x:row>
    <x:row r="366" ht="70" customHeight="1">
      <x:c r="A366" s="22" t="str">
        <x:v>Excel</x:v>
      </x:c>
      <x:c r="B366" s="22" t="str">
        <x:v>PRECIOS PERF TOP QUALITY!fila 136</x:v>
      </x:c>
      <x:c r="C366" s="29" t="str"/>
      <x:c r="D366" s="32" t="str">
        <x:v>A136: LÍNEA CLÁSICA O DISEÑADOR
B136: ROCK IN RIO
D136:  [fórmula: IF($C136="","",ROUND($C136*FACTOR_DIVISA,2))]
E136:  [fórmula: IF($C136="","",ROUND($C136*FACTOR_BCV,2))]</x:v>
      </x:c>
      <x:c r="E366" s="22" t="str">
        <x:v>Fuente original</x:v>
      </x:c>
      <x:c r="F366" s="22" t="str"/>
    </x:row>
    <x:row r="367" ht="70" customHeight="1">
      <x:c r="A367" s="22" t="str">
        <x:v>Excel</x:v>
      </x:c>
      <x:c r="B367" s="22" t="str">
        <x:v>PRECIOS PERF TOP QUALITY!fila 137</x:v>
      </x:c>
      <x:c r="C367" s="29" t="str"/>
      <x:c r="D367" s="32" t="str">
        <x:v>A137: LÍNEA CLÁSICA O DISEÑADOR
B137: FAME
D137:  [fórmula: IF($C137="","",ROUND($C137*FACTOR_DIVISA,2))]
E137:  [fórmula: IF($C137="","",ROUND($C137*FACTOR_BCV,2))]</x:v>
      </x:c>
      <x:c r="E367" s="22" t="str">
        <x:v>Fuente original</x:v>
      </x:c>
      <x:c r="F367" s="22" t="str"/>
    </x:row>
    <x:row r="368" ht="70" customHeight="1">
      <x:c r="A368" s="22" t="str">
        <x:v>Excel</x:v>
      </x:c>
      <x:c r="B368" s="22" t="str">
        <x:v>PRECIOS PERF TOP QUALITY!fila 138</x:v>
      </x:c>
      <x:c r="C368" s="29" t="str"/>
      <x:c r="D368" s="32" t="str">
        <x:v>A138: LÍNEA CLÁSICA O DISEÑADOR
B138: FAME COUTURE
D138:  [fórmula: IF($C138="","",ROUND($C138*FACTOR_DIVISA,2))]
E138:  [fórmula: IF($C138="","",ROUND($C138*FACTOR_BCV,2))]</x:v>
      </x:c>
      <x:c r="E368" s="22" t="str">
        <x:v>Fuente original</x:v>
      </x:c>
      <x:c r="F368" s="22" t="str"/>
    </x:row>
    <x:row r="369" ht="70" customHeight="1">
      <x:c r="A369" s="22" t="str">
        <x:v>Excel</x:v>
      </x:c>
      <x:c r="B369" s="22" t="str">
        <x:v>PRECIOS PERF TOP QUALITY!fila 139</x:v>
      </x:c>
      <x:c r="C369" s="29" t="str"/>
      <x:c r="D369" s="32" t="str">
        <x:v>A139: LÍNEA CLÁSICA O DISEÑADOR
B139: OLYMPEA
D139:  [fórmula: IF($C139="","",ROUND($C139*FACTOR_DIVISA,2))]
E139:  [fórmula: IF($C139="","",ROUND($C139*FACTOR_BCV,2))]</x:v>
      </x:c>
      <x:c r="E369" s="22" t="str">
        <x:v>Fuente original</x:v>
      </x:c>
      <x:c r="F369" s="22" t="str"/>
    </x:row>
    <x:row r="370" ht="70" customHeight="1">
      <x:c r="A370" s="22" t="str">
        <x:v>Excel</x:v>
      </x:c>
      <x:c r="B370" s="22" t="str">
        <x:v>PRECIOS PERF TOP QUALITY!fila 140</x:v>
      </x:c>
      <x:c r="C370" s="29" t="str"/>
      <x:c r="D370" s="32" t="str">
        <x:v>A140: LÍNEA CLÁSICA O DISEÑADOR
B140: TOY BUBBLEGUM
D140:  [fórmula: IF($C140="","",ROUND($C140*FACTOR_DIVISA,2))]
E140:  [fórmula: IF($C140="","",ROUND($C140*FACTOR_BCV,2))]</x:v>
      </x:c>
      <x:c r="E370" s="22" t="str">
        <x:v>Fuente original</x:v>
      </x:c>
      <x:c r="F370" s="22" t="str"/>
    </x:row>
    <x:row r="371" ht="70" customHeight="1">
      <x:c r="A371" s="22" t="str">
        <x:v>Excel</x:v>
      </x:c>
      <x:c r="B371" s="22" t="str">
        <x:v>PRECIOS PERF TOP QUALITY!fila 141</x:v>
      </x:c>
      <x:c r="C371" s="29" t="str"/>
      <x:c r="D371" s="32" t="str">
        <x:v>A141: LÍNEA CLÁSICA O DISEÑADOR
B141: TOY 2
D141:  [fórmula: IF($C141="","",ROUND($C141*FACTOR_DIVISA,2))]
E141:  [fórmula: IF($C141="","",ROUND($C141*FACTOR_BCV,2))]</x:v>
      </x:c>
      <x:c r="E371" s="22" t="str">
        <x:v>Fuente original</x:v>
      </x:c>
      <x:c r="F371" s="22" t="str"/>
    </x:row>
    <x:row r="372" ht="70" customHeight="1">
      <x:c r="A372" s="22" t="str">
        <x:v>Excel</x:v>
      </x:c>
      <x:c r="B372" s="22" t="str">
        <x:v>PRECIOS PERF TOP QUALITY!fila 142</x:v>
      </x:c>
      <x:c r="C372" s="29" t="str"/>
      <x:c r="D372" s="32" t="str">
        <x:v>A142: LÍNEA CLÁSICA O DISEÑADOR
B142: TOY PEARL
D142:  [fórmula: IF($C142="","",ROUND($C142*FACTOR_DIVISA,2))]
E142:  [fórmula: IF($C142="","",ROUND($C142*FACTOR_BCV,2))]</x:v>
      </x:c>
      <x:c r="E372" s="22" t="str">
        <x:v>Fuente original</x:v>
      </x:c>
      <x:c r="F372" s="22" t="str"/>
    </x:row>
    <x:row r="373" ht="70" customHeight="1">
      <x:c r="A373" s="22" t="str">
        <x:v>Excel</x:v>
      </x:c>
      <x:c r="B373" s="22" t="str">
        <x:v>PRECIOS PERF TOP QUALITY!fila 143</x:v>
      </x:c>
      <x:c r="C373" s="29" t="str"/>
      <x:c r="D373" s="32" t="str">
        <x:v>A143: LÍNEA CLÁSICA O DISEÑADOR
B143: CHANCE CHANEL
D143:  [fórmula: IF($C143="","",ROUND($C143*FACTOR_DIVISA,2))]
E143:  [fórmula: IF($C143="","",ROUND($C143*FACTOR_BCV,2))]</x:v>
      </x:c>
      <x:c r="E373" s="22" t="str">
        <x:v>Fuente original</x:v>
      </x:c>
      <x:c r="F373" s="22" t="str"/>
    </x:row>
    <x:row r="374" ht="70" customHeight="1">
      <x:c r="A374" s="22" t="str">
        <x:v>Excel</x:v>
      </x:c>
      <x:c r="B374" s="22" t="str">
        <x:v>PRECIOS PERF TOP QUALITY!fila 144</x:v>
      </x:c>
      <x:c r="C374" s="29" t="str"/>
      <x:c r="D374" s="32" t="str">
        <x:v>A144: LÍNEA CLÁSICA O DISEÑADOR
B144: COCOMADEMOISELLE
D144:  [fórmula: IF($C144="","",ROUND($C144*FACTOR_DIVISA,2))]
E144:  [fórmula: IF($C144="","",ROUND($C144*FACTOR_BCV,2))]</x:v>
      </x:c>
      <x:c r="E374" s="22" t="str">
        <x:v>Fuente original</x:v>
      </x:c>
      <x:c r="F374" s="22" t="str"/>
    </x:row>
    <x:row r="375" ht="70" customHeight="1">
      <x:c r="A375" s="22" t="str">
        <x:v>Excel</x:v>
      </x:c>
      <x:c r="B375" s="22" t="str">
        <x:v>PRECIOS PERF TOP QUALITY!fila 145</x:v>
      </x:c>
      <x:c r="C375" s="29" t="str"/>
      <x:c r="D375" s="32" t="str">
        <x:v>A145: LÍNEA CLÁSICA O DISEÑADOR
B145: CHANEL N5
D145:  [fórmula: IF($C145="","",ROUND($C145*FACTOR_DIVISA,2))]
E145:  [fórmula: IF($C145="","",ROUND($C145*FACTOR_BCV,2))]</x:v>
      </x:c>
      <x:c r="E375" s="22" t="str">
        <x:v>Fuente original</x:v>
      </x:c>
      <x:c r="F375" s="22" t="str"/>
    </x:row>
    <x:row r="376" ht="70" customHeight="1">
      <x:c r="A376" s="22" t="str">
        <x:v>Excel</x:v>
      </x:c>
      <x:c r="B376" s="22" t="str">
        <x:v>PRECIOS PERF TOP QUALITY!fila 146</x:v>
      </x:c>
      <x:c r="C376" s="29" t="str"/>
      <x:c r="D376" s="32" t="str">
        <x:v>A146: LÍNEA CLÁSICA O DISEÑADOR
B146: MEOW
D146:  [fórmula: IF($C146="","",ROUND($C146*FACTOR_DIVISA,2))]
E146:  [fórmula: IF($C146="","",ROUND($C146*FACTOR_BCV,2))]</x:v>
      </x:c>
      <x:c r="E376" s="22" t="str">
        <x:v>Fuente original</x:v>
      </x:c>
      <x:c r="F376" s="22" t="str"/>
    </x:row>
    <x:row r="377" ht="70" customHeight="1">
      <x:c r="A377" s="22" t="str">
        <x:v>Excel</x:v>
      </x:c>
      <x:c r="B377" s="22" t="str">
        <x:v>PRECIOS PERF TOP QUALITY!fila 147</x:v>
      </x:c>
      <x:c r="C377" s="29" t="str"/>
      <x:c r="D377" s="32" t="str">
        <x:v>A147: LÍNEA CLÁSICA O DISEÑADOR
B147: PRR
D147:  [fórmula: IF($C147="","",ROUND($C147*FACTOR_DIVISA,2))]
E147:  [fórmula: IF($C147="","",ROUND($C147*FACTOR_BCV,2))]</x:v>
      </x:c>
      <x:c r="E377" s="22" t="str">
        <x:v>Fuente original</x:v>
      </x:c>
      <x:c r="F377" s="22" t="str"/>
    </x:row>
    <x:row r="378" ht="70" customHeight="1">
      <x:c r="A378" s="22" t="str">
        <x:v>Excel</x:v>
      </x:c>
      <x:c r="B378" s="22" t="str">
        <x:v>PRECIOS PERF TOP QUALITY!fila 148</x:v>
      </x:c>
      <x:c r="C378" s="29" t="str"/>
      <x:c r="D378" s="32" t="str">
        <x:v>A148: LÍNEA CLÁSICA O DISEÑADOR
B148: BRIGHCRYSTAL
D148:  [fórmula: IF($C148="","",ROUND($C148*FACTOR_DIVISA,2))]
E148:  [fórmula: IF($C148="","",ROUND($C148*FACTOR_BCV,2))]</x:v>
      </x:c>
      <x:c r="E378" s="22" t="str">
        <x:v>Fuente original</x:v>
      </x:c>
      <x:c r="F378" s="22" t="str"/>
    </x:row>
    <x:row r="379" ht="70" customHeight="1">
      <x:c r="A379" s="22" t="str">
        <x:v>Excel</x:v>
      </x:c>
      <x:c r="B379" s="22" t="str">
        <x:v>PRECIOS PERF TOP QUALITY!fila 149</x:v>
      </x:c>
      <x:c r="C379" s="29" t="str"/>
      <x:c r="D379" s="32" t="str">
        <x:v>A149: LÍNEA CLÁSICA O DISEÑADOR
B149: YELLOW DIAMONDS
D149:  [fórmula: IF($C149="","",ROUND($C149*FACTOR_DIVISA,2))]
E149:  [fórmula: IF($C149="","",ROUND($C149*FACTOR_BCV,2))]</x:v>
      </x:c>
      <x:c r="E379" s="22" t="str">
        <x:v>Fuente original</x:v>
      </x:c>
      <x:c r="F379" s="22" t="str"/>
    </x:row>
    <x:row r="380" ht="70" customHeight="1">
      <x:c r="A380" s="22" t="str">
        <x:v>Excel</x:v>
      </x:c>
      <x:c r="B380" s="22" t="str">
        <x:v>PRECIOS PERF TOP QUALITY!fila 150</x:v>
      </x:c>
      <x:c r="C380" s="29" t="str"/>
      <x:c r="D380" s="32" t="str">
        <x:v>A150: LÍNEA CLÁSICA O DISEÑADOR
B150: TOMMY GIRLS
D150:  [fórmula: IF($C150="","",ROUND($C150*FACTOR_DIVISA,2))]
E150:  [fórmula: IF($C150="","",ROUND($C150*FACTOR_BCV,2))]</x:v>
      </x:c>
      <x:c r="E380" s="22" t="str">
        <x:v>Fuente original</x:v>
      </x:c>
      <x:c r="F380" s="22" t="str"/>
    </x:row>
    <x:row r="381" ht="70" customHeight="1">
      <x:c r="A381" s="22" t="str">
        <x:v>Excel</x:v>
      </x:c>
      <x:c r="B381" s="22" t="str">
        <x:v>PRECIOS PERF TOP QUALITY!fila 151</x:v>
      </x:c>
      <x:c r="C381" s="29" t="str"/>
      <x:c r="D381" s="32" t="str">
        <x:v>A151: LÍNEA CLÁSICA O DISEÑADOR
B151: VIVA LA JUICY
D151:  [fórmula: IF($C151="","",ROUND($C151*FACTOR_DIVISA,2))]
E151:  [fórmula: IF($C151="","",ROUND($C151*FACTOR_BCV,2))]</x:v>
      </x:c>
      <x:c r="E381" s="22" t="str">
        <x:v>Fuente original</x:v>
      </x:c>
      <x:c r="F381" s="22" t="str"/>
    </x:row>
    <x:row r="382" ht="70" customHeight="1">
      <x:c r="A382" s="22" t="str">
        <x:v>Excel</x:v>
      </x:c>
      <x:c r="B382" s="22" t="str">
        <x:v>PRECIOS PERF TOP QUALITY!fila 152</x:v>
      </x:c>
      <x:c r="C382" s="29" t="str"/>
      <x:c r="D382" s="32" t="str">
        <x:v>A152: LÍNEA CLÁSICA O DISEÑADOR
B152: SCANDAL FEM
D152:  [fórmula: IF($C152="","",ROUND($C152*FACTOR_DIVISA,2))]
E152:  [fórmula: IF($C152="","",ROUND($C152*FACTOR_BCV,2))]</x:v>
      </x:c>
      <x:c r="E382" s="22" t="str">
        <x:v>Fuente original</x:v>
      </x:c>
      <x:c r="F382" s="22" t="str"/>
    </x:row>
    <x:row r="383" ht="70" customHeight="1">
      <x:c r="A383" s="22" t="str">
        <x:v>Excel</x:v>
      </x:c>
      <x:c r="B383" s="22" t="str">
        <x:v>PRECIOS PERF TOP QUALITY!fila 153</x:v>
      </x:c>
      <x:c r="C383" s="29" t="str"/>
      <x:c r="D383" s="32" t="str">
        <x:v>A153: LÍNEA CLÁSICA O DISEÑADOR
B153: LIGHT BLUE FEM
D153:  [fórmula: IF($C153="","",ROUND($C153*FACTOR_DIVISA,2))]
E153:  [fórmula: IF($C153="","",ROUND($C153*FACTOR_BCV,2))]</x:v>
      </x:c>
      <x:c r="E383" s="22" t="str">
        <x:v>Fuente original</x:v>
      </x:c>
      <x:c r="F383" s="22" t="str"/>
    </x:row>
    <x:row r="384" ht="70" customHeight="1">
      <x:c r="A384" s="22" t="str">
        <x:v>Excel</x:v>
      </x:c>
      <x:c r="B384" s="22" t="str">
        <x:v>PRECIOS PERF TOP QUALITY!fila 154</x:v>
      </x:c>
      <x:c r="C384" s="29" t="str"/>
      <x:c r="D384" s="32" t="str">
        <x:v>A154: LÍNEA CLÁSICA O DISEÑADOR
B154: J'DORE
D154:  [fórmula: IF($C154="","",ROUND($C154*FACTOR_DIVISA,2))]
E154:  [fórmula: IF($C154="","",ROUND($C154*FACTOR_BCV,2))]</x:v>
      </x:c>
      <x:c r="E384" s="22" t="str">
        <x:v>Fuente original</x:v>
      </x:c>
      <x:c r="F384" s="22" t="str"/>
    </x:row>
    <x:row r="385" ht="70" customHeight="1">
      <x:c r="A385" s="22" t="str">
        <x:v>Excel</x:v>
      </x:c>
      <x:c r="B385" s="22" t="str">
        <x:v>PRECIOS PERF TOP QUALITY!fila 155</x:v>
      </x:c>
      <x:c r="C385" s="29" t="str"/>
      <x:c r="D385" s="32" t="str">
        <x:v>A155: LÍNEA CLÁSICA O DISEÑADOR
B155: FUNNY
D155:  [fórmula: IF($C155="","",ROUND($C155*FACTOR_DIVISA,2))]
E155:  [fórmula: IF($C155="","",ROUND($C155*FACTOR_BCV,2))]</x:v>
      </x:c>
      <x:c r="E385" s="22" t="str">
        <x:v>Fuente original</x:v>
      </x:c>
      <x:c r="F385" s="22" t="str"/>
    </x:row>
    <x:row r="386" ht="70" customHeight="1">
      <x:c r="A386" s="22" t="str">
        <x:v>Excel</x:v>
      </x:c>
      <x:c r="B386" s="22" t="str">
        <x:v>PRECIOS PERF TOP QUALITY!fila 156</x:v>
      </x:c>
      <x:c r="C386" s="29" t="str"/>
      <x:c r="D386" s="32" t="str">
        <x:v>A156: LÍNEA CLÁSICA O DISEÑADOR
B156: BOMBSHELL
D156:  [fórmula: IF($C156="","",ROUND($C156*FACTOR_DIVISA,2))]
E156:  [fórmula: IF($C156="","",ROUND($C156*FACTOR_BCV,2))]</x:v>
      </x:c>
      <x:c r="E386" s="22" t="str">
        <x:v>Fuente original</x:v>
      </x:c>
      <x:c r="F386" s="22" t="str"/>
    </x:row>
    <x:row r="387" ht="70" customHeight="1">
      <x:c r="A387" s="22" t="str">
        <x:v>Excel</x:v>
      </x:c>
      <x:c r="B387" s="22" t="str">
        <x:v>PRECIOS PERF TOP QUALITY!fila 157</x:v>
      </x:c>
      <x:c r="C387" s="29" t="str"/>
      <x:c r="D387" s="32" t="str">
        <x:v>A157: LÍNEA CLÁSICA O DISEÑADOR
B157: 360 FEM
D157:  [fórmula: IF($C157="","",ROUND($C157*FACTOR_DIVISA,2))]
E157:  [fórmula: IF($C157="","",ROUND($C157*FACTOR_BCV,2))]</x:v>
      </x:c>
      <x:c r="E387" s="22" t="str">
        <x:v>Fuente original</x:v>
      </x:c>
      <x:c r="F387" s="22" t="str"/>
    </x:row>
    <x:row r="388" ht="70" customHeight="1">
      <x:c r="A388" s="22" t="str">
        <x:v>Excel</x:v>
      </x:c>
      <x:c r="B388" s="22" t="str">
        <x:v>PRECIOS PERF TOP QUALITY!fila 158</x:v>
      </x:c>
      <x:c r="C388" s="29" t="str"/>
      <x:c r="D388" s="32" t="str">
        <x:v>A158: LÍNEA CLÁSICA O DISEÑADOR
B158: 360 CORAL
D158:  [fórmula: IF($C158="","",ROUND($C158*FACTOR_DIVISA,2))]
E158:  [fórmula: IF($C158="","",ROUND($C158*FACTOR_BCV,2))]</x:v>
      </x:c>
      <x:c r="E388" s="22" t="str">
        <x:v>Fuente original</x:v>
      </x:c>
      <x:c r="F388" s="22" t="str"/>
    </x:row>
    <x:row r="389" ht="70" customHeight="1">
      <x:c r="A389" s="22" t="str">
        <x:v>Excel</x:v>
      </x:c>
      <x:c r="B389" s="22" t="str">
        <x:v>PRECIOS PERF TOP QUALITY!fila 159</x:v>
      </x:c>
      <x:c r="C389" s="29" t="str"/>
      <x:c r="D389" s="32" t="str">
        <x:v>A159: LÍNEA CLÁSICA O DISEÑADOR
B159: 360 RED
D159:  [fórmula: IF($C159="","",ROUND($C159*FACTOR_DIVISA,2))]
E159:  [fórmula: IF($C159="","",ROUND($C159*FACTOR_BCV,2))]</x:v>
      </x:c>
      <x:c r="E389" s="22" t="str">
        <x:v>Fuente original</x:v>
      </x:c>
      <x:c r="F389" s="22" t="str"/>
    </x:row>
    <x:row r="390" ht="70" customHeight="1">
      <x:c r="A390" s="22" t="str">
        <x:v>Excel</x:v>
      </x:c>
      <x:c r="B390" s="22" t="str">
        <x:v>PRECIOS PERF TOP QUALITY!fila 160</x:v>
      </x:c>
      <x:c r="C390" s="29" t="str"/>
      <x:c r="D390" s="32" t="str">
        <x:v>A160: LÍNEA CLÁSICA O DISEÑADOR
B160: BAD BOY
D160:  [fórmula: IF($C160="","",ROUND($C160*FACTOR_DIVISA,2))]
E160:  [fórmula: IF($C160="","",ROUND($C160*FACTOR_BCV,2))]</x:v>
      </x:c>
      <x:c r="E390" s="22" t="str">
        <x:v>Fuente original</x:v>
      </x:c>
      <x:c r="F390" s="22" t="str"/>
    </x:row>
    <x:row r="391" ht="70" customHeight="1">
      <x:c r="A391" s="22" t="str">
        <x:v>Excel</x:v>
      </x:c>
      <x:c r="B391" s="22" t="str">
        <x:v>PRECIOS PERF TOP QUALITY!fila 161</x:v>
      </x:c>
      <x:c r="C391" s="29" t="str"/>
      <x:c r="D391" s="32" t="str">
        <x:v>A161: LÍNEA CLÁSICA O DISEÑADOR
B161: 212 VIP MEN
C161: 12
D161: 20.4 [fórmula: IF($C161="","",ROUND($C161*FACTOR_DIVISA,2))]
E161: 26.4 [fórmula: IF($C161="","",ROUND($C161*FACTOR_BCV,2))]</x:v>
      </x:c>
      <x:c r="E391" s="22" t="str">
        <x:v>Fuente original</x:v>
      </x:c>
      <x:c r="F391" s="22" t="str"/>
    </x:row>
    <x:row r="392" ht="70" customHeight="1">
      <x:c r="A392" s="22" t="str">
        <x:v>Excel</x:v>
      </x:c>
      <x:c r="B392" s="22" t="str">
        <x:v>PRECIOS PERF TOP QUALITY!fila 162</x:v>
      </x:c>
      <x:c r="C392" s="29" t="str"/>
      <x:c r="D392" s="32" t="str">
        <x:v>A162: LÍNEA CLÁSICA O DISEÑADOR
B162: 212 VIP BLACK
D162:  [fórmula: IF($C162="","",ROUND($C162*FACTOR_DIVISA,2))]
E162:  [fórmula: IF($C162="","",ROUND($C162*FACTOR_BCV,2))]</x:v>
      </x:c>
      <x:c r="E392" s="22" t="str">
        <x:v>Fuente original</x:v>
      </x:c>
      <x:c r="F392" s="22" t="str"/>
    </x:row>
    <x:row r="393" ht="70" customHeight="1">
      <x:c r="A393" s="22" t="str">
        <x:v>Excel</x:v>
      </x:c>
      <x:c r="B393" s="22" t="str">
        <x:v>PRECIOS PERF TOP QUALITY!fila 163</x:v>
      </x:c>
      <x:c r="C393" s="29" t="str"/>
      <x:c r="D393" s="32" t="str">
        <x:v>A163: LÍNEA CLÁSICA O DISEÑADOR
B163: 212 MEN
D163:  [fórmula: IF($C163="","",ROUND($C163*FACTOR_DIVISA,2))]
E163:  [fórmula: IF($C163="","",ROUND($C163*FACTOR_BCV,2))]</x:v>
      </x:c>
      <x:c r="E393" s="22" t="str">
        <x:v>Fuente original</x:v>
      </x:c>
      <x:c r="F393" s="22" t="str"/>
    </x:row>
    <x:row r="394" ht="70" customHeight="1">
      <x:c r="A394" s="22" t="str">
        <x:v>Excel</x:v>
      </x:c>
      <x:c r="B394" s="22" t="str">
        <x:v>PRECIOS PERF TOP QUALITY!fila 164</x:v>
      </x:c>
      <x:c r="C394" s="29" t="str"/>
      <x:c r="D394" s="32" t="str">
        <x:v>A164: LÍNEA CLÁSICA O DISEÑADOR
B164: 212 VIP BLACK RED
D164:  [fórmula: IF($C164="","",ROUND($C164*FACTOR_DIVISA,2))]
E164:  [fórmula: IF($C164="","",ROUND($C164*FACTOR_BCV,2))]</x:v>
      </x:c>
      <x:c r="E394" s="22" t="str">
        <x:v>Fuente original</x:v>
      </x:c>
      <x:c r="F394" s="22" t="str"/>
    </x:row>
    <x:row r="395" ht="70" customHeight="1">
      <x:c r="A395" s="22" t="str">
        <x:v>Excel</x:v>
      </x:c>
      <x:c r="B395" s="22" t="str">
        <x:v>PRECIOS PERF TOP QUALITY!fila 165</x:v>
      </x:c>
      <x:c r="C395" s="29" t="str"/>
      <x:c r="D395" s="32" t="str">
        <x:v>A165: LÍNEA CLÁSICA O DISEÑADOR
B165: 212 VIP WINS
D165:  [fórmula: IF($C165="","",ROUND($C165*FACTOR_DIVISA,2))]
E165:  [fórmula: IF($C165="","",ROUND($C165*FACTOR_BCV,2))]</x:v>
      </x:c>
      <x:c r="E395" s="22" t="str">
        <x:v>Fuente original</x:v>
      </x:c>
      <x:c r="F395" s="22" t="str"/>
    </x:row>
    <x:row r="396" ht="70" customHeight="1">
      <x:c r="A396" s="22" t="str">
        <x:v>Excel</x:v>
      </x:c>
      <x:c r="B396" s="22" t="str">
        <x:v>PRECIOS PERF TOP QUALITY!fila 166</x:v>
      </x:c>
      <x:c r="C396" s="29" t="str"/>
      <x:c r="D396" s="32" t="str">
        <x:v>A166: LÍNEA CLÁSICA O DISEÑADOR
B166: 212 HEROES MEN
D166:  [fórmula: IF($C166="","",ROUND($C166*FACTOR_DIVISA,2))]
E166:  [fórmula: IF($C166="","",ROUND($C166*FACTOR_BCV,2))]</x:v>
      </x:c>
      <x:c r="E396" s="22" t="str">
        <x:v>Fuente original</x:v>
      </x:c>
      <x:c r="F396" s="22" t="str"/>
    </x:row>
    <x:row r="397" ht="70" customHeight="1">
      <x:c r="A397" s="22" t="str">
        <x:v>Excel</x:v>
      </x:c>
      <x:c r="B397" s="22" t="str">
        <x:v>PRECIOS PERF TOP QUALITY!fila 167</x:v>
      </x:c>
      <x:c r="C397" s="29" t="str"/>
      <x:c r="D397" s="32" t="str">
        <x:v>A167: LÍNEA CLÁSICA O DISEÑADOR
B167: LACOSTE ROUGE
D167:  [fórmula: IF($C167="","",ROUND($C167*FACTOR_DIVISA,2))]
E167:  [fórmula: IF($C167="","",ROUND($C167*FACTOR_BCV,2))]</x:v>
      </x:c>
      <x:c r="E397" s="22" t="str">
        <x:v>Fuente original</x:v>
      </x:c>
      <x:c r="F397" s="22" t="str"/>
    </x:row>
    <x:row r="398" ht="70" customHeight="1">
      <x:c r="A398" s="22" t="str">
        <x:v>Excel</x:v>
      </x:c>
      <x:c r="B398" s="22" t="str">
        <x:v>PRECIOS PERF TOP QUALITY!fila 168</x:v>
      </x:c>
      <x:c r="C398" s="29" t="str"/>
      <x:c r="D398" s="32" t="str">
        <x:v>A168: LÍNEA CLÁSICA O DISEÑADOR
B168: LACOSTE BLANC
D168:  [fórmula: IF($C168="","",ROUND($C168*FACTOR_DIVISA,2))]
E168:  [fórmula: IF($C168="","",ROUND($C168*FACTOR_BCV,2))]</x:v>
      </x:c>
      <x:c r="E398" s="22" t="str">
        <x:v>Fuente original</x:v>
      </x:c>
      <x:c r="F398" s="22" t="str"/>
    </x:row>
    <x:row r="399" ht="70" customHeight="1">
      <x:c r="A399" s="22" t="str">
        <x:v>Excel</x:v>
      </x:c>
      <x:c r="B399" s="22" t="str">
        <x:v>PRECIOS PERF TOP QUALITY!fila 169</x:v>
      </x:c>
      <x:c r="C399" s="29" t="str"/>
      <x:c r="D399" s="32" t="str">
        <x:v>A169: LÍNEA CLÁSICA O DISEÑADOR
B169: LACOSTE NOIR
D169:  [fórmula: IF($C169="","",ROUND($C169*FACTOR_DIVISA,2))]
E169:  [fórmula: IF($C169="","",ROUND($C169*FACTOR_BCV,2))]</x:v>
      </x:c>
      <x:c r="E399" s="22" t="str">
        <x:v>Fuente original</x:v>
      </x:c>
      <x:c r="F399" s="22" t="str"/>
    </x:row>
    <x:row r="400" ht="70" customHeight="1">
      <x:c r="A400" s="22" t="str">
        <x:v>Excel</x:v>
      </x:c>
      <x:c r="B400" s="22" t="str">
        <x:v>PRECIOS PERF TOP QUALITY!fila 170</x:v>
      </x:c>
      <x:c r="C400" s="29" t="str"/>
      <x:c r="D400" s="32" t="str">
        <x:v>A170: LÍNEA CLÁSICA O DISEÑADOR
B170: LACOSTE ESSENCIAL
D170:  [fórmula: IF($C170="","",ROUND($C170*FACTOR_DIVISA,2))]
E170:  [fórmula: IF($C170="","",ROUND($C170*FACTOR_BCV,2))]</x:v>
      </x:c>
      <x:c r="E400" s="22" t="str">
        <x:v>Fuente original</x:v>
      </x:c>
      <x:c r="F400" s="22" t="str"/>
    </x:row>
    <x:row r="401" ht="70" customHeight="1">
      <x:c r="A401" s="22" t="str">
        <x:v>Excel</x:v>
      </x:c>
      <x:c r="B401" s="22" t="str">
        <x:v>PRECIOS PERF TOP QUALITY!fila 171</x:v>
      </x:c>
      <x:c r="C401" s="29" t="str"/>
      <x:c r="D401" s="32" t="str">
        <x:v>A171: LÍNEA CLÁSICA O DISEÑADOR
B171: LEGEND SPIRIT
D171:  [fórmula: IF($C171="","",ROUND($C171*FACTOR_DIVISA,2))]
E171:  [fórmula: IF($C171="","",ROUND($C171*FACTOR_BCV,2))]</x:v>
      </x:c>
      <x:c r="E401" s="22" t="str">
        <x:v>Fuente original</x:v>
      </x:c>
      <x:c r="F401" s="22" t="str"/>
    </x:row>
    <x:row r="402" ht="70" customHeight="1">
      <x:c r="A402" s="22" t="str">
        <x:v>Excel</x:v>
      </x:c>
      <x:c r="B402" s="22" t="str">
        <x:v>PRECIOS PERF TOP QUALITY!fila 172</x:v>
      </x:c>
      <x:c r="C402" s="29" t="str"/>
      <x:c r="D402" s="32" t="str">
        <x:v>A172: LÍNEA CLÁSICA O DISEÑADOR
B172: LEGEND
D172:  [fórmula: IF($C172="","",ROUND($C172*FACTOR_DIVISA,2))]
E172:  [fórmula: IF($C172="","",ROUND($C172*FACTOR_BCV,2))]</x:v>
      </x:c>
      <x:c r="E402" s="22" t="str">
        <x:v>Fuente original</x:v>
      </x:c>
      <x:c r="F402" s="22" t="str"/>
    </x:row>
    <x:row r="403" ht="70" customHeight="1">
      <x:c r="A403" s="22" t="str">
        <x:v>Excel</x:v>
      </x:c>
      <x:c r="B403" s="22" t="str">
        <x:v>PRECIOS PERF TOP QUALITY!fila 173</x:v>
      </x:c>
      <x:c r="C403" s="29" t="str"/>
      <x:c r="D403" s="32" t="str">
        <x:v>A173: LÍNEA CLÁSICA O DISEÑADOR
B173: EMBLEM
D173:  [fórmula: IF($C173="","",ROUND($C173*FACTOR_DIVISA,2))]
E173:  [fórmula: IF($C173="","",ROUND($C173*FACTOR_BCV,2))]</x:v>
      </x:c>
      <x:c r="E403" s="22" t="str">
        <x:v>Fuente original</x:v>
      </x:c>
      <x:c r="F403" s="22" t="str"/>
    </x:row>
    <x:row r="404" ht="70" customHeight="1">
      <x:c r="A404" s="22" t="str">
        <x:v>Excel</x:v>
      </x:c>
      <x:c r="B404" s="22" t="str">
        <x:v>PRECIOS PERF TOP QUALITY!fila 174</x:v>
      </x:c>
      <x:c r="C404" s="29" t="str"/>
      <x:c r="D404" s="32" t="str">
        <x:v>A174: LÍNEA CLÁSICA O DISEÑADOR
B174: STARWALKER
D174:  [fórmula: IF($C174="","",ROUND($C174*FACTOR_DIVISA,2))]
E174:  [fórmula: IF($C174="","",ROUND($C174*FACTOR_BCV,2))]</x:v>
      </x:c>
      <x:c r="E404" s="22" t="str">
        <x:v>Fuente original</x:v>
      </x:c>
      <x:c r="F404" s="22" t="str"/>
    </x:row>
    <x:row r="405" ht="70" customHeight="1">
      <x:c r="A405" s="22" t="str">
        <x:v>Excel</x:v>
      </x:c>
      <x:c r="B405" s="22" t="str">
        <x:v>PRECIOS PERF TOP QUALITY!fila 175</x:v>
      </x:c>
      <x:c r="C405" s="29" t="str"/>
      <x:c r="D405" s="32" t="str">
        <x:v>A175: LÍNEA CLÁSICA O DISEÑADOR
B175: EROS MEN
D175:  [fórmula: IF($C175="","",ROUND($C175*FACTOR_DIVISA,2))]
E175:  [fórmula: IF($C175="","",ROUND($C175*FACTOR_BCV,2))]</x:v>
      </x:c>
      <x:c r="E405" s="22" t="str">
        <x:v>Fuente original</x:v>
      </x:c>
      <x:c r="F405" s="22" t="str"/>
    </x:row>
    <x:row r="406" ht="70" customHeight="1">
      <x:c r="A406" s="22" t="str">
        <x:v>Excel</x:v>
      </x:c>
      <x:c r="B406" s="22" t="str">
        <x:v>PRECIOS PERF TOP QUALITY!fila 176</x:v>
      </x:c>
      <x:c r="C406" s="29" t="str"/>
      <x:c r="D406" s="32" t="str">
        <x:v>A176: LÍNEA CLÁSICA O DISEÑADOR
B176: EROS FLAME
C176: 12
D176: 20.4 [fórmula: IF($C176="","",ROUND($C176*FACTOR_DIVISA,2))]
E176: 26.4 [fórmula: IF($C176="","",ROUND($C176*FACTOR_BCV,2))]</x:v>
      </x:c>
      <x:c r="E406" s="22" t="str">
        <x:v>Fuente original</x:v>
      </x:c>
      <x:c r="F406" s="22" t="str"/>
    </x:row>
    <x:row r="407" ht="70" customHeight="1">
      <x:c r="A407" s="22" t="str">
        <x:v>Excel</x:v>
      </x:c>
      <x:c r="B407" s="22" t="str">
        <x:v>PRECIOS PERF TOP QUALITY!fila 177</x:v>
      </x:c>
      <x:c r="C407" s="29" t="str"/>
      <x:c r="D407" s="32" t="str">
        <x:v>A177: LÍNEA CLÁSICA O DISEÑADOR
B177: EROS ENERGY
D177:  [fórmula: IF($C177="","",ROUND($C177*FACTOR_DIVISA,2))]
E177:  [fórmula: IF($C177="","",ROUND($C177*FACTOR_BCV,2))]</x:v>
      </x:c>
      <x:c r="E407" s="22" t="str">
        <x:v>Fuente original</x:v>
      </x:c>
      <x:c r="F407" s="22" t="str"/>
    </x:row>
    <x:row r="408" ht="70" customHeight="1">
      <x:c r="A408" s="22" t="str">
        <x:v>Excel</x:v>
      </x:c>
      <x:c r="B408" s="22" t="str">
        <x:v>PRECIOS PERF TOP QUALITY!fila 178</x:v>
      </x:c>
      <x:c r="C408" s="29" t="str"/>
      <x:c r="D408" s="32" t="str">
        <x:v>A178: LÍNEA CLÁSICA O DISEÑADOR
B178: EAU FRINCHE
D178:  [fórmula: IF($C178="","",ROUND($C178*FACTOR_DIVISA,2))]
E178:  [fórmula: IF($C178="","",ROUND($C178*FACTOR_BCV,2))]</x:v>
      </x:c>
      <x:c r="E408" s="22" t="str">
        <x:v>Fuente original</x:v>
      </x:c>
      <x:c r="F408" s="22" t="str"/>
    </x:row>
    <x:row r="409" ht="70" customHeight="1">
      <x:c r="A409" s="22" t="str">
        <x:v>Excel</x:v>
      </x:c>
      <x:c r="B409" s="22" t="str">
        <x:v>PRECIOS PERF TOP QUALITY!fila 179</x:v>
      </x:c>
      <x:c r="C409" s="29" t="str"/>
      <x:c r="D409" s="32" t="str">
        <x:v>A179: LÍNEA CLÁSICA O DISEÑADOR
B179: ACQUA DI GIO
C179: 12
D179: 20.4 [fórmula: IF($C179="","",ROUND($C179*FACTOR_DIVISA,2))]
E179: 26.4 [fórmula: IF($C179="","",ROUND($C179*FACTOR_BCV,2))]</x:v>
      </x:c>
      <x:c r="E409" s="22" t="str">
        <x:v>Fuente original</x:v>
      </x:c>
      <x:c r="F409" s="22" t="str"/>
    </x:row>
    <x:row r="410" ht="70" customHeight="1">
      <x:c r="A410" s="22" t="str">
        <x:v>Excel</x:v>
      </x:c>
      <x:c r="B410" s="22" t="str">
        <x:v>PRECIOS PERF TOP QUALITY!fila 180</x:v>
      </x:c>
      <x:c r="C410" s="29" t="str"/>
      <x:c r="D410" s="32" t="str">
        <x:v>A180: LÍNEA CLÁSICA O DISEÑADOR
B180: AQUA DI GIO PROFUM
D180:  [fórmula: IF($C180="","",ROUND($C180*FACTOR_DIVISA,2))]
E180:  [fórmula: IF($C180="","",ROUND($C180*FACTOR_BCV,2))]</x:v>
      </x:c>
      <x:c r="E410" s="22" t="str">
        <x:v>Fuente original</x:v>
      </x:c>
      <x:c r="F410" s="22" t="str"/>
    </x:row>
    <x:row r="411" ht="70" customHeight="1">
      <x:c r="A411" s="22" t="str">
        <x:v>Excel</x:v>
      </x:c>
      <x:c r="B411" s="22" t="str">
        <x:v>PRECIOS PERF TOP QUALITY!fila 181</x:v>
      </x:c>
      <x:c r="C411" s="29" t="str"/>
      <x:c r="D411" s="32" t="str">
        <x:v>A181: LÍNEA CLÁSICA O DISEÑADOR
B181: POLO BLUE
C181: 18
D181: 30.6 [fórmula: IF($C181="","",ROUND($C181*FACTOR_DIVISA,2))]
E181: 39.6 [fórmula: IF($C181="","",ROUND($C181*FACTOR_BCV,2))]</x:v>
      </x:c>
      <x:c r="E411" s="22" t="str">
        <x:v>Fuente original</x:v>
      </x:c>
      <x:c r="F411" s="22" t="str"/>
    </x:row>
    <x:row r="412" ht="70" customHeight="1">
      <x:c r="A412" s="22" t="str">
        <x:v>Excel</x:v>
      </x:c>
      <x:c r="B412" s="22" t="str">
        <x:v>PRECIOS PERF TOP QUALITY!fila 182</x:v>
      </x:c>
      <x:c r="C412" s="29" t="str"/>
      <x:c r="D412" s="32" t="str">
        <x:v>A182: LÍNEA CLÁSICA O DISEÑADOR
B182: POLO RED
D182:  [fórmula: IF($C182="","",ROUND($C182*FACTOR_DIVISA,2))]
E182:  [fórmula: IF($C182="","",ROUND($C182*FACTOR_BCV,2))]</x:v>
      </x:c>
      <x:c r="E412" s="22" t="str">
        <x:v>Fuente original</x:v>
      </x:c>
      <x:c r="F412" s="22" t="str"/>
    </x:row>
    <x:row r="413" ht="70" customHeight="1">
      <x:c r="A413" s="22" t="str">
        <x:v>Excel</x:v>
      </x:c>
      <x:c r="B413" s="22" t="str">
        <x:v>PRECIOS PERF TOP QUALITY!fila 183</x:v>
      </x:c>
      <x:c r="C413" s="29" t="str"/>
      <x:c r="D413" s="32" t="str">
        <x:v>A183: LÍNEA CLÁSICA O DISEÑADOR
B183: VALENTINO UOMO
D183:  [fórmula: IF($C183="","",ROUND($C183*FACTOR_DIVISA,2))]
E183:  [fórmula: IF($C183="","",ROUND($C183*FACTOR_BCV,2))]</x:v>
      </x:c>
      <x:c r="E413" s="22" t="str">
        <x:v>Fuente original</x:v>
      </x:c>
      <x:c r="F413" s="22" t="str"/>
    </x:row>
    <x:row r="414" ht="70" customHeight="1">
      <x:c r="A414" s="22" t="str">
        <x:v>Excel</x:v>
      </x:c>
      <x:c r="B414" s="22" t="str">
        <x:v>PRECIOS PERF TOP QUALITY!fila 184</x:v>
      </x:c>
      <x:c r="C414" s="29" t="str"/>
      <x:c r="D414" s="32" t="str">
        <x:v>A184: LÍNEA CLÁSICA O DISEÑADOR
B184: TOMMY MEN
C184: 12
D184: 20.4 [fórmula: IF($C184="","",ROUND($C184*FACTOR_DIVISA,2))]
E184: 26.4 [fórmula: IF($C184="","",ROUND($C184*FACTOR_BCV,2))]</x:v>
      </x:c>
      <x:c r="E414" s="22" t="str">
        <x:v>Fuente original</x:v>
      </x:c>
      <x:c r="F414" s="22" t="str"/>
    </x:row>
    <x:row r="415" ht="70" customHeight="1">
      <x:c r="A415" s="22" t="str">
        <x:v>Excel</x:v>
      </x:c>
      <x:c r="B415" s="22" t="str">
        <x:v>PRECIOS PERF TOP QUALITY!fila 185</x:v>
      </x:c>
      <x:c r="C415" s="29" t="str"/>
      <x:c r="D415" s="32" t="str">
        <x:v>A185: LÍNEA CLÁSICA O DISEÑADOR
B185: ISSEY MIYAKE
D185:  [fórmula: IF($C185="","",ROUND($C185*FACTOR_DIVISA,2))]
E185:  [fórmula: IF($C185="","",ROUND($C185*FACTOR_BCV,2))]</x:v>
      </x:c>
      <x:c r="E415" s="22" t="str">
        <x:v>Fuente original</x:v>
      </x:c>
      <x:c r="F415" s="22" t="str"/>
    </x:row>
    <x:row r="416" ht="70" customHeight="1">
      <x:c r="A416" s="22" t="str">
        <x:v>Excel</x:v>
      </x:c>
      <x:c r="B416" s="22" t="str">
        <x:v>PRECIOS PERF TOP QUALITY!fila 186</x:v>
      </x:c>
      <x:c r="C416" s="29" t="str"/>
      <x:c r="D416" s="32" t="str">
        <x:v>A186: LÍNEA CLÁSICA O DISEÑADOR
B186: SWISS ARMY
D186:  [fórmula: IF($C186="","",ROUND($C186*FACTOR_DIVISA,2))]
E186:  [fórmula: IF($C186="","",ROUND($C186*FACTOR_BCV,2))]</x:v>
      </x:c>
      <x:c r="E416" s="22" t="str">
        <x:v>Fuente original</x:v>
      </x:c>
      <x:c r="F416" s="22" t="str"/>
    </x:row>
    <x:row r="417" ht="70" customHeight="1">
      <x:c r="A417" s="22" t="str">
        <x:v>Excel</x:v>
      </x:c>
      <x:c r="B417" s="22" t="str">
        <x:v>PRECIOS PERF TOP QUALITY!fila 187</x:v>
      </x:c>
      <x:c r="C417" s="29" t="str"/>
      <x:c r="D417" s="32" t="str">
        <x:v>A187: LÍNEA CLÁSICA O DISEÑADOR
B187: SCANDAL MEN
D187:  [fórmula: IF($C187="","",ROUND($C187*FACTOR_DIVISA,2))]
E187:  [fórmula: IF($C187="","",ROUND($C187*FACTOR_BCV,2))]</x:v>
      </x:c>
      <x:c r="E417" s="22" t="str">
        <x:v>Fuente original</x:v>
      </x:c>
      <x:c r="F417" s="22" t="str"/>
    </x:row>
    <x:row r="418" ht="70" customHeight="1">
      <x:c r="A418" s="22" t="str">
        <x:v>Excel</x:v>
      </x:c>
      <x:c r="B418" s="22" t="str">
        <x:v>PRECIOS PERF TOP QUALITY!fila 188</x:v>
      </x:c>
      <x:c r="C418" s="29" t="str"/>
      <x:c r="D418" s="32" t="str">
        <x:v>A188: LÍNEA CLÁSICA O DISEÑADOR
B188: K DOLCE GABANNA
D188:  [fórmula: IF($C188="","",ROUND($C188*FACTOR_DIVISA,2))]
E188:  [fórmula: IF($C188="","",ROUND($C188*FACTOR_BCV,2))]</x:v>
      </x:c>
      <x:c r="E418" s="22" t="str">
        <x:v>Fuente original</x:v>
      </x:c>
      <x:c r="F418" s="22" t="str"/>
    </x:row>
    <x:row r="419" ht="70" customHeight="1">
      <x:c r="A419" s="22" t="str">
        <x:v>Excel</x:v>
      </x:c>
      <x:c r="B419" s="22" t="str">
        <x:v>PRECIOS PERF TOP QUALITY!fila 189</x:v>
      </x:c>
      <x:c r="C419" s="29" t="str"/>
      <x:c r="D419" s="32" t="str">
        <x:v>A189: LÍNEA CLÁSICA O DISEÑADOR
B189: LIGHT BLUE MEN
D189:  [fórmula: IF($C189="","",ROUND($C189*FACTOR_DIVISA,2))]
E189:  [fórmula: IF($C189="","",ROUND($C189*FACTOR_BCV,2))]</x:v>
      </x:c>
      <x:c r="E419" s="22" t="str">
        <x:v>Fuente original</x:v>
      </x:c>
      <x:c r="F419" s="22" t="str"/>
    </x:row>
    <x:row r="420" ht="70" customHeight="1">
      <x:c r="A420" s="22" t="str">
        <x:v>Excel</x:v>
      </x:c>
      <x:c r="B420" s="22" t="str">
        <x:v>PRECIOS PERF TOP QUALITY!fila 190</x:v>
      </x:c>
      <x:c r="C420" s="29" t="str"/>
      <x:c r="D420" s="32" t="str">
        <x:v>A190: LÍNEA CLÁSICA O DISEÑADOR
B190: UNLIMITED
D190:  [fórmula: IF($C190="","",ROUND($C190*FACTOR_DIVISA,2))]
E190:  [fórmula: IF($C190="","",ROUND($C190*FACTOR_BCV,2))]</x:v>
      </x:c>
      <x:c r="E420" s="22" t="str">
        <x:v>Fuente original</x:v>
      </x:c>
      <x:c r="F420" s="22" t="str"/>
    </x:row>
    <x:row r="421" ht="70" customHeight="1">
      <x:c r="A421" s="22" t="str">
        <x:v>Excel</x:v>
      </x:c>
      <x:c r="B421" s="22" t="str">
        <x:v>PRECIOS PERF TOP QUALITY!fila 191</x:v>
      </x:c>
      <x:c r="C421" s="29" t="str"/>
      <x:c r="D421" s="32" t="str">
        <x:v>A191: LÍNEA CLÁSICA O DISEÑADOR
B191: JUSTDIFERENT
D191:  [fórmula: IF($C191="","",ROUND($C191*FACTOR_DIVISA,2))]
E191:  [fórmula: IF($C191="","",ROUND($C191*FACTOR_BCV,2))]</x:v>
      </x:c>
      <x:c r="E421" s="22" t="str">
        <x:v>Fuente original</x:v>
      </x:c>
      <x:c r="F421" s="22" t="str"/>
    </x:row>
    <x:row r="422" ht="70" customHeight="1">
      <x:c r="A422" s="22" t="str">
        <x:v>Excel</x:v>
      </x:c>
      <x:c r="B422" s="22" t="str">
        <x:v>PRECIOS PERF TOP QUALITY!fila 192</x:v>
      </x:c>
      <x:c r="C422" s="29" t="str"/>
      <x:c r="D422" s="32" t="str">
        <x:v>A192: LÍNEA CLÁSICA O DISEÑADOR
B192: FERRARI BLACK
D192:  [fórmula: IF($C192="","",ROUND($C192*FACTOR_DIVISA,2))]
E192:  [fórmula: IF($C192="","",ROUND($C192*FACTOR_BCV,2))]</x:v>
      </x:c>
      <x:c r="E422" s="22" t="str">
        <x:v>Fuente original</x:v>
      </x:c>
      <x:c r="F422" s="22" t="str"/>
    </x:row>
    <x:row r="423" ht="70" customHeight="1">
      <x:c r="A423" s="22" t="str">
        <x:v>Excel</x:v>
      </x:c>
      <x:c r="B423" s="22" t="str">
        <x:v>PRECIOS PERF TOP QUALITY!fila 193</x:v>
      </x:c>
      <x:c r="C423" s="29" t="str"/>
      <x:c r="D423" s="32" t="str">
        <x:v>A193: LÍNEA CLÁSICA O DISEÑADOR
B193: BLACK SEDUCTION
D193:  [fórmula: IF($C193="","",ROUND($C193*FACTOR_DIVISA,2))]
E193:  [fórmula: IF($C193="","",ROUND($C193*FACTOR_BCV,2))]</x:v>
      </x:c>
      <x:c r="E423" s="22" t="str">
        <x:v>Fuente original</x:v>
      </x:c>
      <x:c r="F423" s="22" t="str"/>
    </x:row>
    <x:row r="424" ht="70" customHeight="1">
      <x:c r="A424" s="22" t="str">
        <x:v>Excel</x:v>
      </x:c>
      <x:c r="B424" s="22" t="str">
        <x:v>PRECIOS PERF TOP QUALITY!fila 194</x:v>
      </x:c>
      <x:c r="C424" s="29" t="str"/>
      <x:c r="D424" s="32" t="str">
        <x:v>A194: LÍNEA CLÁSICA O DISEÑADOR
B194: LYTON
D194:  [fórmula: IF($C194="","",ROUND($C194*FACTOR_DIVISA,2))]
E194:  [fórmula: IF($C194="","",ROUND($C194*FACTOR_BCV,2))]</x:v>
      </x:c>
      <x:c r="E424" s="22" t="str">
        <x:v>Fuente original</x:v>
      </x:c>
      <x:c r="F424" s="22" t="str"/>
    </x:row>
    <x:row r="425" ht="70" customHeight="1">
      <x:c r="A425" s="22" t="str">
        <x:v>Excel</x:v>
      </x:c>
      <x:c r="B425" s="22" t="str">
        <x:v>PRECIOS PERF TOP QUALITY!fila 195</x:v>
      </x:c>
      <x:c r="C425" s="29" t="str"/>
      <x:c r="D425" s="32" t="str">
        <x:v>A195: LÍNEA CLÁSICA O DISEÑADOR
B195: AZZARO WANTED
D195:  [fórmula: IF($C195="","",ROUND($C195*FACTOR_DIVISA,2))]
E195:  [fórmula: IF($C195="","",ROUND($C195*FACTOR_BCV,2))]</x:v>
      </x:c>
      <x:c r="E425" s="22" t="str">
        <x:v>Fuente original</x:v>
      </x:c>
      <x:c r="F425" s="22" t="str"/>
    </x:row>
    <x:row r="426" ht="70" customHeight="1">
      <x:c r="A426" s="22" t="str">
        <x:v>Excel</x:v>
      </x:c>
      <x:c r="B426" s="22" t="str">
        <x:v>PRECIOS PERF TOP QUALITY!fila 196</x:v>
      </x:c>
      <x:c r="C426" s="29" t="str"/>
      <x:c r="D426" s="32" t="str">
        <x:v>A196: LÍNEA CLÁSICA O DISEÑADOR
B196: HAPPY CLINIQUE MEN
D196:  [fórmula: IF($C196="","",ROUND($C196*FACTOR_DIVISA,2))]
E196:  [fórmula: IF($C196="","",ROUND($C196*FACTOR_BCV,2))]</x:v>
      </x:c>
      <x:c r="E426" s="22" t="str">
        <x:v>Fuente original</x:v>
      </x:c>
      <x:c r="F426" s="22" t="str"/>
    </x:row>
    <x:row r="427" ht="70" customHeight="1">
      <x:c r="A427" s="22" t="str">
        <x:v>Excel</x:v>
      </x:c>
      <x:c r="B427" s="22" t="str">
        <x:v>PRECIOS PERF TOP QUALITY!fila 197</x:v>
      </x:c>
      <x:c r="C427" s="29" t="str"/>
      <x:c r="D427" s="32" t="str">
        <x:v>A197: LÍNEA CLÁSICA O DISEÑADOR
B197: BLEU CHANEL
D197:  [fórmula: IF($C197="","",ROUND($C197*FACTOR_DIVISA,2))]
E197:  [fórmula: IF($C197="","",ROUND($C197*FACTOR_BCV,2))]</x:v>
      </x:c>
      <x:c r="E427" s="22" t="str">
        <x:v>Fuente original</x:v>
      </x:c>
      <x:c r="F427" s="22" t="str"/>
    </x:row>
    <x:row r="428" ht="70" customHeight="1">
      <x:c r="A428" s="22" t="str">
        <x:v>Excel</x:v>
      </x:c>
      <x:c r="B428" s="22" t="str">
        <x:v>PRECIOS PERF TOP QUALITY!fila 198</x:v>
      </x:c>
      <x:c r="C428" s="29" t="str"/>
      <x:c r="D428" s="32" t="str">
        <x:v>A198: LÍNEA CLÁSICA O DISEÑADOR
B198: CREED AVENTUS
D198:  [fórmula: IF($C198="","",ROUND($C198*FACTOR_DIVISA,2))]
E198:  [fórmula: IF($C198="","",ROUND($C198*FACTOR_BCV,2))]</x:v>
      </x:c>
      <x:c r="E428" s="22" t="str">
        <x:v>Fuente original</x:v>
      </x:c>
      <x:c r="F428" s="22" t="str"/>
    </x:row>
    <x:row r="429" ht="70" customHeight="1">
      <x:c r="A429" s="22" t="str">
        <x:v>Excel</x:v>
      </x:c>
      <x:c r="B429" s="22" t="str">
        <x:v>PRECIOS PERF TOP QUALITY!fila 199</x:v>
      </x:c>
      <x:c r="C429" s="29" t="str"/>
      <x:c r="D429" s="32" t="str">
        <x:v>A199: LÍNEA CLÁSICA O DISEÑADOR
B199: CREED SILVER MOUNTAIN
D199:  [fórmula: IF($C199="","",ROUND($C199*FACTOR_DIVISA,2))]
E199:  [fórmula: IF($C199="","",ROUND($C199*FACTOR_BCV,2))]</x:v>
      </x:c>
      <x:c r="E429" s="22" t="str">
        <x:v>Fuente original</x:v>
      </x:c>
      <x:c r="F429" s="22" t="str"/>
    </x:row>
    <x:row r="430" ht="70" customHeight="1">
      <x:c r="A430" s="22" t="str">
        <x:v>Excel</x:v>
      </x:c>
      <x:c r="B430" s="22" t="str">
        <x:v>PRECIOS PERF TOP QUALITY!fila 200</x:v>
      </x:c>
      <x:c r="C430" s="29" t="str"/>
      <x:c r="D430" s="32" t="str">
        <x:v>A200: LÍNEA CLÁSICA O DISEÑADOR
B200: INVICTUS
D200:  [fórmula: IF($C200="","",ROUND($C200*FACTOR_DIVISA,2))]
E200:  [fórmula: IF($C200="","",ROUND($C200*FACTOR_BCV,2))]</x:v>
      </x:c>
      <x:c r="E430" s="22" t="str">
        <x:v>Fuente original</x:v>
      </x:c>
      <x:c r="F430" s="22" t="str"/>
    </x:row>
    <x:row r="431" ht="70" customHeight="1">
      <x:c r="A431" s="22" t="str">
        <x:v>Excel</x:v>
      </x:c>
      <x:c r="B431" s="22" t="str">
        <x:v>PRECIOS PERF TOP QUALITY!fila 201</x:v>
      </x:c>
      <x:c r="C431" s="29" t="str"/>
      <x:c r="D431" s="32" t="str">
        <x:v>A201: LÍNEA CLÁSICA O DISEÑADOR
B201: INVICTUS PARFUM
D201:  [fórmula: IF($C201="","",ROUND($C201*FACTOR_DIVISA,2))]
E201:  [fórmula: IF($C201="","",ROUND($C201*FACTOR_BCV,2))]</x:v>
      </x:c>
      <x:c r="E431" s="22" t="str">
        <x:v>Fuente original</x:v>
      </x:c>
      <x:c r="F431" s="22" t="str"/>
    </x:row>
    <x:row r="432" ht="70" customHeight="1">
      <x:c r="A432" s="22" t="str">
        <x:v>Excel</x:v>
      </x:c>
      <x:c r="B432" s="22" t="str">
        <x:v>PRECIOS PERF TOP QUALITY!fila 202</x:v>
      </x:c>
      <x:c r="C432" s="29" t="str"/>
      <x:c r="D432" s="32" t="str">
        <x:v>A202: LÍNEA CLÁSICA O DISEÑADOR
B202: INVICTUS LEGEND
D202:  [fórmula: IF($C202="","",ROUND($C202*FACTOR_DIVISA,2))]
E202:  [fórmula: IF($C202="","",ROUND($C202*FACTOR_BCV,2))]</x:v>
      </x:c>
      <x:c r="E432" s="22" t="str">
        <x:v>Fuente original</x:v>
      </x:c>
      <x:c r="F432" s="22" t="str"/>
    </x:row>
    <x:row r="433" ht="70" customHeight="1">
      <x:c r="A433" s="22" t="str">
        <x:v>Excel</x:v>
      </x:c>
      <x:c r="B433" s="22" t="str">
        <x:v>PRECIOS PERF TOP QUALITY!fila 203</x:v>
      </x:c>
      <x:c r="C433" s="29" t="str"/>
      <x:c r="D433" s="32" t="str">
        <x:v>A203: LÍNEA CLÁSICA O DISEÑADOR
B203: INVICTUS VICTORY
D203:  [fórmula: IF($C203="","",ROUND($C203*FACTOR_DIVISA,2))]
E203:  [fórmula: IF($C203="","",ROUND($C203*FACTOR_BCV,2))]</x:v>
      </x:c>
      <x:c r="E433" s="22" t="str">
        <x:v>Fuente original</x:v>
      </x:c>
      <x:c r="F433" s="22" t="str"/>
    </x:row>
    <x:row r="434" ht="70" customHeight="1">
      <x:c r="A434" s="22" t="str">
        <x:v>Excel</x:v>
      </x:c>
      <x:c r="B434" s="22" t="str">
        <x:v>PRECIOS PERF TOP QUALITY!fila 204</x:v>
      </x:c>
      <x:c r="C434" s="29" t="str"/>
      <x:c r="D434" s="32" t="str">
        <x:v>A204: LÍNEA CLÁSICA O DISEÑADOR
B204: INVICTUS ONIX
D204:  [fórmula: IF($C204="","",ROUND($C204*FACTOR_DIVISA,2))]
E204:  [fórmula: IF($C204="","",ROUND($C204*FACTOR_BCV,2))]</x:v>
      </x:c>
      <x:c r="E434" s="22" t="str">
        <x:v>Fuente original</x:v>
      </x:c>
      <x:c r="F434" s="22" t="str"/>
    </x:row>
    <x:row r="435" ht="70" customHeight="1">
      <x:c r="A435" s="22" t="str">
        <x:v>Excel</x:v>
      </x:c>
      <x:c r="B435" s="22" t="str">
        <x:v>PRECIOS PERF TOP QUALITY!fila 205</x:v>
      </x:c>
      <x:c r="C435" s="29" t="str"/>
      <x:c r="D435" s="32" t="str">
        <x:v>A205: LÍNEA CLÁSICA O DISEÑADOR
B205: ONE MILLION ELIXIR
D205:  [fórmula: IF($C205="","",ROUND($C205*FACTOR_DIVISA,2))]
E205:  [fórmula: IF($C205="","",ROUND($C205*FACTOR_BCV,2))]</x:v>
      </x:c>
      <x:c r="E435" s="22" t="str">
        <x:v>Fuente original</x:v>
      </x:c>
      <x:c r="F435" s="22" t="str"/>
    </x:row>
    <x:row r="436" ht="70" customHeight="1">
      <x:c r="A436" s="22" t="str">
        <x:v>Excel</x:v>
      </x:c>
      <x:c r="B436" s="22" t="str">
        <x:v>PRECIOS PERF TOP QUALITY!fila 206</x:v>
      </x:c>
      <x:c r="C436" s="29" t="str"/>
      <x:c r="D436" s="32" t="str">
        <x:v>A206: LÍNEA CLÁSICA O DISEÑADOR
B206: ONE MILLION PRIVE
D206:  [fórmula: IF($C206="","",ROUND($C206*FACTOR_DIVISA,2))]
E206:  [fórmula: IF($C206="","",ROUND($C206*FACTOR_BCV,2))]</x:v>
      </x:c>
      <x:c r="E436" s="22" t="str">
        <x:v>Fuente original</x:v>
      </x:c>
      <x:c r="F436" s="22" t="str"/>
    </x:row>
    <x:row r="437" ht="70" customHeight="1">
      <x:c r="A437" s="22" t="str">
        <x:v>Excel</x:v>
      </x:c>
      <x:c r="B437" s="22" t="str">
        <x:v>PRECIOS PERF TOP QUALITY!fila 207</x:v>
      </x:c>
      <x:c r="C437" s="29" t="str"/>
      <x:c r="D437" s="32" t="str">
        <x:v>A207: LÍNEA CLÁSICA O DISEÑADOR
B207: ONE MILLION LUCKY
D207:  [fórmula: IF($C207="","",ROUND($C207*FACTOR_DIVISA,2))]
E207:  [fórmula: IF($C207="","",ROUND($C207*FACTOR_BCV,2))]</x:v>
      </x:c>
      <x:c r="E437" s="22" t="str">
        <x:v>Fuente original</x:v>
      </x:c>
      <x:c r="F437" s="22" t="str"/>
    </x:row>
    <x:row r="438" ht="70" customHeight="1">
      <x:c r="A438" s="22" t="str">
        <x:v>Excel</x:v>
      </x:c>
      <x:c r="B438" s="22" t="str">
        <x:v>PRECIOS PERF TOP QUALITY!fila 208</x:v>
      </x:c>
      <x:c r="C438" s="29" t="str"/>
      <x:c r="D438" s="32" t="str">
        <x:v>A208: LÍNEA CLÁSICA O DISEÑADOR
B208: PHANTOM
D208:  [fórmula: IF($C208="","",ROUND($C208*FACTOR_DIVISA,2))]
E208:  [fórmula: IF($C208="","",ROUND($C208*FACTOR_BCV,2))]</x:v>
      </x:c>
      <x:c r="E438" s="22" t="str">
        <x:v>Fuente original</x:v>
      </x:c>
      <x:c r="F438" s="22" t="str"/>
    </x:row>
    <x:row r="439" ht="70" customHeight="1">
      <x:c r="A439" s="22" t="str">
        <x:v>Excel</x:v>
      </x:c>
      <x:c r="B439" s="22" t="str">
        <x:v>PRECIOS PERF TOP QUALITY!fila 209</x:v>
      </x:c>
      <x:c r="C439" s="29" t="str"/>
      <x:c r="D439" s="32" t="str">
        <x:v>A209: LÍNEA CLÁSICA O DISEÑADOR
B209: BLACK XS L'CESS
D209:  [fórmula: IF($C209="","",ROUND($C209*FACTOR_DIVISA,2))]
E209:  [fórmula: IF($C209="","",ROUND($C209*FACTOR_BCV,2))]</x:v>
      </x:c>
      <x:c r="E439" s="22" t="str">
        <x:v>Fuente original</x:v>
      </x:c>
      <x:c r="F439" s="22" t="str"/>
    </x:row>
    <x:row r="440" ht="70" customHeight="1">
      <x:c r="A440" s="22" t="str">
        <x:v>Excel</x:v>
      </x:c>
      <x:c r="B440" s="22" t="str">
        <x:v>PRECIOS PERF TOP QUALITY!fila 210</x:v>
      </x:c>
      <x:c r="C440" s="29" t="str"/>
      <x:c r="D440" s="32" t="str">
        <x:v>A210: LÍNEA CLÁSICA O DISEÑADOR
B210: BLACK XS
D210:  [fórmula: IF($C210="","",ROUND($C210*FACTOR_DIVISA,2))]
E210:  [fórmula: IF($C210="","",ROUND($C210*FACTOR_BCV,2))]</x:v>
      </x:c>
      <x:c r="E440" s="22" t="str">
        <x:v>Fuente original</x:v>
      </x:c>
      <x:c r="F440" s="22" t="str"/>
    </x:row>
    <x:row r="441" ht="70" customHeight="1">
      <x:c r="A441" s="22" t="str">
        <x:v>Excel</x:v>
      </x:c>
      <x:c r="B441" s="22" t="str">
        <x:v>PRECIOS PERF TOP QUALITY!fila 211</x:v>
      </x:c>
      <x:c r="C441" s="29" t="str"/>
      <x:c r="D441" s="32" t="str">
        <x:v>A211: LÍNEA CLÁSICA O DISEÑADOR
B211: PURE XS
D211:  [fórmula: IF($C211="","",ROUND($C211*FACTOR_DIVISA,2))]
E211:  [fórmula: IF($C211="","",ROUND($C211*FACTOR_BCV,2))]</x:v>
      </x:c>
      <x:c r="E441" s="22" t="str">
        <x:v>Fuente original</x:v>
      </x:c>
      <x:c r="F441" s="22" t="str"/>
    </x:row>
    <x:row r="442" ht="70" customHeight="1">
      <x:c r="A442" s="22" t="str">
        <x:v>Excel</x:v>
      </x:c>
      <x:c r="B442" s="22" t="str">
        <x:v>PRECIOS PERF TOP QUALITY!fila 212</x:v>
      </x:c>
      <x:c r="C442" s="29" t="str"/>
      <x:c r="D442" s="32" t="str">
        <x:v>A212: LÍNEA CLÁSICA O DISEÑADOR
B212: Fantasy Britney Spears
C212: 12
D212: 20.4 [fórmula: IF($C212="","",ROUND($C212*FACTOR_DIVISA,2))]
E212: 26.4 [fórmula: IF($C212="","",ROUND($C212*FACTOR_BCV,2))]</x:v>
      </x:c>
      <x:c r="E442" s="22" t="str">
        <x:v>Fuente original</x:v>
      </x:c>
      <x:c r="F442" s="22" t="str"/>
    </x:row>
    <x:row r="443" ht="70" customHeight="1">
      <x:c r="A443" s="22" t="str">
        <x:v>Excel</x:v>
      </x:c>
      <x:c r="B443" s="22" t="str">
        <x:v>PRECIOS PERF TOP QUALITY!fila 213</x:v>
      </x:c>
      <x:c r="C443" s="29" t="str"/>
      <x:c r="D443" s="32" t="str">
        <x:v>A213: LÍNEA CLÁSICA O DISEÑADOR
B213: Asad Lattafa
C213: 12
D213: 20.4 [fórmula: IF($C213="","",ROUND($C213*FACTOR_DIVISA,2))]
E213: 26.4 [fórmula: IF($C213="","",ROUND($C213*FACTOR_BCV,2))]</x:v>
      </x:c>
      <x:c r="E443" s="22" t="str">
        <x:v>Fuente original</x:v>
      </x:c>
      <x:c r="F443" s="22" t="str"/>
    </x:row>
    <x:row r="444" ht="70" customHeight="1">
      <x:c r="A444" s="22" t="str">
        <x:v>Excel</x:v>
      </x:c>
      <x:c r="B444" s="22" t="str">
        <x:v>PRECIOS PERF TOP QUALITY!fila 214</x:v>
      </x:c>
      <x:c r="C444" s="29" t="str"/>
      <x:c r="D444" s="32" t="str">
        <x:v>A214: LÍNEA CLÁSICA O DISEÑADOR
B214: Santal 33
C214: 12
D214: 20.4 [fórmula: IF($C214="","",ROUND($C214*FACTOR_DIVISA,2))]
E214: 26.4 [fórmula: IF($C214="","",ROUND($C214*FACTOR_BCV,2))]</x:v>
      </x:c>
      <x:c r="E444" s="22" t="str">
        <x:v>Fuente original</x:v>
      </x:c>
      <x:c r="F444" s="22" t="str"/>
    </x:row>
    <x:row r="445" ht="70" customHeight="1">
      <x:c r="A445" s="22" t="str">
        <x:v>Excel</x:v>
      </x:c>
      <x:c r="B445" s="22" t="str">
        <x:v>PRECIOS PERF TOP QUALITY!fila 215</x:v>
      </x:c>
      <x:c r="C445" s="29" t="str"/>
      <x:c r="D445" s="32" t="str">
        <x:v>A215: LÍNEA CLÁSICA O DISEÑADOR
B215: Sauvage
C215: 12
D215: 20.4 [fórmula: IF($C215="","",ROUND($C215*FACTOR_DIVISA,2))]
E215: 26.4 [fórmula: IF($C215="","",ROUND($C215*FACTOR_BCV,2))]</x:v>
      </x:c>
      <x:c r="E445" s="22" t="str">
        <x:v>Fuente original</x:v>
      </x:c>
      <x:c r="F445" s="22" t="str"/>
    </x:row>
    <x:row r="446" ht="70" customHeight="1">
      <x:c r="A446" s="22" t="str">
        <x:v>Excel</x:v>
      </x:c>
      <x:c r="B446" s="22" t="str">
        <x:v>REGISTRO DE CUOTAS!fila 1</x:v>
      </x:c>
      <x:c r="C446" s="29" t="str"/>
      <x:c r="D446" s="32" t="str">
        <x:v>B1: REGISTRO DE CUOTAS</x:v>
      </x:c>
      <x:c r="E446" s="22" t="str">
        <x:v>Fuente original</x:v>
      </x:c>
      <x:c r="F446" s="22" t="str"/>
    </x:row>
    <x:row r="447" ht="70" customHeight="1">
      <x:c r="A447" s="22" t="str">
        <x:v>Excel</x:v>
      </x:c>
      <x:c r="B447" s="22" t="str">
        <x:v>REGISTRO DE CUOTAS!fila 3</x:v>
      </x:c>
      <x:c r="C447" s="29" t="str"/>
      <x:c r="D447" s="32" t="str">
        <x:v>A3: FECHA
B3: N° OPERACIÓN
C3: FORMA DE PAGO
D3: CLIENTE
E3: PRODUCTO
F3: MONTO ABONADO ($)
G3: NOTAS</x:v>
      </x:c>
      <x:c r="E447" s="22" t="str">
        <x:v>Fuente original</x:v>
      </x:c>
      <x:c r="F447" s="22" t="str"/>
    </x:row>
    <x:row r="448" ht="70" customHeight="1">
      <x:c r="A448" s="22" t="str">
        <x:v>Chat</x:v>
      </x:c>
      <x:c r="B448" s="22" t="str">
        <x:v>M-0001</x:v>
      </x:c>
      <x:c r="C448" s="29" t="n">
        <x:v>46204</x:v>
      </x:c>
      <x:c r="D448" s="32" t="str">
        <x:v>2026-07-01T16:56:18 · Gregory
Venta
Cliente:
Metodo de Pago:
Producto:
Fecha:
Cuotas (Si amerita)
Inicial:</x:v>
      </x:c>
      <x:c r="E448" s="22" t="str">
        <x:v>Conversación / sin asiento</x:v>
      </x:c>
      <x:c r="F448" s="22" t="str"/>
    </x:row>
    <x:row r="449" ht="70" customHeight="1">
      <x:c r="A449" s="22" t="str">
        <x:v>Chat</x:v>
      </x:c>
      <x:c r="B449" s="22" t="str">
        <x:v>M-0002</x:v>
      </x:c>
      <x:c r="C449" s="29" t="n">
        <x:v>46204</x:v>
      </x:c>
      <x:c r="D449" s="32" t="str">
        <x:v>2026-07-01T16:57:00 · Gregory
Pago
Cliente:
Metodo de pago:
Monto:
Fecha:
Producto:
Cuota: 2/3 (un ejemplo)</x:v>
      </x:c>
      <x:c r="E449" s="22" t="str">
        <x:v>Conversación / sin asiento</x:v>
      </x:c>
      <x:c r="F449" s="22" t="str"/>
    </x:row>
    <x:row r="450" ht="70" customHeight="1">
      <x:c r="A450" s="22" t="str">
        <x:v>Chat</x:v>
      </x:c>
      <x:c r="B450" s="22" t="str">
        <x:v>M-0003</x:v>
      </x:c>
      <x:c r="C450" s="29" t="n">
        <x:v>46204</x:v>
      </x:c>
      <x:c r="D450" s="32" t="str">
        <x:v>2026-07-01T16:58:03 · Gregory
Venta
Cliente:Polanco 
Metodo de Pago:bs 
Producto:Honor y glory
Fecha:30/06/2026
Cuotas 2
Inicial:0
Costo 12 venta 35</x:v>
      </x:c>
      <x:c r="E450" s="22" t="str">
        <x:v>Venta cruzada con Excel</x:v>
      </x:c>
      <x:c r="F450" s="22" t="str">
        <x:v>V-008</x:v>
      </x:c>
    </x:row>
    <x:row r="451" ht="70" customHeight="1">
      <x:c r="A451" s="22" t="str">
        <x:v>Chat</x:v>
      </x:c>
      <x:c r="B451" s="22" t="str">
        <x:v>M-0004</x:v>
      </x:c>
      <x:c r="C451" s="29" t="n">
        <x:v>46204</x:v>
      </x:c>
      <x:c r="D451" s="32" t="str">
        <x:v>2026-07-01T16:59:16 · Gregory
Venta
Cliente:Norelvis 
Metodo de Pago:bs
Producto:cloud 
Fecha:30/06/2026
Cuotas 2
Inicial:0
Costo 12usd venta 30bcv</x:v>
      </x:c>
      <x:c r="E451" s="22" t="str">
        <x:v>Venta cruzada con Excel</x:v>
      </x:c>
      <x:c r="F451" s="22" t="str">
        <x:v>V-009</x:v>
      </x:c>
    </x:row>
    <x:row r="452" ht="70" customHeight="1">
      <x:c r="A452" s="22" t="str">
        <x:v>Chat</x:v>
      </x:c>
      <x:c r="B452" s="22" t="str">
        <x:v>M-0005</x:v>
      </x:c>
      <x:c r="C452" s="29" t="n">
        <x:v>46204</x:v>
      </x:c>
      <x:c r="D452" s="32" t="str">
        <x:v>2026-07-01T16:59:41 · Gregory
Costo 12usd venta 35bcv</x:v>
      </x:c>
      <x:c r="E452" s="22" t="str">
        <x:v>Conversación / sin asiento</x:v>
      </x:c>
      <x:c r="F452" s="22" t="str"/>
    </x:row>
    <x:row r="453" ht="70" customHeight="1">
      <x:c r="A453" s="22" t="str">
        <x:v>Chat</x:v>
      </x:c>
      <x:c r="B453" s="22" t="str">
        <x:v>M-0006</x:v>
      </x:c>
      <x:c r="C453" s="29" t="n">
        <x:v>46204</x:v>
      </x:c>
      <x:c r="D453" s="32" t="str">
        <x:v>2026-07-01T17:03:54 · Gregory
Venta
Cliente:Ivana 
Metodo de Pago:bs
Producto:la bomba 
Fecha:01/07/2026
Cuotas 2
Inicial:0
Costo 17 venta 30</x:v>
      </x:c>
      <x:c r="E453" s="22" t="str">
        <x:v>Venta cruzada con Excel</x:v>
      </x:c>
      <x:c r="F453" s="22" t="str">
        <x:v>V-010</x:v>
      </x:c>
    </x:row>
    <x:row r="454" ht="70" customHeight="1">
      <x:c r="A454" s="22" t="str">
        <x:v>Chat</x:v>
      </x:c>
      <x:c r="B454" s="22" t="str">
        <x:v>M-0007</x:v>
      </x:c>
      <x:c r="C454" s="29" t="n">
        <x:v>46204</x:v>
      </x:c>
      <x:c r="D454" s="32" t="str">
        <x:v>2026-07-01T17:06:51 · Gregory
Venta
Cliente:Cristhian 
Metodo de Pago:bs
Producto:Aqua Dubai 
Fecha:1/07/2026
Cuotas 2
Inicial:0
Costo 18 venta 34</x:v>
      </x:c>
      <x:c r="E454" s="22" t="str">
        <x:v>Venta cruzada con Excel</x:v>
      </x:c>
      <x:c r="F454" s="22" t="str">
        <x:v>V-011</x:v>
      </x:c>
    </x:row>
    <x:row r="455" ht="70" customHeight="1">
      <x:c r="A455" s="22" t="str">
        <x:v>Chat</x:v>
      </x:c>
      <x:c r="B455" s="22" t="str">
        <x:v>M-0008</x:v>
      </x:c>
      <x:c r="C455" s="29" t="n">
        <x:v>46204</x:v>
      </x:c>
      <x:c r="D455" s="32" t="str">
        <x:v>2026-07-01T17:07:23 · Gregor Escalona
&lt;imagen omitida&gt;</x:v>
      </x:c>
      <x:c r="E455" s="22" t="str">
        <x:v>Conversación / sin asiento</x:v>
      </x:c>
      <x:c r="F455" s="22" t="str"/>
    </x:row>
    <x:row r="456" ht="70" customHeight="1">
      <x:c r="A456" s="22" t="str">
        <x:v>Chat</x:v>
      </x:c>
      <x:c r="B456" s="22" t="str">
        <x:v>M-0009</x:v>
      </x:c>
      <x:c r="C456" s="29" t="n">
        <x:v>46204</x:v>
      </x:c>
      <x:c r="D456" s="32" t="str">
        <x:v>2026-07-01T17:07:24 · Gregor Escalona
&lt;Mensaje de unknown&gt;</x:v>
      </x:c>
      <x:c r="E456" s="22" t="str">
        <x:v>Conversación / sin asiento</x:v>
      </x:c>
      <x:c r="F456" s="22" t="str"/>
    </x:row>
    <x:row r="457" ht="70" customHeight="1">
      <x:c r="A457" s="22" t="str">
        <x:v>Chat</x:v>
      </x:c>
      <x:c r="B457" s="22" t="str">
        <x:v>M-0010</x:v>
      </x:c>
      <x:c r="C457" s="29" t="n">
        <x:v>46204</x:v>
      </x:c>
      <x:c r="D457" s="32" t="str">
        <x:v>2026-07-01T17:10:50 · Gregory
Costo 18 venta 34</x:v>
      </x:c>
      <x:c r="E457" s="22" t="str">
        <x:v>Conversación / sin asiento</x:v>
      </x:c>
      <x:c r="F457" s="22" t="str"/>
    </x:row>
    <x:row r="458" ht="70" customHeight="1">
      <x:c r="A458" s="22" t="str">
        <x:v>Chat</x:v>
      </x:c>
      <x:c r="B458" s="22" t="str">
        <x:v>M-0011</x:v>
      </x:c>
      <x:c r="C458" s="29" t="n">
        <x:v>46204</x:v>
      </x:c>
      <x:c r="D458" s="32" t="str">
        <x:v>2026-07-01T17:11:17 · Gregory
[Reenviado] &lt;imagen omitida&gt;</x:v>
      </x:c>
      <x:c r="E458" s="22" t="str">
        <x:v>Conversación / sin asiento</x:v>
      </x:c>
      <x:c r="F458" s="22" t="str"/>
    </x:row>
    <x:row r="459" ht="70" customHeight="1">
      <x:c r="A459" s="22" t="str">
        <x:v>Chat</x:v>
      </x:c>
      <x:c r="B459" s="22" t="str">
        <x:v>M-0012</x:v>
      </x:c>
      <x:c r="C459" s="29" t="n">
        <x:v>46204</x:v>
      </x:c>
      <x:c r="D459" s="32" t="str">
        <x:v>2026-07-01T17:11:19 · Gregory
&lt;Mensaje de unknown&gt;</x:v>
      </x:c>
      <x:c r="E459" s="22" t="str">
        <x:v>Conversación / sin asiento</x:v>
      </x:c>
      <x:c r="F459" s="22" t="str"/>
    </x:row>
    <x:row r="460" ht="70" customHeight="1">
      <x:c r="A460" s="22" t="str">
        <x:v>Chat</x:v>
      </x:c>
      <x:c r="B460" s="22" t="str">
        <x:v>M-0013</x:v>
      </x:c>
      <x:c r="C460" s="29" t="n">
        <x:v>46205</x:v>
      </x:c>
      <x:c r="D460" s="32" t="str">
        <x:v>2026-07-02T16:10:50 · Gregory
Venta
Cliente:Polanco 
Metodo de Pago:bs
Producto:club de nuit 
Fecha:02/07/2026
Cuotas 2
Inicial:15bcv</x:v>
      </x:c>
      <x:c r="E460" s="22" t="str">
        <x:v>Venta cruzada con Excel</x:v>
      </x:c>
      <x:c r="F460" s="22" t="str">
        <x:v>V-013</x:v>
      </x:c>
    </x:row>
    <x:row r="461" ht="70" customHeight="1">
      <x:c r="A461" s="22" t="str">
        <x:v>Chat</x:v>
      </x:c>
      <x:c r="B461" s="22" t="str">
        <x:v>M-0014</x:v>
      </x:c>
      <x:c r="C461" s="29" t="n">
        <x:v>46205</x:v>
      </x:c>
      <x:c r="D461" s="32" t="str">
        <x:v>2026-07-02T16:11:54 · Gregory
Venta
Cliente:Anderson 
Metodo de Pago:bs
Producto:212Vip
Fecha:2/07/2026
Cuotas 2
Inicial:11bcv</x:v>
      </x:c>
      <x:c r="E461" s="22" t="str">
        <x:v>Venta cruzada con Excel</x:v>
      </x:c>
      <x:c r="F461" s="22" t="str">
        <x:v>V-012</x:v>
      </x:c>
    </x:row>
    <x:row r="462" ht="70" customHeight="1">
      <x:c r="A462" s="22" t="str">
        <x:v>Chat</x:v>
      </x:c>
      <x:c r="B462" s="22" t="str">
        <x:v>M-0015</x:v>
      </x:c>
      <x:c r="C462" s="29" t="n">
        <x:v>46206</x:v>
      </x:c>
      <x:c r="D462" s="32" t="str">
        <x:v>2026-07-03T17:36:26 · Gregory
[Reenviado] &lt;imagen omitida&gt;</x:v>
      </x:c>
      <x:c r="E462" s="22" t="str">
        <x:v>Conversación / sin asiento</x:v>
      </x:c>
      <x:c r="F462" s="22" t="str"/>
    </x:row>
    <x:row r="463" ht="70" customHeight="1">
      <x:c r="A463" s="22" t="str">
        <x:v>Chat</x:v>
      </x:c>
      <x:c r="B463" s="22" t="str">
        <x:v>M-0016</x:v>
      </x:c>
      <x:c r="C463" s="29" t="n">
        <x:v>46206</x:v>
      </x:c>
      <x:c r="D463" s="32" t="str">
        <x:v>2026-07-03T17:36:26 · Gregory
15$</x:v>
      </x:c>
      <x:c r="E463" s="22" t="str">
        <x:v>Conversación / sin asiento</x:v>
      </x:c>
      <x:c r="F463" s="22" t="str"/>
    </x:row>
    <x:row r="464" ht="70" customHeight="1">
      <x:c r="A464" s="22" t="str">
        <x:v>Chat</x:v>
      </x:c>
      <x:c r="B464" s="22" t="str">
        <x:v>M-0017</x:v>
      </x:c>
      <x:c r="C464" s="29" t="n">
        <x:v>46206</x:v>
      </x:c>
      <x:c r="D464" s="32" t="str">
        <x:v>2026-07-03T17:37:53 · Gregory
Pago
Cliente:Norelvis 
Metodo de pago:PM
Monto:9.794,59 15 bcv 
Fecha:3/07/2026
Producto:cloud 
Cuota: 1/2</x:v>
      </x:c>
      <x:c r="E464" s="22" t="str">
        <x:v>Pago cruzado / deduplicado</x:v>
      </x:c>
      <x:c r="F464" s="22" t="str">
        <x:v>P-010</x:v>
      </x:c>
    </x:row>
    <x:row r="465" ht="70" customHeight="1">
      <x:c r="A465" s="22" t="str">
        <x:v>Chat</x:v>
      </x:c>
      <x:c r="B465" s="22" t="str">
        <x:v>M-0018</x:v>
      </x:c>
      <x:c r="C465" s="29" t="n">
        <x:v>46206</x:v>
      </x:c>
      <x:c r="D465" s="32" t="str">
        <x:v>2026-07-03T17:38:58 · Gregor Escalona
Confirmado</x:v>
      </x:c>
      <x:c r="E465" s="22" t="str">
        <x:v>Conversación / sin asiento</x:v>
      </x:c>
      <x:c r="F465" s="22" t="str"/>
    </x:row>
    <x:row r="466" ht="70" customHeight="1">
      <x:c r="A466" s="22" t="str">
        <x:v>Chat</x:v>
      </x:c>
      <x:c r="B466" s="22" t="str">
        <x:v>M-0019</x:v>
      </x:c>
      <x:c r="C466" s="29" t="n">
        <x:v>46206</x:v>
      </x:c>
      <x:c r="D466" s="32" t="str">
        <x:v>2026-07-03T17:51:02 · Gregory
Venta
Cliente:llovera 
Metodo de Pago:bs
Producto:versace Eros men
Fecha:3/07/2026
Cuotas 2
Inicial:12$</x:v>
      </x:c>
      <x:c r="E466" s="22" t="str">
        <x:v>Venta cruzada con Excel</x:v>
      </x:c>
      <x:c r="F466" s="22" t="str">
        <x:v>V-015</x:v>
      </x:c>
    </x:row>
    <x:row r="467" ht="70" customHeight="1">
      <x:c r="A467" s="22" t="str">
        <x:v>Chat</x:v>
      </x:c>
      <x:c r="B467" s="22" t="str">
        <x:v>M-0020</x:v>
      </x:c>
      <x:c r="C467" s="29" t="n">
        <x:v>46207</x:v>
      </x:c>
      <x:c r="D467" s="32" t="str">
        <x:v>2026-07-04T09:21:04 · Gregory
[Reenviado] &lt;imagen omitida&gt;</x:v>
      </x:c>
      <x:c r="E467" s="22" t="str">
        <x:v>Conversación / sin asiento</x:v>
      </x:c>
      <x:c r="F467" s="22" t="str"/>
    </x:row>
    <x:row r="468" ht="70" customHeight="1">
      <x:c r="A468" s="22" t="str">
        <x:v>Chat</x:v>
      </x:c>
      <x:c r="B468" s="22" t="str">
        <x:v>M-0021</x:v>
      </x:c>
      <x:c r="C468" s="29" t="n">
        <x:v>46207</x:v>
      </x:c>
      <x:c r="D468" s="32" t="str">
        <x:v>2026-07-04T09:21:04 · Gregory
7$</x:v>
      </x:c>
      <x:c r="E468" s="22" t="str">
        <x:v>Conversación / sin asiento</x:v>
      </x:c>
      <x:c r="F468" s="22" t="str"/>
    </x:row>
    <x:row r="469" ht="70" customHeight="1">
      <x:c r="A469" s="22" t="str">
        <x:v>Chat</x:v>
      </x:c>
      <x:c r="B469" s="22" t="str">
        <x:v>M-0022</x:v>
      </x:c>
      <x:c r="C469" s="29" t="n">
        <x:v>46207</x:v>
      </x:c>
      <x:c r="D469" s="32" t="str">
        <x:v>2026-07-04T09:22:28 · Gregory
Pago
Cliente:Anderson 
Metodo de pago:PM
Monto:4.580,00 7$
Fecha:4/7/2026
Producto:212 vip
Cuota: 1/3</x:v>
      </x:c>
      <x:c r="E469" s="22" t="str">
        <x:v>Pago cruzado / deduplicado</x:v>
      </x:c>
      <x:c r="F469" s="22" t="str">
        <x:v>P-012</x:v>
      </x:c>
    </x:row>
    <x:row r="470" ht="70" customHeight="1">
      <x:c r="A470" s="22" t="str">
        <x:v>Chat</x:v>
      </x:c>
      <x:c r="B470" s="22" t="str">
        <x:v>M-0023</x:v>
      </x:c>
      <x:c r="C470" s="29" t="n">
        <x:v>46207</x:v>
      </x:c>
      <x:c r="D470" s="32" t="str">
        <x:v>2026-07-04T09:22:37 · Gregory
Cambio las cuotas</x:v>
      </x:c>
      <x:c r="E470" s="22" t="str">
        <x:v>Conversación / sin asiento</x:v>
      </x:c>
      <x:c r="F470" s="22" t="str"/>
    </x:row>
    <x:row r="471" ht="70" customHeight="1">
      <x:c r="A471" s="22" t="str">
        <x:v>Chat</x:v>
      </x:c>
      <x:c r="B471" s="22" t="str">
        <x:v>M-0024</x:v>
      </x:c>
      <x:c r="C471" s="29" t="n">
        <x:v>46207</x:v>
      </x:c>
      <x:c r="D471" s="32" t="str">
        <x:v>2026-07-04T12:32:53 · Gregor Escalona
Confirmado ✅</x:v>
      </x:c>
      <x:c r="E471" s="22" t="str">
        <x:v>Conversación / sin asiento</x:v>
      </x:c>
      <x:c r="F471" s="22" t="str"/>
    </x:row>
    <x:row r="472" ht="70" customHeight="1">
      <x:c r="A472" s="22" t="str">
        <x:v>Chat</x:v>
      </x:c>
      <x:c r="B472" s="22" t="str">
        <x:v>M-0025</x:v>
      </x:c>
      <x:c r="C472" s="29" t="n">
        <x:v>46207</x:v>
      </x:c>
      <x:c r="D472" s="32" t="str">
        <x:v>2026-07-04T13:48:13 · Gregory
[Reenviado] &lt;imagen omitida&gt;</x:v>
      </x:c>
      <x:c r="E472" s="22" t="str">
        <x:v>Conversación / sin asiento</x:v>
      </x:c>
      <x:c r="F472" s="22" t="str"/>
    </x:row>
    <x:row r="473" ht="70" customHeight="1">
      <x:c r="A473" s="22" t="str">
        <x:v>Chat</x:v>
      </x:c>
      <x:c r="B473" s="22" t="str">
        <x:v>M-0026</x:v>
      </x:c>
      <x:c r="C473" s="29" t="n">
        <x:v>46207</x:v>
      </x:c>
      <x:c r="D473" s="32" t="str">
        <x:v>2026-07-04T13:48:36 · Gregor Escalona
Confirmado</x:v>
      </x:c>
      <x:c r="E473" s="22" t="str">
        <x:v>Conversación / sin asiento</x:v>
      </x:c>
      <x:c r="F473" s="22" t="str"/>
    </x:row>
    <x:row r="474" ht="70" customHeight="1">
      <x:c r="A474" s="22" t="str">
        <x:v>Chat</x:v>
      </x:c>
      <x:c r="B474" s="22" t="str">
        <x:v>M-0027</x:v>
      </x:c>
      <x:c r="C474" s="29" t="n">
        <x:v>46207</x:v>
      </x:c>
      <x:c r="D474" s="32" t="str">
        <x:v>2026-07-04T17:20:22 · Gregory
Pago
Cliente:Marbella
Metodo de pago:PM
Monto:13.341,00 20$
Fecha:4/7/2026
Producto:Yara moi
Cuota:1/2</x:v>
      </x:c>
      <x:c r="E474" s="22" t="str">
        <x:v>Pago cruzado / deduplicado</x:v>
      </x:c>
      <x:c r="F474" s="22" t="str">
        <x:v>P-015</x:v>
      </x:c>
    </x:row>
    <x:row r="475" ht="70" customHeight="1">
      <x:c r="A475" s="22" t="str">
        <x:v>Chat</x:v>
      </x:c>
      <x:c r="B475" s="22" t="str">
        <x:v>M-0028</x:v>
      </x:c>
      <x:c r="C475" s="29" t="n">
        <x:v>46207</x:v>
      </x:c>
      <x:c r="D475" s="32" t="str">
        <x:v>2026-07-04T17:29:50 · Gregory
[Reenviado] &lt;imagen omitida&gt;</x:v>
      </x:c>
      <x:c r="E475" s="22" t="str">
        <x:v>Conversación / sin asiento</x:v>
      </x:c>
      <x:c r="F475" s="22" t="str"/>
    </x:row>
    <x:row r="476" ht="70" customHeight="1">
      <x:c r="A476" s="22" t="str">
        <x:v>Chat</x:v>
      </x:c>
      <x:c r="B476" s="22" t="str">
        <x:v>M-0029</x:v>
      </x:c>
      <x:c r="C476" s="29" t="n">
        <x:v>46207</x:v>
      </x:c>
      <x:c r="D476" s="32" t="str">
        <x:v>2026-07-04T17:30:48 · Tú
Añádeme como admin de este Gregory</x:v>
      </x:c>
      <x:c r="E476" s="22" t="str">
        <x:v>Conversación / sin asiento</x:v>
      </x:c>
      <x:c r="F476" s="22" t="str"/>
    </x:row>
    <x:row r="477" ht="70" customHeight="1">
      <x:c r="A477" s="22" t="str">
        <x:v>Chat</x:v>
      </x:c>
      <x:c r="B477" s="22" t="str">
        <x:v>M-0030</x:v>
      </x:c>
      <x:c r="C477" s="29" t="n">
        <x:v>46207</x:v>
      </x:c>
      <x:c r="D477" s="32" t="str">
        <x:v>2026-07-04T17:31:34 · Gregory
[Reenviado] &lt;imagen omitida&gt;</x:v>
      </x:c>
      <x:c r="E477" s="22" t="str">
        <x:v>Conversación / sin asiento</x:v>
      </x:c>
      <x:c r="F477" s="22" t="str"/>
    </x:row>
    <x:row r="478" ht="70" customHeight="1">
      <x:c r="A478" s="22" t="str">
        <x:v>Chat</x:v>
      </x:c>
      <x:c r="B478" s="22" t="str">
        <x:v>M-0031</x:v>
      </x:c>
      <x:c r="C478" s="29" t="n">
        <x:v>46207</x:v>
      </x:c>
      <x:c r="D478" s="32" t="str">
        <x:v>2026-07-04T17:33:18 · Tú
&lt;mensaje de voz omitido&gt;</x:v>
      </x:c>
      <x:c r="E478" s="22" t="str">
        <x:v>Conversación / sin asiento</x:v>
      </x:c>
      <x:c r="F478" s="22" t="str"/>
    </x:row>
    <x:row r="479" ht="70" customHeight="1">
      <x:c r="A479" s="22" t="str">
        <x:v>Chat</x:v>
      </x:c>
      <x:c r="B479" s="22" t="str">
        <x:v>M-0032</x:v>
      </x:c>
      <x:c r="C479" s="29" t="n">
        <x:v>46207</x:v>
      </x:c>
      <x:c r="D479" s="32" t="str">
        <x:v>2026-07-04T17:36:07 · Gregory
Pago
Cliente:Polanco 
Metodo de pago:Pm
Monto:9.794,59
Fecha:4/7/2026
Producto:club de nuit
Cuota: 1/2
Referencia :9023</x:v>
      </x:c>
      <x:c r="E479" s="22" t="str">
        <x:v>Pago cruzado / deduplicado</x:v>
      </x:c>
      <x:c r="F479" s="22" t="str">
        <x:v>P-017</x:v>
      </x:c>
    </x:row>
    <x:row r="480" ht="70" customHeight="1">
      <x:c r="A480" s="22" t="str">
        <x:v>Chat</x:v>
      </x:c>
      <x:c r="B480" s="22" t="str">
        <x:v>M-0033</x:v>
      </x:c>
      <x:c r="C480" s="29" t="n">
        <x:v>46207</x:v>
      </x:c>
      <x:c r="D480" s="32" t="str">
        <x:v>2026-07-04T17:38:26 · Gregory
Pago
Cliente:Cristhian 
Metodo de pago:Pm
Monto:7.835,67
Fecha:4/7/2026
Producto:Good girl 
Cuota: 2/2 
Referencia :9442</x:v>
      </x:c>
      <x:c r="E480" s="22" t="str">
        <x:v>Pago cruzado / deduplicado</x:v>
      </x:c>
      <x:c r="F480" s="22" t="str">
        <x:v>P-002</x:v>
      </x:c>
    </x:row>
    <x:row r="481" ht="70" customHeight="1">
      <x:c r="A481" s="22" t="str">
        <x:v>Chat</x:v>
      </x:c>
      <x:c r="B481" s="22" t="str">
        <x:v>M-0034</x:v>
      </x:c>
      <x:c r="C481" s="29" t="n">
        <x:v>46207</x:v>
      </x:c>
      <x:c r="D481" s="32" t="str">
        <x:v>2026-07-04T21:38:37 · Gregory
Venta
Cliente:Ricardo 
Metodo de Pago:pm
Producto:universe 
Fecha:3/7/2026
Cuotas 2
Inicial:19bcv</x:v>
      </x:c>
      <x:c r="E481" s="22" t="str">
        <x:v>Venta cruzada con Excel</x:v>
      </x:c>
      <x:c r="F481" s="22" t="str">
        <x:v>V-004</x:v>
      </x:c>
    </x:row>
    <x:row r="482" ht="70" customHeight="1">
      <x:c r="A482" s="22" t="str">
        <x:v>Chat</x:v>
      </x:c>
      <x:c r="B482" s="22" t="str">
        <x:v>M-0035</x:v>
      </x:c>
      <x:c r="C482" s="29" t="n">
        <x:v>46207</x:v>
      </x:c>
      <x:c r="D482" s="32" t="str">
        <x:v>2026-07-04T21:39:30 · Gregory
Pago
Cliente:Ricardo 
Metodo de pago:Pago móvil 
Monto:11.822.06 19$
Fecha:29/06/2026
Producto:universe 
Cuota: 1/2
Referencia :9373</x:v>
      </x:c>
      <x:c r="E482" s="22" t="str">
        <x:v>Pago cruzado / deduplicado</x:v>
      </x:c>
      <x:c r="F482" s="22" t="str">
        <x:v>P-007</x:v>
      </x:c>
    </x:row>
    <x:row r="483" ht="70" customHeight="1">
      <x:c r="A483" s="22" t="str">
        <x:v>Chat</x:v>
      </x:c>
      <x:c r="B483" s="22" t="str">
        <x:v>M-0036</x:v>
      </x:c>
      <x:c r="C483" s="29" t="n">
        <x:v>46208</x:v>
      </x:c>
      <x:c r="D483" s="32" t="str">
        <x:v>2026-07-05T10:36:32 · Tú
https://docs.google.com/spreadsheets/d/1NOUrHu3bT8fiqA3ioaz1LQL6QWq3u_TU4EO5WeKX0pY/edit?usp=sharing</x:v>
      </x:c>
      <x:c r="E483" s="22" t="str">
        <x:v>Conversación / sin asiento</x:v>
      </x:c>
      <x:c r="F483" s="22" t="str"/>
    </x:row>
    <x:row r="484" ht="70" customHeight="1">
      <x:c r="A484" s="22" t="str">
        <x:v>Chat</x:v>
      </x:c>
      <x:c r="B484" s="22" t="str">
        <x:v>M-0037</x:v>
      </x:c>
      <x:c r="C484" s="29" t="n">
        <x:v>46208</x:v>
      </x:c>
      <x:c r="D484" s="32" t="str">
        <x:v>2026-07-05T10:36:37 · Tú
Esta es la plantilla muchachos</x:v>
      </x:c>
      <x:c r="E484" s="22" t="str">
        <x:v>Conversación / sin asiento</x:v>
      </x:c>
      <x:c r="F484" s="22" t="str"/>
    </x:row>
    <x:row r="485" ht="70" customHeight="1">
      <x:c r="A485" s="22" t="str">
        <x:v>Chat</x:v>
      </x:c>
      <x:c r="B485" s="22" t="str">
        <x:v>M-0038</x:v>
      </x:c>
      <x:c r="C485" s="29" t="n">
        <x:v>46208</x:v>
      </x:c>
      <x:c r="D485" s="32" t="str">
        <x:v>2026-07-05T10:36:46 · Tú
Pueden editarla y ver de primera mano todo</x:v>
      </x:c>
      <x:c r="E485" s="22" t="str">
        <x:v>Conversación / sin asiento</x:v>
      </x:c>
      <x:c r="F485" s="22" t="str"/>
    </x:row>
    <x:row r="486" ht="70" customHeight="1">
      <x:c r="A486" s="22" t="str">
        <x:v>Chat</x:v>
      </x:c>
      <x:c r="B486" s="22" t="str">
        <x:v>M-0039</x:v>
      </x:c>
      <x:c r="C486" s="29" t="n">
        <x:v>46208</x:v>
      </x:c>
      <x:c r="D486" s="32" t="str">
        <x:v>2026-07-05T10:36:53 · Tú
Gregory puedes usarla si deseas</x:v>
      </x:c>
      <x:c r="E486" s="22" t="str">
        <x:v>Conversación / sin asiento</x:v>
      </x:c>
      <x:c r="F486" s="22" t="str"/>
    </x:row>
    <x:row r="487" ht="70" customHeight="1">
      <x:c r="A487" s="22" t="str">
        <x:v>Chat</x:v>
      </x:c>
      <x:c r="B487" s="22" t="str">
        <x:v>M-0040</x:v>
      </x:c>
      <x:c r="C487" s="29" t="n">
        <x:v>46208</x:v>
      </x:c>
      <x:c r="D487" s="32" t="str">
        <x:v>2026-07-05T10:39:40 · Gregory
Fino</x:v>
      </x:c>
      <x:c r="E487" s="22" t="str">
        <x:v>Conversación / sin asiento</x:v>
      </x:c>
      <x:c r="F487" s="22" t="str"/>
    </x:row>
    <x:row r="488" ht="70" customHeight="1">
      <x:c r="A488" s="22" t="str">
        <x:v>Chat</x:v>
      </x:c>
      <x:c r="B488" s="22" t="str">
        <x:v>M-0041</x:v>
      </x:c>
      <x:c r="C488" s="29" t="n">
        <x:v>46208</x:v>
      </x:c>
      <x:c r="D488" s="32" t="str">
        <x:v>2026-07-05T10:47:36 · Tú
Precio y costo</x:v>
      </x:c>
      <x:c r="E488" s="22" t="str">
        <x:v>Conversación / sin asiento</x:v>
      </x:c>
      <x:c r="F488" s="22" t="str"/>
    </x:row>
    <x:row r="489" ht="70" customHeight="1">
      <x:c r="A489" s="22" t="str">
        <x:v>Chat</x:v>
      </x:c>
      <x:c r="B489" s="22" t="str">
        <x:v>M-0042</x:v>
      </x:c>
      <x:c r="C489" s="29" t="n">
        <x:v>46208</x:v>
      </x:c>
      <x:c r="D489" s="32" t="str">
        <x:v>2026-07-05T10:48:31 · Tú
En ventas pon precio costo e inicial</x:v>
      </x:c>
      <x:c r="E489" s="22" t="str">
        <x:v>Conversación / sin asiento</x:v>
      </x:c>
      <x:c r="F489" s="22" t="str"/>
    </x:row>
    <x:row r="490" ht="70" customHeight="1">
      <x:c r="A490" s="22" t="str">
        <x:v>Chat</x:v>
      </x:c>
      <x:c r="B490" s="22" t="str">
        <x:v>M-0043</x:v>
      </x:c>
      <x:c r="C490" s="29" t="n">
        <x:v>46208</x:v>
      </x:c>
      <x:c r="D490" s="32" t="str">
        <x:v>2026-07-05T19:13:07 · Gregory
[Reenviado] 30012188
Banco nacional de crédito 
04128485182</x:v>
      </x:c>
      <x:c r="E490" s="22" t="str">
        <x:v>Conversación / sin asiento</x:v>
      </x:c>
      <x:c r="F490" s="22" t="str"/>
    </x:row>
    <x:row r="491" ht="70" customHeight="1">
      <x:c r="A491" s="22" t="str">
        <x:v>Chat</x:v>
      </x:c>
      <x:c r="B491" s="22" t="str">
        <x:v>M-0044</x:v>
      </x:c>
      <x:c r="C491" s="29" t="n">
        <x:v>46213</x:v>
      </x:c>
      <x:c r="D491" s="32" t="str">
        <x:v>2026-07-10T18:59:21 · Gregory
[Reenviado] &lt;imagen omitida&gt;</x:v>
      </x:c>
      <x:c r="E491" s="22" t="str">
        <x:v>Conversación / sin asiento</x:v>
      </x:c>
      <x:c r="F491" s="22" t="str"/>
    </x:row>
    <x:row r="492" ht="70" customHeight="1">
      <x:c r="A492" s="22" t="str">
        <x:v>Chat</x:v>
      </x:c>
      <x:c r="B492" s="22" t="str">
        <x:v>M-0045</x:v>
      </x:c>
      <x:c r="C492" s="29" t="n">
        <x:v>46213</x:v>
      </x:c>
      <x:c r="D492" s="32" t="str">
        <x:v>2026-07-10T18:59:22 · Gregory
Cristhian 15</x:v>
      </x:c>
      <x:c r="E492" s="22" t="str">
        <x:v>Conversación / sin asiento</x:v>
      </x:c>
      <x:c r="F492" s="22" t="str"/>
    </x:row>
    <x:row r="493" ht="70" customHeight="1">
      <x:c r="A493" s="22" t="str">
        <x:v>Chat</x:v>
      </x:c>
      <x:c r="B493" s="22" t="str">
        <x:v>M-0046</x:v>
      </x:c>
      <x:c r="C493" s="29" t="n">
        <x:v>46213</x:v>
      </x:c>
      <x:c r="D493" s="32" t="str">
        <x:v>2026-07-10T19:15:44 · Tú
Ponlo con el formato de la plantilla</x:v>
      </x:c>
      <x:c r="E493" s="22" t="str">
        <x:v>Conversación / sin asiento</x:v>
      </x:c>
      <x:c r="F493" s="22" t="str"/>
    </x:row>
    <x:row r="494" ht="70" customHeight="1">
      <x:c r="A494" s="22" t="str">
        <x:v>Chat</x:v>
      </x:c>
      <x:c r="B494" s="22" t="str">
        <x:v>M-0047</x:v>
      </x:c>
      <x:c r="C494" s="29" t="n">
        <x:v>46213</x:v>
      </x:c>
      <x:c r="D494" s="32" t="str">
        <x:v>2026-07-10T22:16:36 · Gregory
Pago
Cliente:Cristhian 
Metodo de pago:Pm
Monto:10.645,40. 15$
Fecha:10/07/2026
Producto:Aqua Dubai 
Cuota: 1/2</x:v>
      </x:c>
      <x:c r="E494" s="22" t="str">
        <x:v>Pago cruzado / deduplicado</x:v>
      </x:c>
      <x:c r="F494" s="22" t="str">
        <x:v>P-025</x:v>
      </x:c>
    </x:row>
    <x:row r="495" ht="70" customHeight="1">
      <x:c r="A495" s="22" t="str">
        <x:v>Chat</x:v>
      </x:c>
      <x:c r="B495" s="22" t="str">
        <x:v>M-0048</x:v>
      </x:c>
      <x:c r="C495" s="29" t="n">
        <x:v>46213</x:v>
      </x:c>
      <x:c r="D495" s="32" t="str">
        <x:v>2026-07-10T22:19:32 · Gregor Escalona
Confirmado</x:v>
      </x:c>
      <x:c r="E495" s="22" t="str">
        <x:v>Conversación / sin asiento</x:v>
      </x:c>
      <x:c r="F495" s="22" t="str"/>
    </x:row>
    <x:row r="496" ht="70" customHeight="1">
      <x:c r="A496" s="22" t="str">
        <x:v>Chat</x:v>
      </x:c>
      <x:c r="B496" s="22" t="str">
        <x:v>M-0049</x:v>
      </x:c>
      <x:c r="C496" s="29" t="n">
        <x:v>46214</x:v>
      </x:c>
      <x:c r="D496" s="32" t="str">
        <x:v>2026-07-11T17:53:50 · Gregory
[Reenviado] &lt;imagen omitida&gt;</x:v>
      </x:c>
      <x:c r="E496" s="22" t="str">
        <x:v>Conversación / sin asiento</x:v>
      </x:c>
      <x:c r="F496" s="22" t="str"/>
    </x:row>
    <x:row r="497" ht="70" customHeight="1">
      <x:c r="A497" s="22" t="str">
        <x:v>Chat</x:v>
      </x:c>
      <x:c r="B497" s="22" t="str">
        <x:v>M-0050</x:v>
      </x:c>
      <x:c r="C497" s="29" t="n">
        <x:v>46214</x:v>
      </x:c>
      <x:c r="D497" s="32" t="str">
        <x:v>2026-07-11T17:53:50 · Gregory
20$ polanco</x:v>
      </x:c>
      <x:c r="E497" s="22" t="str">
        <x:v>Aviso de monto unido a ficha, sin nuevo cobro</x:v>
      </x:c>
      <x:c r="F497" s="22" t="str">
        <x:v>P-019</x:v>
      </x:c>
    </x:row>
    <x:row r="498" ht="70" customHeight="1">
      <x:c r="A498" s="22" t="str">
        <x:v>Chat</x:v>
      </x:c>
      <x:c r="B498" s="22" t="str">
        <x:v>M-0051</x:v>
      </x:c>
      <x:c r="C498" s="29" t="n">
        <x:v>46214</x:v>
      </x:c>
      <x:c r="D498" s="32" t="str">
        <x:v>2026-07-11T18:54:46 · Gregory
[Reenviado] &lt;imagen omitida&gt;</x:v>
      </x:c>
      <x:c r="E498" s="22" t="str">
        <x:v>Conversación / sin asiento</x:v>
      </x:c>
      <x:c r="F498" s="22" t="str"/>
    </x:row>
    <x:row r="499" ht="70" customHeight="1">
      <x:c r="A499" s="22" t="str">
        <x:v>Chat</x:v>
      </x:c>
      <x:c r="B499" s="22" t="str">
        <x:v>M-0052</x:v>
      </x:c>
      <x:c r="C499" s="29" t="n">
        <x:v>46214</x:v>
      </x:c>
      <x:c r="D499" s="32" t="str">
        <x:v>2026-07-11T18:54:47 · Gregory
Amarista 21$</x:v>
      </x:c>
      <x:c r="E499" s="22" t="str">
        <x:v>Aviso de monto unido a ficha, sin nuevo cobro</x:v>
      </x:c>
      <x:c r="F499" s="22" t="str">
        <x:v>P-004</x:v>
      </x:c>
    </x:row>
    <x:row r="500" ht="70" customHeight="1">
      <x:c r="A500" s="22" t="str">
        <x:v>Chat</x:v>
      </x:c>
      <x:c r="B500" s="22" t="str">
        <x:v>M-0053</x:v>
      </x:c>
      <x:c r="C500" s="29" t="n">
        <x:v>46214</x:v>
      </x:c>
      <x:c r="D500" s="32" t="str">
        <x:v>2026-07-11T18:57:37 · Gregory
Pago
Cliente:Polanco 
Metodo de pago:PM
Monto:14.193,87
Fecha:11/7/2026
Producto:Honor y glory
Cuota: 1/2</x:v>
      </x:c>
      <x:c r="E500" s="22" t="str">
        <x:v>Pago cruzado / deduplicado</x:v>
      </x:c>
      <x:c r="F500" s="22" t="str">
        <x:v>P-019</x:v>
      </x:c>
    </x:row>
    <x:row r="501" ht="70" customHeight="1">
      <x:c r="A501" s="22" t="str">
        <x:v>Chat</x:v>
      </x:c>
      <x:c r="B501" s="22" t="str">
        <x:v>M-0054</x:v>
      </x:c>
      <x:c r="C501" s="29" t="n">
        <x:v>46214</x:v>
      </x:c>
      <x:c r="D501" s="32" t="str">
        <x:v>2026-07-11T19:03:04 · Gregory
Pago
Cliente:Amarista
Metodo de pago:PM
Monto:14.903,56
Fecha:11/7/2026
Producto:Khamrah qahwa 
Cuota: 2 ✅</x:v>
      </x:c>
      <x:c r="E501" s="22" t="str">
        <x:v>Pago cruzado / deduplicado</x:v>
      </x:c>
      <x:c r="F501" s="22" t="str">
        <x:v>P-004</x:v>
      </x:c>
    </x:row>
    <x:row r="502" ht="70" customHeight="1">
      <x:c r="A502" s="22" t="str">
        <x:v>Chat</x:v>
      </x:c>
      <x:c r="B502" s="22" t="str">
        <x:v>M-0055</x:v>
      </x:c>
      <x:c r="C502" s="29" t="n">
        <x:v>46215</x:v>
      </x:c>
      <x:c r="D502" s="32" t="str">
        <x:v>2026-07-12T10:25:52 · Gregory
[Reenviado] &lt;imagen omitida&gt;</x:v>
      </x:c>
      <x:c r="E502" s="22" t="str">
        <x:v>Conversación / sin asiento</x:v>
      </x:c>
      <x:c r="F502" s="22" t="str"/>
    </x:row>
    <x:row r="503" ht="70" customHeight="1">
      <x:c r="A503" s="22" t="str">
        <x:v>Chat</x:v>
      </x:c>
      <x:c r="B503" s="22" t="str">
        <x:v>M-0056</x:v>
      </x:c>
      <x:c r="C503" s="29" t="n">
        <x:v>46215</x:v>
      </x:c>
      <x:c r="D503" s="32" t="str">
        <x:v>2026-07-12T10:25:53 · Gregory
Lloverá 24$</x:v>
      </x:c>
      <x:c r="E503" s="22" t="str">
        <x:v>Aviso de monto unido a ficha, sin nuevo cobro</x:v>
      </x:c>
      <x:c r="F503" s="22" t="str">
        <x:v>P-021</x:v>
      </x:c>
    </x:row>
    <x:row r="504" ht="70" customHeight="1">
      <x:c r="A504" s="22" t="str">
        <x:v>Chat</x:v>
      </x:c>
      <x:c r="B504" s="22" t="str">
        <x:v>M-0057</x:v>
      </x:c>
      <x:c r="C504" s="29" t="n">
        <x:v>46215</x:v>
      </x:c>
      <x:c r="D504" s="32" t="str">
        <x:v>2026-07-12T10:26:29 · Gregory
@Gregor Escalona porfa</x:v>
      </x:c>
      <x:c r="E504" s="22" t="str">
        <x:v>Conversación / sin asiento</x:v>
      </x:c>
      <x:c r="F504" s="22" t="str"/>
    </x:row>
    <x:row r="505" ht="70" customHeight="1">
      <x:c r="A505" s="22" t="str">
        <x:v>Chat</x:v>
      </x:c>
      <x:c r="B505" s="22" t="str">
        <x:v>M-0058</x:v>
      </x:c>
      <x:c r="C505" s="29" t="n">
        <x:v>46215</x:v>
      </x:c>
      <x:c r="D505" s="32" t="str">
        <x:v>2026-07-12T11:07:21 · Gregor Escalona
Voy</x:v>
      </x:c>
      <x:c r="E505" s="22" t="str">
        <x:v>Conversación / sin asiento</x:v>
      </x:c>
      <x:c r="F505" s="22" t="str"/>
    </x:row>
    <x:row r="506" ht="70" customHeight="1">
      <x:c r="A506" s="22" t="str">
        <x:v>Chat</x:v>
      </x:c>
      <x:c r="B506" s="22" t="str">
        <x:v>M-0059</x:v>
      </x:c>
      <x:c r="C506" s="29" t="n">
        <x:v>46215</x:v>
      </x:c>
      <x:c r="D506" s="32" t="str">
        <x:v>2026-07-12T11:11:53 · Gregor Escalona
Confirmado</x:v>
      </x:c>
      <x:c r="E506" s="22" t="str">
        <x:v>Conversación / sin asiento</x:v>
      </x:c>
      <x:c r="F506" s="22" t="str"/>
    </x:row>
    <x:row r="507" ht="70" customHeight="1">
      <x:c r="A507" s="22" t="str">
        <x:v>Chat</x:v>
      </x:c>
      <x:c r="B507" s="22" t="str">
        <x:v>M-0060</x:v>
      </x:c>
      <x:c r="C507" s="29" t="n">
        <x:v>46215</x:v>
      </x:c>
      <x:c r="D507" s="32" t="str">
        <x:v>2026-07-12T11:12:05 · Gregor Escalona
Confirmado</x:v>
      </x:c>
      <x:c r="E507" s="22" t="str">
        <x:v>Conversación / sin asiento</x:v>
      </x:c>
      <x:c r="F507" s="22" t="str"/>
    </x:row>
    <x:row r="508" ht="70" customHeight="1">
      <x:c r="A508" s="22" t="str">
        <x:v>Chat</x:v>
      </x:c>
      <x:c r="B508" s="22" t="str">
        <x:v>M-0061</x:v>
      </x:c>
      <x:c r="C508" s="29" t="n">
        <x:v>46215</x:v>
      </x:c>
      <x:c r="D508" s="32" t="str">
        <x:v>2026-07-12T11:12:16 · Gregor Escalona
Confirmado</x:v>
      </x:c>
      <x:c r="E508" s="22" t="str">
        <x:v>Conversación / sin asiento</x:v>
      </x:c>
      <x:c r="F508" s="22" t="str"/>
    </x:row>
    <x:row r="509" ht="70" customHeight="1">
      <x:c r="A509" s="22" t="str">
        <x:v>Chat</x:v>
      </x:c>
      <x:c r="B509" s="22" t="str">
        <x:v>M-0062</x:v>
      </x:c>
      <x:c r="C509" s="29" t="n">
        <x:v>46215</x:v>
      </x:c>
      <x:c r="D509" s="32" t="str">
        <x:v>2026-07-12T14:02:58 · Gregory
[Reenviado] &lt;imagen omitida&gt;</x:v>
      </x:c>
      <x:c r="E509" s="22" t="str">
        <x:v>Conversación / sin asiento</x:v>
      </x:c>
      <x:c r="F509" s="22" t="str"/>
    </x:row>
    <x:row r="510" ht="70" customHeight="1">
      <x:c r="A510" s="22" t="str">
        <x:v>Chat</x:v>
      </x:c>
      <x:c r="B510" s="22" t="str">
        <x:v>M-0063</x:v>
      </x:c>
      <x:c r="C510" s="29" t="n">
        <x:v>46215</x:v>
      </x:c>
      <x:c r="D510" s="32" t="str">
        <x:v>2026-07-12T14:02:58 · Gregory
15$ Norelvis</x:v>
      </x:c>
      <x:c r="E510" s="22" t="str">
        <x:v>Aviso de monto unido a ficha, sin nuevo cobro</x:v>
      </x:c>
      <x:c r="F510" s="22" t="str">
        <x:v>P-011</x:v>
      </x:c>
    </x:row>
    <x:row r="511" ht="70" customHeight="1">
      <x:c r="A511" s="22" t="str">
        <x:v>Chat</x:v>
      </x:c>
      <x:c r="B511" s="22" t="str">
        <x:v>M-0064</x:v>
      </x:c>
      <x:c r="C511" s="29" t="n">
        <x:v>46216</x:v>
      </x:c>
      <x:c r="D511" s="32" t="str">
        <x:v>2026-07-13T20:07:12 · Gregory
Pago
Cliente:lloverá
Metodo de pago:pm
Monto:17.000,00 24$
Fecha:12/7/2026
Producto:Eros men 
Cuota: 1/1 ✅</x:v>
      </x:c>
      <x:c r="E511" s="22" t="str">
        <x:v>Pago cruzado / deduplicado</x:v>
      </x:c>
      <x:c r="F511" s="22" t="str">
        <x:v>P-021</x:v>
      </x:c>
    </x:row>
    <x:row r="512" ht="70" customHeight="1">
      <x:c r="A512" s="22" t="str">
        <x:v>Chat</x:v>
      </x:c>
      <x:c r="B512" s="22" t="str">
        <x:v>M-0065</x:v>
      </x:c>
      <x:c r="C512" s="29" t="n">
        <x:v>46216</x:v>
      </x:c>
      <x:c r="D512" s="32" t="str">
        <x:v>2026-07-13T20:09:00 · Gregory
Pago
Cliente:Norelvis
Metodo de pago:pm
Monto:10.645,40
Fecha:12/7/2026
Producto:cloud 
Cuota: 2/2✅</x:v>
      </x:c>
      <x:c r="E512" s="22" t="str">
        <x:v>Pago cruzado / deduplicado</x:v>
      </x:c>
      <x:c r="F512" s="22" t="str">
        <x:v>P-011</x:v>
      </x:c>
    </x:row>
    <x:row r="513" ht="70" customHeight="1">
      <x:c r="A513" s="22" t="str">
        <x:v>Chat</x:v>
      </x:c>
      <x:c r="B513" s="22" t="str">
        <x:v>M-0066</x:v>
      </x:c>
      <x:c r="C513" s="29" t="n">
        <x:v>46218</x:v>
      </x:c>
      <x:c r="D513" s="32" t="str">
        <x:v>2026-07-15T15:42:17 · Gregory
[Reenviado] &lt;imagen omitida&gt;</x:v>
      </x:c>
      <x:c r="E513" s="22" t="str">
        <x:v>Conversación / sin asiento</x:v>
      </x:c>
      <x:c r="F513" s="22" t="str"/>
    </x:row>
    <x:row r="514" ht="70" customHeight="1">
      <x:c r="A514" s="22" t="str">
        <x:v>Chat</x:v>
      </x:c>
      <x:c r="B514" s="22" t="str">
        <x:v>M-0067</x:v>
      </x:c>
      <x:c r="C514" s="29" t="n">
        <x:v>46218</x:v>
      </x:c>
      <x:c r="D514" s="32" t="str">
        <x:v>2026-07-15T15:59:10 · Gregory
15$ Belisario</x:v>
      </x:c>
      <x:c r="E514" s="22" t="str">
        <x:v>Aviso de monto unido a ficha, sin nuevo cobro</x:v>
      </x:c>
      <x:c r="F514" s="22" t="str">
        <x:v>P-022</x:v>
      </x:c>
    </x:row>
    <x:row r="515" ht="70" customHeight="1">
      <x:c r="A515" s="22" t="str">
        <x:v>Chat</x:v>
      </x:c>
      <x:c r="B515" s="22" t="str">
        <x:v>M-0068</x:v>
      </x:c>
      <x:c r="C515" s="29" t="n">
        <x:v>46218</x:v>
      </x:c>
      <x:c r="D515" s="32" t="str">
        <x:v>2026-07-15T18:45:05 · Gregory
[Reenviado] &lt;imagen omitida&gt;</x:v>
      </x:c>
      <x:c r="E515" s="22" t="str">
        <x:v>Conversación / sin asiento</x:v>
      </x:c>
      <x:c r="F515" s="22" t="str"/>
    </x:row>
    <x:row r="516" ht="70" customHeight="1">
      <x:c r="A516" s="22" t="str">
        <x:v>Chat</x:v>
      </x:c>
      <x:c r="B516" s="22" t="str">
        <x:v>M-0069</x:v>
      </x:c>
      <x:c r="C516" s="29" t="n">
        <x:v>46218</x:v>
      </x:c>
      <x:c r="D516" s="32" t="str">
        <x:v>2026-07-15T18:45:05 · Gregory
Anderson 7$</x:v>
      </x:c>
      <x:c r="E516" s="22" t="str">
        <x:v>Aviso de monto unido a ficha, sin nuevo cobro</x:v>
      </x:c>
      <x:c r="F516" s="22" t="str">
        <x:v>P-013</x:v>
      </x:c>
    </x:row>
    <x:row r="517" ht="70" customHeight="1">
      <x:c r="A517" s="22" t="str">
        <x:v>Chat</x:v>
      </x:c>
      <x:c r="B517" s="22" t="str">
        <x:v>M-0070</x:v>
      </x:c>
      <x:c r="C517" s="29" t="n">
        <x:v>46219</x:v>
      </x:c>
      <x:c r="D517" s="32" t="str">
        <x:v>2026-07-16T19:41:43 · Gregory
Pago
Cliente:Belisario 
Metodo de pago:Pm
Monto:10.886,21
Fecha:15/7/2026
Producto:club de nuit 
Cuota:1/2</x:v>
      </x:c>
      <x:c r="E517" s="22" t="str">
        <x:v>Pago cruzado / deduplicado</x:v>
      </x:c>
      <x:c r="F517" s="22" t="str">
        <x:v>P-022</x:v>
      </x:c>
    </x:row>
    <x:row r="518" ht="70" customHeight="1">
      <x:c r="A518" s="22" t="str">
        <x:v>Chat</x:v>
      </x:c>
      <x:c r="B518" s="22" t="str">
        <x:v>M-0071</x:v>
      </x:c>
      <x:c r="C518" s="29" t="n">
        <x:v>46219</x:v>
      </x:c>
      <x:c r="D518" s="32" t="str">
        <x:v>2026-07-16T19:43:16 · Gregory
Pago
Cliente:Anderson 
Metodo de pago:Pm
Monto:5.100  7$
Fecha:15/7/2026
Producto:212 vip
Cuota: 2/3</x:v>
      </x:c>
      <x:c r="E518" s="22" t="str">
        <x:v>Pago cruzado / deduplicado</x:v>
      </x:c>
      <x:c r="F518" s="22" t="str">
        <x:v>P-013</x:v>
      </x:c>
    </x:row>
    <x:row r="519" ht="70" customHeight="1">
      <x:c r="A519" s="22" t="str">
        <x:v>Chat</x:v>
      </x:c>
      <x:c r="B519" s="22" t="str">
        <x:v>M-0072</x:v>
      </x:c>
      <x:c r="C519" s="29" t="n">
        <x:v>46219</x:v>
      </x:c>
      <x:c r="D519" s="32" t="str">
        <x:v>2026-07-16T21:30:50 · Gregory
[Reenviado] &lt;imagen omitida&gt;</x:v>
      </x:c>
      <x:c r="E519" s="22" t="str">
        <x:v>Conversación / sin asiento</x:v>
      </x:c>
      <x:c r="F519" s="22" t="str"/>
    </x:row>
    <x:row r="520" ht="70" customHeight="1">
      <x:c r="A520" s="22" t="str">
        <x:v>Chat</x:v>
      </x:c>
      <x:c r="B520" s="22" t="str">
        <x:v>M-0073</x:v>
      </x:c>
      <x:c r="C520" s="29" t="n">
        <x:v>46219</x:v>
      </x:c>
      <x:c r="D520" s="32" t="str">
        <x:v>2026-07-16T21:30:51 · Gregory
12$ Ricardo</x:v>
      </x:c>
      <x:c r="E520" s="22" t="str">
        <x:v>Aviso de monto unido a ficha, sin nuevo cobro</x:v>
      </x:c>
      <x:c r="F520" s="22" t="str">
        <x:v>P-008</x:v>
      </x:c>
    </x:row>
    <x:row r="521" ht="70" customHeight="1">
      <x:c r="A521" s="22" t="str">
        <x:v>Chat</x:v>
      </x:c>
      <x:c r="B521" s="22" t="str">
        <x:v>M-0074</x:v>
      </x:c>
      <x:c r="C521" s="29" t="n">
        <x:v>46220</x:v>
      </x:c>
      <x:c r="D521" s="32" t="str">
        <x:v>2026-07-17T04:41:59 · Gregory
[Reenviado] &lt;imagen omitida&gt;</x:v>
      </x:c>
      <x:c r="E521" s="22" t="str">
        <x:v>Conversación / sin asiento</x:v>
      </x:c>
      <x:c r="F521" s="22" t="str"/>
    </x:row>
    <x:row r="522" ht="70" customHeight="1">
      <x:c r="A522" s="22" t="str">
        <x:v>Chat</x:v>
      </x:c>
      <x:c r="B522" s="22" t="str">
        <x:v>M-0075</x:v>
      </x:c>
      <x:c r="C522" s="29" t="n">
        <x:v>46220</x:v>
      </x:c>
      <x:c r="D522" s="32" t="str">
        <x:v>2026-07-17T04:41:59 · Gregory
Fernanda 20$</x:v>
      </x:c>
      <x:c r="E522" s="22" t="str">
        <x:v>Aviso de monto unido a ficha, sin nuevo cobro</x:v>
      </x:c>
      <x:c r="F522" s="22" t="str">
        <x:v>P-023</x:v>
      </x:c>
    </x:row>
    <x:row r="523" ht="70" customHeight="1">
      <x:c r="A523" s="22" t="str">
        <x:v>Chat</x:v>
      </x:c>
      <x:c r="B523" s="22" t="str">
        <x:v>M-0076</x:v>
      </x:c>
      <x:c r="C523" s="29" t="n">
        <x:v>46220</x:v>
      </x:c>
      <x:c r="D523" s="32" t="str">
        <x:v>2026-07-17T23:55:24 · Gregory
15$ Cristhian</x:v>
      </x:c>
      <x:c r="E523" s="22" t="str">
        <x:v>Aviso de monto unido a ficha, sin nuevo cobro</x:v>
      </x:c>
      <x:c r="F523" s="22" t="str">
        <x:v>P-026</x:v>
      </x:c>
    </x:row>
    <x:row r="524" ht="70" customHeight="1">
      <x:c r="A524" s="22" t="str">
        <x:v>Chat</x:v>
      </x:c>
      <x:c r="B524" s="22" t="str">
        <x:v>M-0077</x:v>
      </x:c>
      <x:c r="C524" s="29" t="n">
        <x:v>46220</x:v>
      </x:c>
      <x:c r="D524" s="32" t="str">
        <x:v>2026-07-17T23:55:24 · Gregory
[Reenviado] &lt;imagen omitida&gt;</x:v>
      </x:c>
      <x:c r="E524" s="22" t="str">
        <x:v>Conversación / sin asiento</x:v>
      </x:c>
      <x:c r="F524" s="22" t="str"/>
    </x:row>
    <x:row r="525" ht="70" customHeight="1">
      <x:c r="A525" s="22" t="str">
        <x:v>Chat</x:v>
      </x:c>
      <x:c r="B525" s="22" t="str">
        <x:v>M-0078</x:v>
      </x:c>
      <x:c r="C525" s="29" t="n">
        <x:v>46221</x:v>
      </x:c>
      <x:c r="D525" s="32" t="str">
        <x:v>2026-07-18T05:46:34 · Gregory
Pago
Cliente:Ricardo
Metodo de pago:pm
Monto:8.730,00 12$
Fecha:16/7/2026
Producto:universe 
Cuota: 2/3</x:v>
      </x:c>
      <x:c r="E525" s="22" t="str">
        <x:v>Pago cruzado / deduplicado</x:v>
      </x:c>
      <x:c r="F525" s="22" t="str">
        <x:v>P-008</x:v>
      </x:c>
    </x:row>
    <x:row r="526" ht="70" customHeight="1">
      <x:c r="A526" s="22" t="str">
        <x:v>Chat</x:v>
      </x:c>
      <x:c r="B526" s="22" t="str">
        <x:v>M-0079</x:v>
      </x:c>
      <x:c r="C526" s="29" t="n">
        <x:v>46221</x:v>
      </x:c>
      <x:c r="D526" s="32" t="str">
        <x:v>2026-07-18T05:47:41 · Gregory
Pago
Cliente:Fernanda 
Metodo de pago:pm
Monto:14.549,02 20$
Fecha:16/7/2026
Producto:Yara Fem
Cuota:1/2</x:v>
      </x:c>
      <x:c r="E526" s="22" t="str">
        <x:v>Pago cruzado / deduplicado</x:v>
      </x:c>
      <x:c r="F526" s="22" t="str">
        <x:v>P-023</x:v>
      </x:c>
    </x:row>
    <x:row r="527" ht="70" customHeight="1">
      <x:c r="A527" s="22" t="str">
        <x:v>Chat</x:v>
      </x:c>
      <x:c r="B527" s="22" t="str">
        <x:v>M-0080</x:v>
      </x:c>
      <x:c r="C527" s="29" t="n">
        <x:v>46224</x:v>
      </x:c>
      <x:c r="D527" s="32" t="str">
        <x:v>2026-07-21T16:24:22 · Gregory
Pago
Cliente:Cristhian 
Metodo de pago:pm
Monto:10.987,18
Fecha:17/07/2026
Producto:Aqua Dubai
Cuota: 2/3 resta 4$</x:v>
      </x:c>
      <x:c r="E527" s="22" t="str">
        <x:v>Pago cruzado / deduplicado</x:v>
      </x:c>
      <x:c r="F527" s="22" t="str">
        <x:v>P-026</x:v>
      </x:c>
    </x:row>
    <x:row r="528" ht="70" customHeight="1">
      <x:c r="A528" s="22" t="str">
        <x:v>Chat</x:v>
      </x:c>
      <x:c r="B528" s="22" t="str">
        <x:v>M-0081</x:v>
      </x:c>
      <x:c r="C528" s="29" t="n">
        <x:v>46224</x:v>
      </x:c>
      <x:c r="D528" s="32" t="str">
        <x:v>2026-07-21T16:26:30 · Gregory
Venta
Cliente:Mirleidy 
Metodo de Pago:pm
Producto:360
Fecha:17/07/2026
Cuotas2
Inicial:0
12$ Precio por mayor</x:v>
      </x:c>
      <x:c r="E528" s="22" t="str">
        <x:v>Venta cruzada con Excel</x:v>
      </x:c>
      <x:c r="F528" s="22" t="str">
        <x:v>V-016</x:v>
      </x:c>
    </x:row>
    <x:row r="529" ht="70" customHeight="1">
      <x:c r="A529" s="22" t="str">
        <x:v>Chat</x:v>
      </x:c>
      <x:c r="B529" s="22" t="str">
        <x:v>M-0082</x:v>
      </x:c>
      <x:c r="C529" s="29" t="n">
        <x:v>46224</x:v>
      </x:c>
      <x:c r="D529" s="32" t="str">
        <x:v>2026-07-21T16:28:13 · Gregory
Venta
Cliente:Mirleidy 
Metodo de Pago:Binance 
Producto:Asad borbom
Fecha:17/07/2026
Cuotas 2
Inicial:0
16 precio por mayor</x:v>
      </x:c>
      <x:c r="E529" s="22" t="str">
        <x:v>Venta cruzada con Excel</x:v>
      </x:c>
      <x:c r="F529" s="22" t="str">
        <x:v>V-017</x:v>
      </x:c>
    </x:row>
    <x:row r="530" ht="70" customHeight="1">
      <x:c r="A530" s="22" t="str">
        <x:v>Chat</x:v>
      </x:c>
      <x:c r="B530" s="22" t="str">
        <x:v>M-0083</x:v>
      </x:c>
      <x:c r="C530" s="29" t="n">
        <x:v>46227</x:v>
      </x:c>
      <x:c r="D530" s="32" t="str">
        <x:v>2026-07-24T17:49:26 · Gregory
[Reenviado] &lt;imagen omitida&gt;</x:v>
      </x:c>
      <x:c r="E530" s="22" t="str">
        <x:v>Conversación / sin asiento</x:v>
      </x:c>
      <x:c r="F530" s="22" t="str"/>
    </x:row>
    <x:row r="531" ht="70" customHeight="1">
      <x:c r="A531" s="22" t="str">
        <x:v>Chat</x:v>
      </x:c>
      <x:c r="B531" s="22" t="str">
        <x:v>M-0084</x:v>
      </x:c>
      <x:c r="C531" s="29" t="n">
        <x:v>46227</x:v>
      </x:c>
      <x:c r="D531" s="32" t="str">
        <x:v>2026-07-24T17:49:26 · Gregory
4$ Cristhian</x:v>
      </x:c>
      <x:c r="E531" s="22" t="str">
        <x:v>Aviso de monto unido a ficha, sin nuevo cobro</x:v>
      </x:c>
      <x:c r="F531" s="22" t="str">
        <x:v>P-027</x:v>
      </x:c>
    </x:row>
    <x:row r="532" ht="70" customHeight="1">
      <x:c r="A532" s="22" t="str">
        <x:v>Chat</x:v>
      </x:c>
      <x:c r="B532" s="22" t="str">
        <x:v>M-0085</x:v>
      </x:c>
      <x:c r="C532" s="29" t="n">
        <x:v>46227</x:v>
      </x:c>
      <x:c r="D532" s="32" t="str">
        <x:v>2026-07-24T17:52:14 · Tú
Eliminaste este mensaje.</x:v>
      </x:c>
      <x:c r="E532" s="22" t="str">
        <x:v>Conversación / sin asiento</x:v>
      </x:c>
      <x:c r="F532" s="22" t="str"/>
    </x:row>
    <x:row r="533" ht="70" customHeight="1">
      <x:c r="A533" s="22" t="str">
        <x:v>Chat</x:v>
      </x:c>
      <x:c r="B533" s="22" t="str">
        <x:v>M-0086</x:v>
      </x:c>
      <x:c r="C533" s="29" t="n">
        <x:v>46227</x:v>
      </x:c>
      <x:c r="D533" s="32" t="str">
        <x:v>2026-07-24T17:52:35 · Tú
https://share.streamlit.io/-/auth/app?redirect_uri=https%3A%2F%2Fmarfil-theproject.streamlit.app%2F</x:v>
      </x:c>
      <x:c r="E533" s="22" t="str">
        <x:v>Conversación / sin asiento</x:v>
      </x:c>
      <x:c r="F533" s="22" t="str"/>
    </x:row>
    <x:row r="534" ht="70" customHeight="1">
      <x:c r="A534" s="22" t="str">
        <x:v>Chat</x:v>
      </x:c>
      <x:c r="B534" s="22" t="str">
        <x:v>M-0087</x:v>
      </x:c>
      <x:c r="C534" s="29" t="n">
        <x:v>46228</x:v>
      </x:c>
      <x:c r="D534" s="32" t="str">
        <x:v>2026-07-25T10:43:57 · Gregory
[Reenviado] &lt;imagen omitida&gt;</x:v>
      </x:c>
      <x:c r="E534" s="22" t="str">
        <x:v>Conversación / sin asiento</x:v>
      </x:c>
      <x:c r="F534" s="22" t="str"/>
    </x:row>
    <x:row r="535" ht="70" customHeight="1">
      <x:c r="A535" s="22" t="str">
        <x:v>Chat</x:v>
      </x:c>
      <x:c r="B535" s="22" t="str">
        <x:v>M-0088</x:v>
      </x:c>
      <x:c r="C535" s="29" t="n">
        <x:v>46228</x:v>
      </x:c>
      <x:c r="D535" s="32" t="str">
        <x:v>2026-07-25T10:43:57 · Gregory
Pago Marbella 10$</x:v>
      </x:c>
      <x:c r="E535" s="22" t="str">
        <x:v>Aviso de monto unido a ficha, sin nuevo cobro</x:v>
      </x:c>
      <x:c r="F535" s="22" t="str">
        <x:v>P-016</x:v>
      </x:c>
    </x:row>
    <x:row r="536" ht="70" customHeight="1">
      <x:c r="A536" s="22" t="str">
        <x:v>Chat</x:v>
      </x:c>
      <x:c r="B536" s="22" t="str">
        <x:v>M-0089</x:v>
      </x:c>
      <x:c r="C536" s="29" t="n">
        <x:v>46228</x:v>
      </x:c>
      <x:c r="D536" s="32" t="str">
        <x:v>2026-07-25T15:24:15 · Gregory
[Reenviado] &lt;imagen omitida&gt;</x:v>
      </x:c>
      <x:c r="E536" s="22" t="str">
        <x:v>Conversación / sin asiento</x:v>
      </x:c>
      <x:c r="F536" s="22" t="str"/>
    </x:row>
    <x:row r="537" ht="70" customHeight="1">
      <x:c r="A537" s="22" t="str">
        <x:v>Chat</x:v>
      </x:c>
      <x:c r="B537" s="22" t="str">
        <x:v>M-0090</x:v>
      </x:c>
      <x:c r="C537" s="29" t="n">
        <x:v>46228</x:v>
      </x:c>
      <x:c r="D537" s="32" t="str">
        <x:v>2026-07-25T15:24:15 · Gregory
15$ Polanco</x:v>
      </x:c>
      <x:c r="E537" s="22" t="str">
        <x:v>Aviso conservado sin duplicar cobro</x:v>
      </x:c>
      <x:c r="F537" s="22" t="str">
        <x:v>P-018</x:v>
      </x:c>
    </x:row>
    <x:row r="538" ht="70" customHeight="1">
      <x:c r="A538" s="22" t="str">
        <x:v>Chat</x:v>
      </x:c>
      <x:c r="B538" s="22" t="str">
        <x:v>M-0091</x:v>
      </x:c>
      <x:c r="C538" s="29" t="n">
        <x:v>46229</x:v>
      </x:c>
      <x:c r="D538" s="32" t="str">
        <x:v>2026-07-26T00:27:09 · Gregor Escalona
confirmado falta agregar a exel</x:v>
      </x:c>
      <x:c r="E538" s="22" t="str">
        <x:v>Conversación / sin asiento</x:v>
      </x:c>
      <x:c r="F538" s="22" t="str"/>
    </x:row>
    <x:row r="539" ht="70" customHeight="1">
      <x:c r="A539" s="22" t="str">
        <x:v>Chat</x:v>
      </x:c>
      <x:c r="B539" s="22" t="str">
        <x:v>M-0092</x:v>
      </x:c>
      <x:c r="C539" s="29" t="n">
        <x:v>46229</x:v>
      </x:c>
      <x:c r="D539" s="32" t="str">
        <x:v>2026-07-26T00:29:38 · Gregor Escalona
confirmado, falta agregar a exel</x:v>
      </x:c>
      <x:c r="E539" s="22" t="str">
        <x:v>Conversación / sin asiento</x:v>
      </x:c>
      <x:c r="F539" s="22" t="str"/>
    </x:row>
    <x:row r="540" ht="70" customHeight="1">
      <x:c r="A540" s="22" t="str">
        <x:v>Chat</x:v>
      </x:c>
      <x:c r="B540" s="22" t="str">
        <x:v>M-0093</x:v>
      </x:c>
      <x:c r="C540" s="29" t="n">
        <x:v>46229</x:v>
      </x:c>
      <x:c r="D540" s="32" t="str">
        <x:v>2026-07-26T00:31:06 · Gregor Escalona
confirmado, falta agregar al exel</x:v>
      </x:c>
      <x:c r="E540" s="22" t="str">
        <x:v>Conversación / sin asiento</x:v>
      </x:c>
      <x:c r="F540" s="22" t="str"/>
    </x:row>
    <x:row r="541" ht="70" customHeight="1">
      <x:c r="A541" s="22" t="str">
        <x:v>Chat</x:v>
      </x:c>
      <x:c r="B541" s="22" t="str">
        <x:v>M-0094</x:v>
      </x:c>
      <x:c r="C541" s="29" t="n">
        <x:v>46229</x:v>
      </x:c>
      <x:c r="D541" s="32" t="str">
        <x:v>2026-07-26T01:04:32 · Gregor Escalona
Falta agregar el exel</x:v>
      </x:c>
      <x:c r="E541" s="22" t="str">
        <x:v>Conversación / sin asiento</x:v>
      </x:c>
      <x:c r="F541" s="22" t="str"/>
    </x:row>
    <x:row r="542" ht="70" customHeight="1">
      <x:c r="A542" s="22" t="str">
        <x:v>Chat</x:v>
      </x:c>
      <x:c r="B542" s="22" t="str">
        <x:v>M-0095</x:v>
      </x:c>
      <x:c r="C542" s="29" t="n">
        <x:v>46229</x:v>
      </x:c>
      <x:c r="D542" s="32" t="str">
        <x:v>2026-07-26T01:05:11 · Gregor Escalona
Falta agregar el exel</x:v>
      </x:c>
      <x:c r="E542" s="22" t="str">
        <x:v>Conversación / sin asiento</x:v>
      </x:c>
      <x:c r="F542" s="22" t="str"/>
    </x:row>
    <x:row r="543" ht="70" customHeight="1">
      <x:c r="A543" s="22" t="str">
        <x:v>Chat</x:v>
      </x:c>
      <x:c r="B543" s="22" t="str">
        <x:v>M-0096</x:v>
      </x:c>
      <x:c r="C543" s="29" t="n">
        <x:v>46229</x:v>
      </x:c>
      <x:c r="D543" s="32" t="str">
        <x:v>2026-07-26T01:05:40 · Tú
Lo pueden añadir?</x:v>
      </x:c>
      <x:c r="E543" s="22" t="str">
        <x:v>Conversación / sin asiento</x:v>
      </x:c>
      <x:c r="F543" s="22" t="str"/>
    </x:row>
    <x:row r="544" ht="70" customHeight="1">
      <x:c r="A544" s="22" t="str">
        <x:v>Chat</x:v>
      </x:c>
      <x:c r="B544" s="22" t="str">
        <x:v>M-0097</x:v>
      </x:c>
      <x:c r="C544" s="29" t="n">
        <x:v>46229</x:v>
      </x:c>
      <x:c r="D544" s="32" t="str">
        <x:v>2026-07-26T01:05:46 · Tú
Que el lunes migró al sistema</x:v>
      </x:c>
      <x:c r="E544" s="22" t="str">
        <x:v>Conversación / sin asiento</x:v>
      </x:c>
      <x:c r="F544" s="22" t="str"/>
    </x:row>
    <x:row r="545" ht="70" customHeight="1">
      <x:c r="A545" s="22" t="str">
        <x:v>Chat</x:v>
      </x:c>
      <x:c r="B545" s="22" t="str">
        <x:v>M-0098</x:v>
      </x:c>
      <x:c r="C545" s="29" t="n">
        <x:v>46229</x:v>
      </x:c>
      <x:c r="D545" s="32" t="str">
        <x:v>2026-07-26T01:07:49 · Gregor Escalona
Falta agregar al exel</x:v>
      </x:c>
      <x:c r="E545" s="22" t="str">
        <x:v>Conversación / sin asiento</x:v>
      </x:c>
      <x:c r="F545" s="22" t="str"/>
    </x:row>
    <x:row r="546" ht="70" customHeight="1">
      <x:c r="A546" s="22" t="str">
        <x:v>Chat</x:v>
      </x:c>
      <x:c r="B546" s="22" t="str">
        <x:v>M-0099</x:v>
      </x:c>
      <x:c r="C546" s="29" t="n">
        <x:v>46229</x:v>
      </x:c>
      <x:c r="D546" s="32" t="str">
        <x:v>2026-07-26T01:07:58 · Gregor Escalona
Oka</x:v>
      </x:c>
      <x:c r="E546" s="22" t="str">
        <x:v>Conversación / sin asiento</x:v>
      </x:c>
      <x:c r="F546" s="22" t="str"/>
    </x:row>
    <x:row r="547" ht="70" customHeight="1">
      <x:c r="A547" s="22" t="str">
        <x:v>Chat</x:v>
      </x:c>
      <x:c r="B547" s="22" t="str">
        <x:v>M-0100</x:v>
      </x:c>
      <x:c r="C547" s="29" t="n">
        <x:v>46229</x:v>
      </x:c>
      <x:c r="D547" s="32" t="str">
        <x:v>2026-07-26T01:09:52 · Gregor Escalona
Falta agregar al exel</x:v>
      </x:c>
      <x:c r="E547" s="22" t="str">
        <x:v>Conversación / sin asiento</x:v>
      </x:c>
      <x:c r="F547" s="22" t="str"/>
    </x:row>
    <x:row r="548" ht="70" customHeight="1">
      <x:c r="A548" s="22" t="str">
        <x:v>Chat</x:v>
      </x:c>
      <x:c r="B548" s="22" t="str">
        <x:v>M-0101</x:v>
      </x:c>
      <x:c r="C548" s="29" t="n">
        <x:v>46229</x:v>
      </x:c>
      <x:c r="D548" s="32" t="str">
        <x:v>2026-07-26T01:10:11 · Gregor Escalona
Falta agregar al exel</x:v>
      </x:c>
      <x:c r="E548" s="22" t="str">
        <x:v>Conversación / sin asiento</x:v>
      </x:c>
      <x:c r="F548" s="22" t="str"/>
    </x:row>
    <x:row r="549" ht="70" customHeight="1">
      <x:c r="A549" s="22" t="str">
        <x:v>Chat</x:v>
      </x:c>
      <x:c r="B549" s="22" t="str">
        <x:v>M-0102</x:v>
      </x:c>
      <x:c r="C549" s="29" t="n">
        <x:v>46229</x:v>
      </x:c>
      <x:c r="D549" s="32" t="str">
        <x:v>2026-07-26T01:11:04 · Gregor Escalona
Falta agregar al exel</x:v>
      </x:c>
      <x:c r="E549" s="22" t="str">
        <x:v>Conversación / sin asiento</x:v>
      </x:c>
      <x:c r="F549" s="22" t="str"/>
    </x:row>
    <x:row r="550" ht="70" customHeight="1">
      <x:c r="A550" s="22" t="str">
        <x:v>Chat</x:v>
      </x:c>
      <x:c r="B550" s="22" t="str">
        <x:v>M-0103</x:v>
      </x:c>
      <x:c r="C550" s="29" t="n">
        <x:v>46229</x:v>
      </x:c>
      <x:c r="D550" s="32" t="str">
        <x:v>2026-07-26T01:13:11 · Gregor Escalona
Falta agregar al exel</x:v>
      </x:c>
      <x:c r="E550" s="22" t="str">
        <x:v>Conversación / sin asiento</x:v>
      </x:c>
      <x:c r="F550" s="22" t="str"/>
    </x:row>
    <x:row r="551" ht="70" customHeight="1">
      <x:c r="A551" s="22" t="str">
        <x:v>Chat</x:v>
      </x:c>
      <x:c r="B551" s="22" t="str">
        <x:v>M-0104</x:v>
      </x:c>
      <x:c r="C551" s="29" t="n">
        <x:v>46229</x:v>
      </x:c>
      <x:c r="D551" s="32" t="str">
        <x:v>2026-07-26T01:14:00 · Gregor Escalona
Falta agregar al exel</x:v>
      </x:c>
      <x:c r="E551" s="22" t="str">
        <x:v>Conversación / sin asiento</x:v>
      </x:c>
      <x:c r="F551" s="22" t="str"/>
    </x:row>
    <x:row r="552" ht="70" customHeight="1">
      <x:c r="A552" s="22" t="str">
        <x:v>Chat</x:v>
      </x:c>
      <x:c r="B552" s="22" t="str">
        <x:v>M-0105</x:v>
      </x:c>
      <x:c r="C552" s="29" t="n">
        <x:v>46229</x:v>
      </x:c>
      <x:c r="D552" s="32" t="str">
        <x:v>2026-07-26T01:15:18 · Gregor Escalona
Falta agregar al exel</x:v>
      </x:c>
      <x:c r="E552" s="22" t="str">
        <x:v>Conversación / sin asiento</x:v>
      </x:c>
      <x:c r="F552" s="22" t="str"/>
    </x:row>
    <x:row r="553" ht="70" customHeight="1">
      <x:c r="A553" s="22" t="str">
        <x:v>Chat</x:v>
      </x:c>
      <x:c r="B553" s="22" t="str">
        <x:v>M-0106</x:v>
      </x:c>
      <x:c r="C553" s="29" t="n">
        <x:v>46229</x:v>
      </x:c>
      <x:c r="D553" s="32" t="str">
        <x:v>2026-07-26T11:45:39 · Gregory
Pago
Cliente:Cristhian 
Metodo de pago:pm
Monto:2.951,53 4$
Fecha:24/07/2026
Producto:Aqua Dubai
Cuota: 3/3 ✅
Referencia:9686</x:v>
      </x:c>
      <x:c r="E553" s="22" t="str">
        <x:v>Pago cruzado / deduplicado</x:v>
      </x:c>
      <x:c r="F553" s="22" t="str">
        <x:v>P-027</x:v>
      </x:c>
    </x:row>
    <x:row r="554" ht="70" customHeight="1">
      <x:c r="A554" s="22" t="str">
        <x:v>Chat</x:v>
      </x:c>
      <x:c r="B554" s="22" t="str">
        <x:v>M-0107</x:v>
      </x:c>
      <x:c r="C554" s="29" t="n">
        <x:v>46229</x:v>
      </x:c>
      <x:c r="D554" s="32" t="str">
        <x:v>2026-07-26T11:47:23 · Gregory
Pago
Cliente:Marbella
Metodo de pago:PM
Monto:7.420,00 10$
Fecha:25/07/2026
Producto:Yara moi
Cuota:2/2 ✅
Referencia :6675</x:v>
      </x:c>
      <x:c r="E554" s="22" t="str">
        <x:v>Pago cruzado / deduplicado</x:v>
      </x:c>
      <x:c r="F554" s="22" t="str">
        <x:v>P-016</x:v>
      </x:c>
    </x:row>
    <x:row r="555" ht="70" customHeight="1">
      <x:c r="A555" s="22" t="str">
        <x:v>Chat</x:v>
      </x:c>
      <x:c r="B555" s="22" t="str">
        <x:v>M-0108</x:v>
      </x:c>
      <x:c r="C555" s="29" t="n">
        <x:v>46229</x:v>
      </x:c>
      <x:c r="D555" s="32" t="str">
        <x:v>2026-07-26T11:49:13 · Gregory
Pago
Cliente:Polanco 
Metodo de pago:Pm
Monto:11.068,22 15$
Fecha:25/07/2026
Producto:club de nuit
Cuota: 2/2✅
Referencia :2736</x:v>
      </x:c>
      <x:c r="E555" s="22" t="str">
        <x:v>Pago cruzado / deduplicado</x:v>
      </x:c>
      <x:c r="F555" s="22" t="str">
        <x:v>P-018</x:v>
      </x:c>
    </x:row>
    <x:row r="556" ht="70" customHeight="1">
      <x:c r="A556" s="22" t="str">
        <x:v>Chat</x:v>
      </x:c>
      <x:c r="B556" s="22" t="str">
        <x:v>M-0109</x:v>
      </x:c>
      <x:c r="C556" s="29" t="n">
        <x:v>46231</x:v>
      </x:c>
      <x:c r="D556" s="32" t="str">
        <x:v>2026-07-28T18:21:01 · Gregor Escalona
Venta
Cliente: Leandro 
Metodo de Pago: bcv 
Producto: Jean paul 
Fecha: 28/07/2023
Cuotas 2
Inicial: 0
Precio: 33$</x:v>
      </x:c>
      <x:c r="E556" s="22" t="str">
        <x:v>Venta nueva del chat</x:v>
      </x:c>
      <x:c r="F556" s="22" t="str">
        <x:v>V-063</x:v>
      </x:c>
    </x:row>
    <x:row r="557" ht="70" customHeight="1">
      <x:c r="A557" s="22" t="str">
        <x:v>Chat</x:v>
      </x:c>
      <x:c r="B557" s="22" t="str">
        <x:v>M-0110</x:v>
      </x:c>
      <x:c r="C557" s="29" t="n">
        <x:v>46231</x:v>
      </x:c>
      <x:c r="D557" s="32" t="str">
        <x:v>2026-07-28T18:44:47 · Gregory
[Reenviado] &lt;imagen omitida&gt;</x:v>
      </x:c>
      <x:c r="E557" s="22" t="str">
        <x:v>Conversación / sin asiento</x:v>
      </x:c>
      <x:c r="F557" s="22" t="str"/>
    </x:row>
    <x:row r="558" ht="70" customHeight="1">
      <x:c r="A558" s="22" t="str">
        <x:v>Chat</x:v>
      </x:c>
      <x:c r="B558" s="22" t="str">
        <x:v>M-0111</x:v>
      </x:c>
      <x:c r="C558" s="29" t="n">
        <x:v>46231</x:v>
      </x:c>
      <x:c r="D558" s="32" t="str">
        <x:v>2026-07-28T18:44:47 · Gregory
12 $Polanco</x:v>
      </x:c>
      <x:c r="E558" s="22" t="str">
        <x:v>Aviso de monto unido a ficha, sin nuevo cobro</x:v>
      </x:c>
      <x:c r="F558" s="22" t="str">
        <x:v>P-029</x:v>
      </x:c>
    </x:row>
    <x:row r="559" ht="70" customHeight="1">
      <x:c r="A559" s="22" t="str">
        <x:v>Chat</x:v>
      </x:c>
      <x:c r="B559" s="22" t="str">
        <x:v>M-0112</x:v>
      </x:c>
      <x:c r="C559" s="29" t="n">
        <x:v>46231</x:v>
      </x:c>
      <x:c r="D559" s="32" t="str">
        <x:v>2026-07-28T19:33:04 · Gregory
[Reenviado] &lt;imagen omitida&gt;</x:v>
      </x:c>
      <x:c r="E559" s="22" t="str">
        <x:v>Conversación / sin asiento</x:v>
      </x:c>
      <x:c r="F559" s="22" t="str"/>
    </x:row>
    <x:row r="560" ht="70" customHeight="1">
      <x:c r="A560" s="22" t="str">
        <x:v>Chat</x:v>
      </x:c>
      <x:c r="B560" s="22" t="str">
        <x:v>M-0113</x:v>
      </x:c>
      <x:c r="C560" s="29" t="n">
        <x:v>46231</x:v>
      </x:c>
      <x:c r="D560" s="32" t="str">
        <x:v>2026-07-28T19:33:04 · Gregory
8$ Anderson</x:v>
      </x:c>
      <x:c r="E560" s="22" t="str">
        <x:v>Aviso de monto unido a ficha, sin nuevo cobro</x:v>
      </x:c>
      <x:c r="F560" s="22" t="str">
        <x:v>P-014</x:v>
      </x:c>
    </x:row>
    <x:row r="561" ht="70" customHeight="1">
      <x:c r="A561" s="22" t="str">
        <x:v>Chat</x:v>
      </x:c>
      <x:c r="B561" s="22" t="str">
        <x:v>M-0114</x:v>
      </x:c>
      <x:c r="C561" s="29" t="n">
        <x:v>46232</x:v>
      </x:c>
      <x:c r="D561" s="32" t="str">
        <x:v>2026-07-29T02:55:33 · Gregory
[Reenviado] &lt;imagen omitida&gt;</x:v>
      </x:c>
      <x:c r="E561" s="22" t="str">
        <x:v>Conversación / sin asiento</x:v>
      </x:c>
      <x:c r="F561" s="22" t="str"/>
    </x:row>
    <x:row r="562" ht="70" customHeight="1">
      <x:c r="A562" s="22" t="str">
        <x:v>Chat</x:v>
      </x:c>
      <x:c r="B562" s="22" t="str">
        <x:v>M-0115</x:v>
      </x:c>
      <x:c r="C562" s="29" t="n">
        <x:v>46232</x:v>
      </x:c>
      <x:c r="D562" s="32" t="str">
        <x:v>2026-07-29T02:55:33 · Gregory
&lt;Mensaje de unknown&gt;</x:v>
      </x:c>
      <x:c r="E562" s="22" t="str">
        <x:v>Conversación / sin asiento</x:v>
      </x:c>
      <x:c r="F562" s="22" t="str"/>
    </x:row>
    <x:row r="563" ht="70" customHeight="1">
      <x:c r="A563" s="22" t="str">
        <x:v>Chat</x:v>
      </x:c>
      <x:c r="B563" s="22" t="str">
        <x:v>M-0116</x:v>
      </x:c>
      <x:c r="C563" s="29" t="n">
        <x:v>46232</x:v>
      </x:c>
      <x:c r="D563" s="32" t="str">
        <x:v>2026-07-29T02:55:34 · Gregory
Compra tommy 11$</x:v>
      </x:c>
      <x:c r="E563" s="22" t="str">
        <x:v>Conversación / sin asiento</x:v>
      </x:c>
      <x:c r="F563" s="22" t="str"/>
    </x:row>
    <x:row r="564" ht="70" customHeight="1">
      <x:c r="A564" s="22" t="str">
        <x:v>Chat</x:v>
      </x:c>
      <x:c r="B564" s="22" t="str">
        <x:v>M-0117</x:v>
      </x:c>
      <x:c r="C564" s="29" t="n">
        <x:v>46232</x:v>
      </x:c>
      <x:c r="D564" s="32" t="str">
        <x:v>2026-07-29T09:26:00 · Gregor Escalona
confirmado</x:v>
      </x:c>
      <x:c r="E564" s="22" t="str">
        <x:v>Conversación / sin asiento</x:v>
      </x:c>
      <x:c r="F564" s="22" t="str"/>
    </x:row>
    <x:row r="565" ht="70" customHeight="1">
      <x:c r="A565" s="22" t="str">
        <x:v>Chat</x:v>
      </x:c>
      <x:c r="B565" s="22" t="str">
        <x:v>M-0118</x:v>
      </x:c>
      <x:c r="C565" s="29" t="n">
        <x:v>46232</x:v>
      </x:c>
      <x:c r="D565" s="32" t="str">
        <x:v>2026-07-29T09:26:28 · Gregor Escalona
confirmado</x:v>
      </x:c>
      <x:c r="E565" s="22" t="str">
        <x:v>Conversación / sin asiento</x:v>
      </x:c>
      <x:c r="F565" s="22" t="str"/>
    </x:row>
    <x:row r="566" ht="70" customHeight="1">
      <x:c r="A566" s="22" t="str">
        <x:v>Chat</x:v>
      </x:c>
      <x:c r="B566" s="22" t="str">
        <x:v>M-0119</x:v>
      </x:c>
      <x:c r="C566" s="29" t="n">
        <x:v>46232</x:v>
      </x:c>
      <x:c r="D566" s="32" t="str">
        <x:v>2026-07-29T17:10:11 · Gregory
Venta
Cliente:Polanco 
Metodo de Pago:pm
Producto:Tommy
Fecha:28/07/2026
Cuotas 2
Inicial:12$ 
Costo 11usdt precio 24bcv</x:v>
      </x:c>
      <x:c r="E566" s="22" t="str">
        <x:v>Venta cruzada con Excel</x:v>
      </x:c>
      <x:c r="F566" s="22" t="str">
        <x:v>V-018</x:v>
      </x:c>
    </x:row>
    <x:row r="567" ht="70" customHeight="1">
      <x:c r="A567" s="22" t="str">
        <x:v>Chat</x:v>
      </x:c>
      <x:c r="B567" s="22" t="str">
        <x:v>M-0120</x:v>
      </x:c>
      <x:c r="C567" s="29" t="n">
        <x:v>46232</x:v>
      </x:c>
      <x:c r="D567" s="32" t="str">
        <x:v>2026-07-29T17:10:51 · Gregory
Venta
Cliente:Belisario 
Metodo de Pago:pm
Producto:bad boy 
Fecha:29/07/2026
Cuotas 2
Inicial:0</x:v>
      </x:c>
      <x:c r="E567" s="22" t="str">
        <x:v>Venta cruzada con Excel</x:v>
      </x:c>
      <x:c r="F567" s="22" t="str">
        <x:v>V-019</x:v>
      </x:c>
    </x:row>
    <x:row r="568" ht="70" customHeight="1">
      <x:c r="A568" s="22" t="str">
        <x:v>Chat</x:v>
      </x:c>
      <x:c r="B568" s="22" t="str">
        <x:v>M-0121</x:v>
      </x:c>
      <x:c r="C568" s="29" t="n">
        <x:v>46232</x:v>
      </x:c>
      <x:c r="D568" s="32" t="str">
        <x:v>2026-07-29T17:13:58 · Gregory
Pago
Cliente:Anderson 
Metodo de pago:pm
Monto:5.910.00 8$
Fecha:29/07/2026
Producto:212 vip
Cuota: 3/3 ✅
Referencia :5001</x:v>
      </x:c>
      <x:c r="E568" s="22" t="str">
        <x:v>Pago cruzado / deduplicado</x:v>
      </x:c>
      <x:c r="F568" s="22" t="str">
        <x:v>P-014</x:v>
      </x:c>
    </x:row>
    <x:row r="569" ht="70" customHeight="1">
      <x:c r="A569" s="22" t="str">
        <x:v>Chat</x:v>
      </x:c>
      <x:c r="B569" s="22" t="str">
        <x:v>M-0122</x:v>
      </x:c>
      <x:c r="C569" s="29" t="n">
        <x:v>46232</x:v>
      </x:c>
      <x:c r="D569" s="32" t="str">
        <x:v>2026-07-29T17:16:26 · Gregory
Pago
Cliente:Polanco 
Metodo de pago:pm
Monto:8.854,48
Fecha:28/07/2026
Producto:Tommy
Cuota: 1/2
Referencia :1826</x:v>
      </x:c>
      <x:c r="E569" s="22" t="str">
        <x:v>Pago cruzado / deduplicado</x:v>
      </x:c>
      <x:c r="F569" s="22" t="str">
        <x:v>P-029</x:v>
      </x:c>
    </x:row>
    <x:row r="570" ht="70" customHeight="1">
      <x:c r="A570" s="22" t="str">
        <x:v>Chat</x:v>
      </x:c>
      <x:c r="B570" s="22" t="str">
        <x:v>M-0123</x:v>
      </x:c>
      <x:c r="C570" s="29" t="n">
        <x:v>46232</x:v>
      </x:c>
      <x:c r="D570" s="32" t="str">
        <x:v>2026-07-29T17:17:38 · Gregory
Gasto 9.50$ en producto (tommy ) Gregor 
Pago publicidad</x:v>
      </x:c>
      <x:c r="E570" s="22" t="str">
        <x:v>Conversación / sin asiento</x:v>
      </x:c>
      <x:c r="F570" s="22" t="str"/>
    </x:row>
    <x:row r="571" ht="70" customHeight="1">
      <x:c r="A571" s="22" t="str">
        <x:v>Chat</x:v>
      </x:c>
      <x:c r="B571" s="22" t="str">
        <x:v>M-0124</x:v>
      </x:c>
      <x:c r="C571" s="29" t="n">
        <x:v>46232</x:v>
      </x:c>
      <x:c r="D571" s="32" t="str">
        <x:v>2026-07-29T17:18:09 · Gregory
Se descuenta</x:v>
      </x:c>
      <x:c r="E571" s="22" t="str">
        <x:v>Conversación / sin asiento</x:v>
      </x:c>
      <x:c r="F571" s="22" t="str"/>
    </x:row>
    <x:row r="572" ht="70" customHeight="1">
      <x:c r="A572" s="22" t="str">
        <x:v>Chat</x:v>
      </x:c>
      <x:c r="B572" s="22" t="str">
        <x:v>M-0125</x:v>
      </x:c>
      <x:c r="C572" s="29" t="n">
        <x:v>46233</x:v>
      </x:c>
      <x:c r="D572" s="32" t="str">
        <x:v>2026-07-30T16:40:09 · Gregory
Venta
Cliente:Anderson 
Metodo de Pago:pm
Producto:acqua di gio 
Fecha:30/07/2026
Cuotas 3/3
Inicial:0</x:v>
      </x:c>
      <x:c r="E572" s="22" t="str">
        <x:v>Venta cruzada con Excel</x:v>
      </x:c>
      <x:c r="F572" s="22" t="str">
        <x:v>V-020</x:v>
      </x:c>
    </x:row>
    <x:row r="573" ht="70" customHeight="1">
      <x:c r="A573" s="22" t="str">
        <x:v>Chat</x:v>
      </x:c>
      <x:c r="B573" s="22" t="str">
        <x:v>M-0126</x:v>
      </x:c>
      <x:c r="C573" s="29" t="n">
        <x:v>46236</x:v>
      </x:c>
      <x:c r="D573" s="32" t="str">
        <x:v>2026-08-02T04:25:22 · Gregory
[Reenviado] &lt;imagen omitida&gt; 7366</x:v>
      </x:c>
      <x:c r="E573" s="22" t="str">
        <x:v>Conversación / sin asiento</x:v>
      </x:c>
      <x:c r="F573" s="22" t="str"/>
    </x:row>
    <x:row r="574" ht="70" customHeight="1">
      <x:c r="A574" s="22" t="str">
        <x:v>Chat</x:v>
      </x:c>
      <x:c r="B574" s="22" t="str">
        <x:v>M-0127</x:v>
      </x:c>
      <x:c r="C574" s="29" t="n">
        <x:v>46236</x:v>
      </x:c>
      <x:c r="D574" s="32" t="str">
        <x:v>2026-08-02T04:25:29 · Gregory
Angel 21$</x:v>
      </x:c>
      <x:c r="E574" s="22" t="str">
        <x:v>Aviso de monto unido a ficha, sin nuevo cobro</x:v>
      </x:c>
      <x:c r="F574" s="22" t="str">
        <x:v>P-006</x:v>
      </x:c>
    </x:row>
    <x:row r="575" ht="70" customHeight="1">
      <x:c r="A575" s="22" t="str">
        <x:v>Chat</x:v>
      </x:c>
      <x:c r="B575" s="22" t="str">
        <x:v>M-0128</x:v>
      </x:c>
      <x:c r="C575" s="29" t="n">
        <x:v>46236</x:v>
      </x:c>
      <x:c r="D575" s="32" t="str">
        <x:v>2026-08-02T05:23:36 · Gregory
Venta
Cliente:adolfito 
Metodo de Pago:pm
Producto:scandal
Fecha:1/08/2026
Cuotas 3
Inicial:0</x:v>
      </x:c>
      <x:c r="E575" s="22" t="str">
        <x:v>Venta cruzada con Excel</x:v>
      </x:c>
      <x:c r="F575" s="22" t="str">
        <x:v>V-021</x:v>
      </x:c>
    </x:row>
    <x:row r="576" ht="70" customHeight="1">
      <x:c r="A576" s="22" t="str">
        <x:v>Chat</x:v>
      </x:c>
      <x:c r="B576" s="22" t="str">
        <x:v>M-0129</x:v>
      </x:c>
      <x:c r="C576" s="29" t="n">
        <x:v>46236</x:v>
      </x:c>
      <x:c r="D576" s="32" t="str">
        <x:v>2026-08-02T05:24:07 · Gregory
Venta
Cliente:Rafael 
Metodo de Pago:pm 
Producto:invictus 
Fecha:1/08/2026
Cuotas 3
Inicial:0</x:v>
      </x:c>
      <x:c r="E576" s="22" t="str">
        <x:v>Venta cruzada con Excel</x:v>
      </x:c>
      <x:c r="F576" s="22" t="str">
        <x:v>V-022</x:v>
      </x:c>
    </x:row>
    <x:row r="577" ht="70" customHeight="1">
      <x:c r="A577" s="22" t="str">
        <x:v>Chat</x:v>
      </x:c>
      <x:c r="B577" s="22" t="str">
        <x:v>M-0130</x:v>
      </x:c>
      <x:c r="C577" s="29" t="n">
        <x:v>46236</x:v>
      </x:c>
      <x:c r="D577" s="32" t="str">
        <x:v>2026-08-02T05:25:32 · Gregory
Pago
Cliente:ángel 
Metodo de pago:pm
Monto:15.679,22
Fecha:01/08/2026
Producto:bahara king
Cuota: 2/2✅
Referencia :7366</x:v>
      </x:c>
      <x:c r="E577" s="22" t="str">
        <x:v>Pago cruzado / deduplicado</x:v>
      </x:c>
      <x:c r="F577" s="22" t="str">
        <x:v>P-006</x:v>
      </x:c>
    </x:row>
    <x:row r="578" ht="70" customHeight="1">
      <x:c r="A578" s="22" t="str">
        <x:v>Chat</x:v>
      </x:c>
      <x:c r="B578" s="22" t="str">
        <x:v>M-0131</x:v>
      </x:c>
      <x:c r="C578" s="29" t="n">
        <x:v>46236</x:v>
      </x:c>
      <x:c r="D578" s="32" t="str">
        <x:v>2026-08-02T11:18:06 · Gregory
[Reenviado] &lt;imagen omitida&gt;</x:v>
      </x:c>
      <x:c r="E578" s="22" t="str">
        <x:v>Conversación / sin asiento</x:v>
      </x:c>
      <x:c r="F578" s="22" t="str"/>
    </x:row>
    <x:row r="579" ht="70" customHeight="1">
      <x:c r="A579" s="22" t="str">
        <x:v>Chat</x:v>
      </x:c>
      <x:c r="B579" s="22" t="str">
        <x:v>M-0132</x:v>
      </x:c>
      <x:c r="C579" s="29" t="n">
        <x:v>46236</x:v>
      </x:c>
      <x:c r="D579" s="32" t="str">
        <x:v>2026-08-02T11:18:07 · Gregory
5$ Fernanda</x:v>
      </x:c>
      <x:c r="E579" s="22" t="str">
        <x:v>Aviso de monto unido a ficha, sin nuevo cobro</x:v>
      </x:c>
      <x:c r="F579" s="22" t="str">
        <x:v>P-024</x:v>
      </x:c>
    </x:row>
    <x:row r="580" ht="70" customHeight="1">
      <x:c r="A580" s="22" t="str">
        <x:v>Chat</x:v>
      </x:c>
      <x:c r="B580" s="22" t="str">
        <x:v>M-0133</x:v>
      </x:c>
      <x:c r="C580" s="29" t="n">
        <x:v>46236</x:v>
      </x:c>
      <x:c r="D580" s="32" t="str">
        <x:v>2026-08-02T12:34:52 · Gregory
[Reenviado] &lt;imagen omitida&gt;</x:v>
      </x:c>
      <x:c r="E580" s="22" t="str">
        <x:v>Conversación / sin asiento</x:v>
      </x:c>
      <x:c r="F580" s="22" t="str"/>
    </x:row>
    <x:row r="581" ht="70" customHeight="1">
      <x:c r="A581" s="22" t="str">
        <x:v>Chat</x:v>
      </x:c>
      <x:c r="B581" s="22" t="str">
        <x:v>M-0134</x:v>
      </x:c>
      <x:c r="C581" s="29" t="n">
        <x:v>46236</x:v>
      </x:c>
      <x:c r="D581" s="32" t="str">
        <x:v>2026-08-02T12:34:53 · Gregory
Polanco 15$</x:v>
      </x:c>
      <x:c r="E581" s="22" t="str">
        <x:v>Aviso de monto unido a ficha, sin nuevo cobro</x:v>
      </x:c>
      <x:c r="F581" s="22" t="str">
        <x:v>P-020</x:v>
      </x:c>
    </x:row>
    <x:row r="582" ht="70" customHeight="1">
      <x:c r="A582" s="22" t="str">
        <x:v>Chat</x:v>
      </x:c>
      <x:c r="B582" s="22" t="str">
        <x:v>M-0135</x:v>
      </x:c>
      <x:c r="C582" s="29" t="n">
        <x:v>46236</x:v>
      </x:c>
      <x:c r="D582" s="32" t="str">
        <x:v>2026-08-02T15:49:29 · Gregory
Pago
Cliente:Fernanda 
Metodo de pago:pm
Monto:3733,15 5$
Fecha:2/08/2026
Producto:Yara fem
Cuota: 2/3
Referencia</x:v>
      </x:c>
      <x:c r="E582" s="22" t="str">
        <x:v>Pago cruzado / deduplicado</x:v>
      </x:c>
      <x:c r="F582" s="22" t="str">
        <x:v>P-024</x:v>
      </x:c>
    </x:row>
    <x:row r="583" ht="70" customHeight="1">
      <x:c r="A583" s="22" t="str">
        <x:v>Chat</x:v>
      </x:c>
      <x:c r="B583" s="22" t="str">
        <x:v>M-0136</x:v>
      </x:c>
      <x:c r="C583" s="29" t="n">
        <x:v>46236</x:v>
      </x:c>
      <x:c r="D583" s="32" t="str">
        <x:v>2026-08-02T15:52:53 · Gregory
Pago
Cliente:Polanco
Metodo de pago:Pm
Monto:11.199,45
Fecha:2/08/2026
Producto:Honor y glory 
Cuota: 2/2 ✅
Referencia:2165</x:v>
      </x:c>
      <x:c r="E583" s="22" t="str">
        <x:v>Pago cruzado / deduplicado</x:v>
      </x:c>
      <x:c r="F583" s="22" t="str">
        <x:v>P-020</x:v>
      </x:c>
    </x:row>
    <x:row r="584" ht="70" customHeight="1">
      <x:c r="A584" s="22" t="str">
        <x:v>Chat</x:v>
      </x:c>
      <x:c r="B584" s="22" t="str">
        <x:v>M-0137</x:v>
      </x:c>
      <x:c r="C584" s="29" t="n">
        <x:v>46236</x:v>
      </x:c>
      <x:c r="D584" s="32" t="str">
        <x:v>2026-08-02T16:59:20 · Gregory
[Reenviado] &lt;imagen omitida&gt;</x:v>
      </x:c>
      <x:c r="E584" s="22" t="str">
        <x:v>Conversación / sin asiento</x:v>
      </x:c>
      <x:c r="F584" s="22" t="str"/>
    </x:row>
    <x:row r="585" ht="70" customHeight="1">
      <x:c r="A585" s="22" t="str">
        <x:v>Chat</x:v>
      </x:c>
      <x:c r="B585" s="22" t="str">
        <x:v>M-0138</x:v>
      </x:c>
      <x:c r="C585" s="29" t="n">
        <x:v>46236</x:v>
      </x:c>
      <x:c r="D585" s="32" t="str">
        <x:v>2026-08-02T16:59:20 · Gregory
Adolfito 11$</x:v>
      </x:c>
      <x:c r="E585" s="22" t="str">
        <x:v>Aviso de monto unido a ficha, sin nuevo cobro</x:v>
      </x:c>
      <x:c r="F585" s="22" t="str">
        <x:v>P-032</x:v>
      </x:c>
    </x:row>
    <x:row r="586" ht="70" customHeight="1">
      <x:c r="A586" s="22" t="str">
        <x:v>Chat</x:v>
      </x:c>
      <x:c r="B586" s="22" t="str">
        <x:v>M-0139</x:v>
      </x:c>
      <x:c r="C586" s="29" t="n">
        <x:v>46236</x:v>
      </x:c>
      <x:c r="D586" s="32" t="str">
        <x:v>2026-08-02T20:26:59 · Gregory
[Reenviado] &lt;imagen omitida&gt;</x:v>
      </x:c>
      <x:c r="E586" s="22" t="str">
        <x:v>Conversación / sin asiento</x:v>
      </x:c>
      <x:c r="F586" s="22" t="str"/>
    </x:row>
    <x:row r="587" ht="70" customHeight="1">
      <x:c r="A587" s="22" t="str">
        <x:v>Chat</x:v>
      </x:c>
      <x:c r="B587" s="22" t="str">
        <x:v>M-0140</x:v>
      </x:c>
      <x:c r="C587" s="29" t="n">
        <x:v>46236</x:v>
      </x:c>
      <x:c r="D587" s="32" t="str">
        <x:v>2026-08-02T20:27:01 · Gregory
7$ Rafael</x:v>
      </x:c>
      <x:c r="E587" s="22" t="str">
        <x:v>Aviso de monto unido a ficha, sin nuevo cobro</x:v>
      </x:c>
      <x:c r="F587" s="22" t="str">
        <x:v>P-033</x:v>
      </x:c>
    </x:row>
    <x:row r="588" ht="70" customHeight="1">
      <x:c r="A588" s="22" t="str">
        <x:v>Chat</x:v>
      </x:c>
      <x:c r="B588" s="22" t="str">
        <x:v>M-0141</x:v>
      </x:c>
      <x:c r="C588" s="29" t="n">
        <x:v>46236</x:v>
      </x:c>
      <x:c r="D588" s="32" t="str">
        <x:v>2026-08-02T23:39:07 · Gregory
Pago
Cliente:Mirleidy 
Metodo de pago:efectivo 
Monto:12$ M
Fecha:2/08/2026
Producto:360 
Cuota:1✅</x:v>
      </x:c>
      <x:c r="E588" s="22" t="str">
        <x:v>Pago nuevo</x:v>
      </x:c>
      <x:c r="F588" s="22" t="str">
        <x:v>P-037</x:v>
      </x:c>
    </x:row>
    <x:row r="589" ht="70" customHeight="1">
      <x:c r="A589" s="22" t="str">
        <x:v>Chat</x:v>
      </x:c>
      <x:c r="B589" s="22" t="str">
        <x:v>M-0142</x:v>
      </x:c>
      <x:c r="C589" s="29" t="n">
        <x:v>46236</x:v>
      </x:c>
      <x:c r="D589" s="32" t="str">
        <x:v>2026-08-02T23:41:27 · Gregory
Pago
Cliente:Mirleidy 
Metodo de pago:efectivo 
Monto:16$ M
Fecha:02/08/2026
Producto:Asad borbom
Cuota:1✅</x:v>
      </x:c>
      <x:c r="E589" s="22" t="str">
        <x:v>Pago nuevo</x:v>
      </x:c>
      <x:c r="F589" s="22" t="str">
        <x:v>P-038</x:v>
      </x:c>
    </x:row>
    <x:row r="590" ht="70" customHeight="1">
      <x:c r="A590" s="22" t="str">
        <x:v>Chat</x:v>
      </x:c>
      <x:c r="B590" s="22" t="str">
        <x:v>M-0143</x:v>
      </x:c>
      <x:c r="C590" s="29" t="n">
        <x:v>46236</x:v>
      </x:c>
      <x:c r="D590" s="32" t="str">
        <x:v>2026-08-02T23:43:37 · Gregory
Pago
Cliente:adolfito 
Metodo de pago:PM
Monto:8.212,93
Fecha:02/08/2026
Producto:scandal 
Cuota: 1/3
Referencia :1103</x:v>
      </x:c>
      <x:c r="E590" s="22" t="str">
        <x:v>Pago cruzado / deduplicado</x:v>
      </x:c>
      <x:c r="F590" s="22" t="str">
        <x:v>P-032</x:v>
      </x:c>
    </x:row>
    <x:row r="591" ht="70" customHeight="1">
      <x:c r="A591" s="22" t="str">
        <x:v>Chat</x:v>
      </x:c>
      <x:c r="B591" s="22" t="str">
        <x:v>M-0144</x:v>
      </x:c>
      <x:c r="C591" s="29" t="n">
        <x:v>46236</x:v>
      </x:c>
      <x:c r="D591" s="32" t="str">
        <x:v>2026-08-02T23:45:04 · Gregory
Pago
Cliente:Rafael 
Metodo de pago:pm
Monto:5.226,34
Fecha:2/08/2026
Producto:invictus
Cuota: 1/3 
Referencia : 0666</x:v>
      </x:c>
      <x:c r="E591" s="22" t="str">
        <x:v>Pago cruzado / deduplicado</x:v>
      </x:c>
      <x:c r="F591" s="22" t="str">
        <x:v>P-033</x:v>
      </x:c>
    </x:row>
    <x:row r="592" ht="70" customHeight="1">
      <x:c r="A592" s="22" t="str">
        <x:v>Chat</x:v>
      </x:c>
      <x:c r="B592" s="22" t="str">
        <x:v>M-0145</x:v>
      </x:c>
      <x:c r="C592" s="29" t="n">
        <x:v>46238</x:v>
      </x:c>
      <x:c r="D592" s="32" t="str">
        <x:v>2026-08-04T05:16:38 · Gregory
[Reenviado] &lt;imagen omitida&gt;</x:v>
      </x:c>
      <x:c r="E592" s="22" t="str">
        <x:v>Conversación / sin asiento</x:v>
      </x:c>
      <x:c r="F592" s="22" t="str"/>
    </x:row>
    <x:row r="593" ht="70" customHeight="1">
      <x:c r="A593" s="22" t="str">
        <x:v>Chat</x:v>
      </x:c>
      <x:c r="B593" s="22" t="str">
        <x:v>M-0146</x:v>
      </x:c>
      <x:c r="C593" s="29" t="n">
        <x:v>46238</x:v>
      </x:c>
      <x:c r="D593" s="32" t="str">
        <x:v>2026-08-04T05:16:39 · Gregory
Polanco 12$</x:v>
      </x:c>
      <x:c r="E593" s="22" t="str">
        <x:v>Aviso de monto unido a ficha, sin nuevo cobro</x:v>
      </x:c>
      <x:c r="F593" s="22" t="str">
        <x:v>P-030</x:v>
      </x:c>
    </x:row>
    <x:row r="594" ht="70" customHeight="1">
      <x:c r="A594" s="22" t="str">
        <x:v>Chat</x:v>
      </x:c>
      <x:c r="B594" s="22" t="str">
        <x:v>M-0147</x:v>
      </x:c>
      <x:c r="C594" s="29" t="n">
        <x:v>46239</x:v>
      </x:c>
      <x:c r="D594" s="32" t="str">
        <x:v>2026-08-05T16:20:07 · Gregory
[Reenviado] &lt;imagen omitida&gt;</x:v>
      </x:c>
      <x:c r="E594" s="22" t="str">
        <x:v>Conversación / sin asiento</x:v>
      </x:c>
      <x:c r="F594" s="22" t="str"/>
    </x:row>
    <x:row r="595" ht="70" customHeight="1">
      <x:c r="A595" s="22" t="str">
        <x:v>Chat</x:v>
      </x:c>
      <x:c r="B595" s="22" t="str">
        <x:v>M-0148</x:v>
      </x:c>
      <x:c r="C595" s="29" t="n">
        <x:v>46239</x:v>
      </x:c>
      <x:c r="D595" s="32" t="str">
        <x:v>2026-08-05T16:20:07 · Gregory
11$ Ricardo</x:v>
      </x:c>
      <x:c r="E595" s="22" t="str">
        <x:v>Aviso de monto unido a ficha, sin nuevo cobro</x:v>
      </x:c>
      <x:c r="F595" s="22" t="str">
        <x:v>P-009</x:v>
      </x:c>
    </x:row>
    <x:row r="596" ht="70" customHeight="1">
      <x:c r="A596" s="22" t="str">
        <x:v>Chat</x:v>
      </x:c>
      <x:c r="B596" s="22" t="str">
        <x:v>M-0149</x:v>
      </x:c>
      <x:c r="C596" s="29" t="n">
        <x:v>46239</x:v>
      </x:c>
      <x:c r="D596" s="32" t="str">
        <x:v>2026-08-05T17:02:35 · Gregory
Pago
Cliente:Polanco 
Metodo de pago:PM
Monto:8.985,44 12$
Fecha:3/8/2026
Producto:Tommy
Cuota: 2/2 ✅
Referencia :5170</x:v>
      </x:c>
      <x:c r="E596" s="22" t="str">
        <x:v>Pago cruzado / deduplicado</x:v>
      </x:c>
      <x:c r="F596" s="22" t="str">
        <x:v>P-030</x:v>
      </x:c>
    </x:row>
    <x:row r="597" ht="70" customHeight="1">
      <x:c r="A597" s="22" t="str">
        <x:v>Chat</x:v>
      </x:c>
      <x:c r="B597" s="22" t="str">
        <x:v>M-0150</x:v>
      </x:c>
      <x:c r="C597" s="29" t="n">
        <x:v>46239</x:v>
      </x:c>
      <x:c r="D597" s="32" t="str">
        <x:v>2026-08-05T17:04:17 · Gregory
Pago
Cliente:Polanco 
Metodo de pago:pm
Monto:8.307,00 11$
Fecha:05/08/2026
Producto:universe 
Cuota: 3/3✅
Referencia :0542</x:v>
      </x:c>
      <x:c r="E597" s="22" t="str">
        <x:v>Pago cruzado / deduplicado</x:v>
      </x:c>
      <x:c r="F597" s="22" t="str">
        <x:v>P-009</x:v>
      </x:c>
    </x:row>
    <x:row r="598" ht="70" customHeight="1">
      <x:c r="A598" s="22" t="str">
        <x:v>Chat</x:v>
      </x:c>
      <x:c r="B598" s="22" t="str">
        <x:v>M-0151</x:v>
      </x:c>
      <x:c r="C598" s="29" t="n">
        <x:v>46243</x:v>
      </x:c>
      <x:c r="D598" s="32" t="str">
        <x:v>2026-08-09T07:43:33 · Gregory
&lt;imagen omitida&gt;</x:v>
      </x:c>
      <x:c r="E598" s="22" t="str">
        <x:v>Conversación / sin asiento</x:v>
      </x:c>
      <x:c r="F598" s="22" t="str"/>
    </x:row>
    <x:row r="599" ht="70" customHeight="1">
      <x:c r="A599" s="22" t="str">
        <x:v>Chat</x:v>
      </x:c>
      <x:c r="B599" s="22" t="str">
        <x:v>M-0152</x:v>
      </x:c>
      <x:c r="C599" s="29" t="n">
        <x:v>46243</x:v>
      </x:c>
      <x:c r="D599" s="32" t="str">
        <x:v>2026-08-09T07:45:30 · Gregory
Ingreso de mercancía día 8/08/2026 precio gran mayor , 14 perfumes , 1 de Hidelberg , 1 de Gregor , costo 176 en divisas</x:v>
      </x:c>
      <x:c r="E599" s="22" t="str">
        <x:v>Conversación / sin asiento</x:v>
      </x:c>
      <x:c r="F599" s="22" t="str"/>
    </x:row>
    <x:row r="600" ht="70" customHeight="1">
      <x:c r="A600" s="22" t="str">
        <x:v>Chat</x:v>
      </x:c>
      <x:c r="B600" s="22" t="str">
        <x:v>M-0153</x:v>
      </x:c>
      <x:c r="C600" s="29" t="n">
        <x:v>46243</x:v>
      </x:c>
      <x:c r="D600" s="32" t="str">
        <x:v>2026-08-09T07:54:12 · Gregory
Venta
Cliente:Ricardo 
Metodo de Pago:Pm
Producto:aqua di gio
Fecha:8/08/2026
Cuotas2
Inicial:0
Costo 12usdt venta 24 bcv</x:v>
      </x:c>
      <x:c r="E600" s="22" t="str">
        <x:v>Venta cruzada con Excel</x:v>
      </x:c>
      <x:c r="F600" s="22" t="str">
        <x:v>V-023</x:v>
      </x:c>
    </x:row>
    <x:row r="601" ht="70" customHeight="1">
      <x:c r="A601" s="22" t="str">
        <x:v>Chat</x:v>
      </x:c>
      <x:c r="B601" s="22" t="str">
        <x:v>M-0154</x:v>
      </x:c>
      <x:c r="C601" s="29" t="n">
        <x:v>46243</x:v>
      </x:c>
      <x:c r="D601" s="32" t="str">
        <x:v>2026-08-09T07:55:11 · Gregory
Venta
Cliente:melany
Metodo de Pago:pm
Producto:cloud 
Fecha:8/8/2026
Cuotas 2
Inicial:0
Costo 12usdt venta 24bcv</x:v>
      </x:c>
      <x:c r="E601" s="22" t="str">
        <x:v>Venta cruzada con Excel</x:v>
      </x:c>
      <x:c r="F601" s="22" t="str">
        <x:v>V-024</x:v>
      </x:c>
    </x:row>
    <x:row r="602" ht="70" customHeight="1">
      <x:c r="A602" s="22" t="str">
        <x:v>Chat</x:v>
      </x:c>
      <x:c r="B602" s="22" t="str">
        <x:v>M-0155</x:v>
      </x:c>
      <x:c r="C602" s="29" t="n">
        <x:v>46243</x:v>
      </x:c>
      <x:c r="D602" s="32" t="str">
        <x:v>2026-08-09T07:56:41 · Gregory
Venta
Cliente:Gregor 
Metodo de Pago:Binance 
Producto:bharara blue 
Fecha:8/8/2026
Cuotas 2
Inicial:0
18 precio gran mayor</x:v>
      </x:c>
      <x:c r="E602" s="22" t="str">
        <x:v>Venta cruzada con Excel</x:v>
      </x:c>
      <x:c r="F602" s="22" t="str">
        <x:v>V-025</x:v>
      </x:c>
    </x:row>
    <x:row r="603" ht="70" customHeight="1">
      <x:c r="A603" s="22" t="str">
        <x:v>Chat</x:v>
      </x:c>
      <x:c r="B603" s="22" t="str">
        <x:v>M-0156</x:v>
      </x:c>
      <x:c r="C603" s="29" t="n">
        <x:v>46243</x:v>
      </x:c>
      <x:c r="D603" s="32" t="str">
        <x:v>2026-08-09T07:57:24 · Gregory
Venta
Cliente:Hidelberg 
Metodo de Pago:Binance 
Producto:Tommy
Fecha:8/08/2026
Cuotas 2
Inicial:0
12 precio gran mayor</x:v>
      </x:c>
      <x:c r="E603" s="22" t="str">
        <x:v>Venta cruzada con Excel</x:v>
      </x:c>
      <x:c r="F603" s="22" t="str">
        <x:v>V-026</x:v>
      </x:c>
    </x:row>
    <x:row r="604" ht="70" customHeight="1">
      <x:c r="A604" s="22" t="str">
        <x:v>Chat</x:v>
      </x:c>
      <x:c r="B604" s="22" t="str">
        <x:v>M-0157</x:v>
      </x:c>
      <x:c r="C604" s="29" t="n">
        <x:v>46243</x:v>
      </x:c>
      <x:c r="D604" s="32" t="str">
        <x:v>2026-08-09T08:11:40 · Gregory
Pago
Cliente:Ricardo
Metodo de pago:Pm
Monto:8.307,00
Fecha:16/07/2026
Producto:universe
Cuota: 3/3 ✅</x:v>
      </x:c>
      <x:c r="E604" s="22" t="str">
        <x:v>Pago cruzado / deduplicado</x:v>
      </x:c>
      <x:c r="F604" s="22" t="str">
        <x:v>P-009</x:v>
      </x:c>
    </x:row>
    <x:row r="605" ht="70" customHeight="1">
      <x:c r="A605" s="22" t="str">
        <x:v>Chat</x:v>
      </x:c>
      <x:c r="B605" s="22" t="str">
        <x:v>M-0158</x:v>
      </x:c>
      <x:c r="C605" s="29" t="n">
        <x:v>46243</x:v>
      </x:c>
      <x:c r="D605" s="32" t="str">
        <x:v>2026-08-09T08:17:29 · Gregory
Ricardo salió de la lista roja con el universe , ángel también , Polanco no debe, Mirleidy no debe</x:v>
      </x:c>
      <x:c r="E605" s="22" t="str">
        <x:v>Conversación / sin asiento</x:v>
      </x:c>
      <x:c r="F605" s="22" t="str"/>
    </x:row>
    <x:row r="606" ht="70" customHeight="1">
      <x:c r="A606" s="22" t="str">
        <x:v>Chat</x:v>
      </x:c>
      <x:c r="B606" s="22" t="str">
        <x:v>M-0159</x:v>
      </x:c>
      <x:c r="C606" s="29" t="n">
        <x:v>46243</x:v>
      </x:c>
      <x:c r="D606" s="32" t="str">
        <x:v>2026-08-09T15:12:34 · Gregory
Venta
Cliente:Juan herrade 
Metodo de Pago:Pm
Producto:sauvage Dior 
Fecha:9/08/2026
Cuotas 2
Inicial:0
22$ bcv</x:v>
      </x:c>
      <x:c r="E606" s="22" t="str">
        <x:v>Venta cruzada con Excel</x:v>
      </x:c>
      <x:c r="F606" s="22" t="str">
        <x:v>V-027</x:v>
      </x:c>
    </x:row>
    <x:row r="607" ht="70" customHeight="1">
      <x:c r="A607" s="22" t="str">
        <x:v>Chat</x:v>
      </x:c>
      <x:c r="B607" s="22" t="str">
        <x:v>M-0160</x:v>
      </x:c>
      <x:c r="C607" s="29" t="n">
        <x:v>46243</x:v>
      </x:c>
      <x:c r="D607" s="32" t="str">
        <x:v>2026-08-09T15:13:46 · Gregory
Venta
Cliente:Juan herrade 
Metodo de Pago:Pm
Producto:Victorinox swis army 
Fecha:9/08/2026
Cuotas 2
Inicial:0
22 bcv</x:v>
      </x:c>
      <x:c r="E607" s="22" t="str">
        <x:v>Venta cruzada con Excel</x:v>
      </x:c>
      <x:c r="F607" s="22" t="str">
        <x:v>V-028</x:v>
      </x:c>
    </x:row>
    <x:row r="608" ht="70" customHeight="1">
      <x:c r="A608" s="22" t="str">
        <x:v>Chat</x:v>
      </x:c>
      <x:c r="B608" s="22" t="str">
        <x:v>M-0161</x:v>
      </x:c>
      <x:c r="C608" s="29" t="n">
        <x:v>46243</x:v>
      </x:c>
      <x:c r="D608" s="32" t="str">
        <x:v>2026-08-09T15:31:05 · Gregory
Venta
Cliente:Ricardo palacios 
Metodo de Pago:Pm
Producto:Eros flame 
Fecha:9/08/2026
Cuotas 2
Inicial:0
22 bcv Gregor</x:v>
      </x:c>
      <x:c r="E608" s="22" t="str">
        <x:v>Venta cruzada con Excel</x:v>
      </x:c>
      <x:c r="F608" s="22" t="str">
        <x:v>V-029</x:v>
      </x:c>
    </x:row>
    <x:row r="609" ht="70" customHeight="1">
      <x:c r="A609" s="22" t="str">
        <x:v>Chat</x:v>
      </x:c>
      <x:c r="B609" s="22" t="str">
        <x:v>M-0162</x:v>
      </x:c>
      <x:c r="C609" s="29" t="n">
        <x:v>46243</x:v>
      </x:c>
      <x:c r="D609" s="32" t="str">
        <x:v>2026-08-09T15:31:55 · Gregory
Venta
Cliente:Ricardo palacios 
Metodo de Pago:Pm
Producto:Mandarin sky
Fecha:9/08/2026
Cuotas 2
Inicial:0
30 bcv Gregor</x:v>
      </x:c>
      <x:c r="E609" s="22" t="str">
        <x:v>Venta cruzada con Excel</x:v>
      </x:c>
      <x:c r="F609" s="22" t="str">
        <x:v>V-030</x:v>
      </x:c>
    </x:row>
    <x:row r="610" ht="70" customHeight="1">
      <x:c r="A610" s="22" t="str">
        <x:v>Chat</x:v>
      </x:c>
      <x:c r="B610" s="22" t="str">
        <x:v>M-0163</x:v>
      </x:c>
      <x:c r="C610" s="29" t="n">
        <x:v>46244</x:v>
      </x:c>
      <x:c r="D610" s="32" t="str">
        <x:v>2026-08-10T16:52:02 · Tú
Pago
Cliente:Reinel 
Metodo de pago:Pm
Monto:18.183,00
Fecha:10/08/2026
Producto:212 NYC
Cuota: 3/3 ✅</x:v>
      </x:c>
      <x:c r="E610" s="22" t="str">
        <x:v>Pago cruzado / deduplicado</x:v>
      </x:c>
      <x:c r="F610" s="22" t="str">
        <x:v>P-028</x:v>
      </x:c>
    </x:row>
    <x:row r="611" ht="70" customHeight="1">
      <x:c r="A611" s="22" t="str">
        <x:v>Chat</x:v>
      </x:c>
      <x:c r="B611" s="22" t="str">
        <x:v>M-0164</x:v>
      </x:c>
      <x:c r="C611" s="29" t="n">
        <x:v>46244</x:v>
      </x:c>
      <x:c r="D611" s="32" t="str">
        <x:v>2026-08-10T16:52:13 · Tú
&lt;imagen omitida&gt;</x:v>
      </x:c>
      <x:c r="E611" s="22" t="str">
        <x:v>Conversación / sin asiento</x:v>
      </x:c>
      <x:c r="F611" s="22" t="str"/>
    </x:row>
    <x:row r="612" ht="70" customHeight="1">
      <x:c r="A612" s="22" t="str">
        <x:v>Chat</x:v>
      </x:c>
      <x:c r="B612" s="22" t="str">
        <x:v>M-0165</x:v>
      </x:c>
      <x:c r="C612" s="29" t="n">
        <x:v>46244</x:v>
      </x:c>
      <x:c r="D612" s="32" t="str">
        <x:v>2026-08-10T18:22:42 · Gregory
&lt;imagen omitida&gt;</x:v>
      </x:c>
      <x:c r="E612" s="22" t="str">
        <x:v>Conversación / sin asiento</x:v>
      </x:c>
      <x:c r="F612" s="22" t="str"/>
    </x:row>
    <x:row r="613" ht="70" customHeight="1">
      <x:c r="A613" s="22" t="str">
        <x:v>Chat</x:v>
      </x:c>
      <x:c r="B613" s="22" t="str">
        <x:v>M-0166</x:v>
      </x:c>
      <x:c r="C613" s="29" t="n">
        <x:v>46244</x:v>
      </x:c>
      <x:c r="D613" s="32" t="str">
        <x:v>2026-08-10T18:22:43 · Gregory
[Reenviado] &lt;imagen omitida&gt;</x:v>
      </x:c>
      <x:c r="E613" s="22" t="str">
        <x:v>Conversación / sin asiento</x:v>
      </x:c>
      <x:c r="F613" s="22" t="str"/>
    </x:row>
    <x:row r="614" ht="70" customHeight="1">
      <x:c r="A614" s="22" t="str">
        <x:v>Chat</x:v>
      </x:c>
      <x:c r="B614" s="22" t="str">
        <x:v>M-0167</x:v>
      </x:c>
      <x:c r="C614" s="29" t="n">
        <x:v>46244</x:v>
      </x:c>
      <x:c r="D614" s="32" t="str">
        <x:v>2026-08-10T18:22:43 · Gregory
&lt;Mensaje de unknown&gt;</x:v>
      </x:c>
      <x:c r="E614" s="22" t="str">
        <x:v>Conversación / sin asiento</x:v>
      </x:c>
      <x:c r="F614" s="22" t="str"/>
    </x:row>
    <x:row r="615" ht="70" customHeight="1">
      <x:c r="A615" s="22" t="str">
        <x:v>Chat</x:v>
      </x:c>
      <x:c r="B615" s="22" t="str">
        <x:v>M-0168</x:v>
      </x:c>
      <x:c r="C615" s="29" t="n">
        <x:v>46244</x:v>
      </x:c>
      <x:c r="D615" s="32" t="str">
        <x:v>2026-08-10T18:23:22 · Gregory
&lt;imagen omitida&gt;</x:v>
      </x:c>
      <x:c r="E615" s="22" t="str">
        <x:v>Conversación / sin asiento</x:v>
      </x:c>
      <x:c r="F615" s="22" t="str"/>
    </x:row>
    <x:row r="616" ht="70" customHeight="1">
      <x:c r="A616" s="22" t="str">
        <x:v>Chat</x:v>
      </x:c>
      <x:c r="B616" s="22" t="str">
        <x:v>M-0169</x:v>
      </x:c>
      <x:c r="C616" s="29" t="n">
        <x:v>46244</x:v>
      </x:c>
      <x:c r="D616" s="32" t="str">
        <x:v>2026-08-10T18:23:41 · Gregory
04243356457 
26961972
0191 
2931.68</x:v>
      </x:c>
      <x:c r="E616" s="22" t="str">
        <x:v>Conversación / sin asiento</x:v>
      </x:c>
      <x:c r="F616" s="22" t="str"/>
    </x:row>
    <x:row r="617" ht="70" customHeight="1">
      <x:c r="A617" s="22" t="str">
        <x:v>Chat</x:v>
      </x:c>
      <x:c r="B617" s="22" t="str">
        <x:v>M-0170</x:v>
      </x:c>
      <x:c r="C617" s="29" t="n">
        <x:v>46244</x:v>
      </x:c>
      <x:c r="D617" s="32" t="str">
        <x:v>2026-08-10T18:47:51 · Gregory
Venta
Cliente:Leandro
Metodo de Pago:pm
Producto:polo blue
Fecha:10/8/2026
Cuotas 2
Inicial:0
22 bcv 
Gregor</x:v>
      </x:c>
      <x:c r="E617" s="22" t="str">
        <x:v>Venta cruzada con Excel</x:v>
      </x:c>
      <x:c r="F617" s="22" t="str">
        <x:v>V-040</x:v>
      </x:c>
    </x:row>
    <x:row r="618" ht="70" customHeight="1">
      <x:c r="A618" s="22" t="str">
        <x:v>Chat</x:v>
      </x:c>
      <x:c r="B618" s="22" t="str">
        <x:v>M-0171</x:v>
      </x:c>
      <x:c r="C618" s="29" t="n">
        <x:v>46245</x:v>
      </x:c>
      <x:c r="D618" s="32" t="str">
        <x:v>2026-08-11T15:35:46 · Tú
Venta
Cliente:Jefersson Mejías
Metodo de Pago:pm
Producto:Bahrara king 
Fecha:10/8/2026
Cuotas 2
Inicial:0
42 bcv 
Hidelberg</x:v>
      </x:c>
      <x:c r="E618" s="22" t="str">
        <x:v>Venta cruzada con Excel</x:v>
      </x:c>
      <x:c r="F618" s="22" t="str">
        <x:v>V-031</x:v>
      </x:c>
    </x:row>
    <x:row r="619" ht="70" customHeight="1">
      <x:c r="A619" s="22" t="str">
        <x:v>Chat</x:v>
      </x:c>
      <x:c r="B619" s="22" t="str">
        <x:v>M-0172</x:v>
      </x:c>
      <x:c r="C619" s="29" t="n">
        <x:v>46245</x:v>
      </x:c>
      <x:c r="D619" s="32" t="str">
        <x:v>2026-08-11T16:27:06 · Gregory
Venta
Cliente:Apostol 
Metodo de Pago:pm
Producto:Dior sauvage 
Fecha:11/08/2026
Cuotas 2
Inicial:0
24bcv</x:v>
      </x:c>
      <x:c r="E619" s="22" t="str">
        <x:v>Venta cruzada con Excel</x:v>
      </x:c>
      <x:c r="F619" s="22" t="str">
        <x:v>V-032</x:v>
      </x:c>
    </x:row>
    <x:row r="620" ht="70" customHeight="1">
      <x:c r="A620" s="22" t="str">
        <x:v>Chat</x:v>
      </x:c>
      <x:c r="B620" s="22" t="str">
        <x:v>M-0173</x:v>
      </x:c>
      <x:c r="C620" s="29" t="n">
        <x:v>46246</x:v>
      </x:c>
      <x:c r="D620" s="32" t="str">
        <x:v>2026-08-12T15:35:28 · Gregory
@Gregor Escalona</x:v>
      </x:c>
      <x:c r="E620" s="22" t="str">
        <x:v>Conversación / sin asiento</x:v>
      </x:c>
      <x:c r="F620" s="22" t="str"/>
    </x:row>
    <x:row r="621" ht="70" customHeight="1">
      <x:c r="A621" s="22" t="str">
        <x:v>Chat</x:v>
      </x:c>
      <x:c r="B621" s="22" t="str">
        <x:v>M-0174</x:v>
      </x:c>
      <x:c r="C621" s="29" t="n">
        <x:v>46246</x:v>
      </x:c>
      <x:c r="D621" s="32" t="str">
        <x:v>2026-08-12T15:36:17 · Gregory
[Reenviado] 59$ Binance orliiyusei22@gmail.com</x:v>
      </x:c>
      <x:c r="E621" s="22" t="str">
        <x:v>Conversación / sin asiento</x:v>
      </x:c>
      <x:c r="F621" s="22" t="str"/>
    </x:row>
    <x:row r="622" ht="70" customHeight="1">
      <x:c r="A622" s="22" t="str">
        <x:v>Chat</x:v>
      </x:c>
      <x:c r="B622" s="22" t="str">
        <x:v>M-0175</x:v>
      </x:c>
      <x:c r="C622" s="29" t="n">
        <x:v>46246</x:v>
      </x:c>
      <x:c r="D622" s="32" t="str">
        <x:v>2026-08-12T15:36:42 · Gregor Escalona
Qué es eso</x:v>
      </x:c>
      <x:c r="E622" s="22" t="str">
        <x:v>Conversación / sin asiento</x:v>
      </x:c>
      <x:c r="F622" s="22" t="str"/>
    </x:row>
    <x:row r="623" ht="70" customHeight="1">
      <x:c r="A623" s="22" t="str">
        <x:v>Chat</x:v>
      </x:c>
      <x:c r="B623" s="22" t="str">
        <x:v>M-0176</x:v>
      </x:c>
      <x:c r="C623" s="29" t="n">
        <x:v>46246</x:v>
      </x:c>
      <x:c r="D623" s="32" t="str">
        <x:v>2026-08-12T15:37:22 · Gregor Escalona
Ya vi</x:v>
      </x:c>
      <x:c r="E623" s="22" t="str">
        <x:v>Conversación / sin asiento</x:v>
      </x:c>
      <x:c r="F623" s="22" t="str"/>
    </x:row>
    <x:row r="624" ht="70" customHeight="1">
      <x:c r="A624" s="22" t="str">
        <x:v>Chat</x:v>
      </x:c>
      <x:c r="B624" s="22" t="str">
        <x:v>M-0177</x:v>
      </x:c>
      <x:c r="C624" s="29" t="n">
        <x:v>46246</x:v>
      </x:c>
      <x:c r="D624" s="32" t="str">
        <x:v>2026-08-12T15:37:31 · Gregor Escalona
Los paso ?</x:v>
      </x:c>
      <x:c r="E624" s="22" t="str">
        <x:v>Conversación / sin asiento</x:v>
      </x:c>
      <x:c r="F624" s="22" t="str"/>
    </x:row>
    <x:row r="625" ht="70" customHeight="1">
      <x:c r="A625" s="22" t="str">
        <x:v>Chat</x:v>
      </x:c>
      <x:c r="B625" s="22" t="str">
        <x:v>M-0178</x:v>
      </x:c>
      <x:c r="C625" s="29" t="n">
        <x:v>46246</x:v>
      </x:c>
      <x:c r="D625" s="32" t="str">
        <x:v>2026-08-12T15:41:51 · Gregor Escalona
&lt;imagen omitida&gt; Gasto de yummy</x:v>
      </x:c>
      <x:c r="E625" s="22" t="str">
        <x:v>Conversación / sin asiento</x:v>
      </x:c>
      <x:c r="F625" s="22" t="str"/>
    </x:row>
    <x:row r="626" ht="70" customHeight="1">
      <x:c r="A626" s="22" t="str">
        <x:v>Chat</x:v>
      </x:c>
      <x:c r="B626" s="22" t="str">
        <x:v>M-0179</x:v>
      </x:c>
      <x:c r="C626" s="29" t="n">
        <x:v>46246</x:v>
      </x:c>
      <x:c r="D626" s="32" t="str">
        <x:v>2026-08-12T15:42:37 · Gregor Escalona
Venta
Cliente: Alejandro blanco 
Metodo de Pago:pm
Producto: 212
Fecha:10/8/2026
Cuotas 2
Inicial:0
22 bcv 
Gregor</x:v>
      </x:c>
      <x:c r="E626" s="22" t="str">
        <x:v>Venta nueva del chat</x:v>
      </x:c>
      <x:c r="F626" s="22" t="str">
        <x:v>V-064</x:v>
      </x:c>
    </x:row>
    <x:row r="627" ht="70" customHeight="1">
      <x:c r="A627" s="22" t="str">
        <x:v>Chat</x:v>
      </x:c>
      <x:c r="B627" s="22" t="str">
        <x:v>M-0180</x:v>
      </x:c>
      <x:c r="C627" s="29" t="n">
        <x:v>46246</x:v>
      </x:c>
      <x:c r="D627" s="32" t="str">
        <x:v>2026-08-12T15:43:44 · Gregor Escalona
Venta
Cliente: hade Mirleidy 
Metodo de Pago:pm
Producto: yara 
Fecha:10/8/2026
Cuotas 2
Inicial:0
24 bcv 
Gregor</x:v>
      </x:c>
      <x:c r="E627" s="22" t="str">
        <x:v>Venta cruzada con Excel</x:v>
      </x:c>
      <x:c r="F627" s="22" t="str">
        <x:v>V-033</x:v>
      </x:c>
    </x:row>
    <x:row r="628" ht="70" customHeight="1">
      <x:c r="A628" s="22" t="str">
        <x:v>Chat</x:v>
      </x:c>
      <x:c r="B628" s="22" t="str">
        <x:v>M-0181</x:v>
      </x:c>
      <x:c r="C628" s="29" t="n">
        <x:v>46246</x:v>
      </x:c>
      <x:c r="D628" s="32" t="str">
        <x:v>2026-08-12T15:44:49 · Gregor Escalona
Venta
Cliente: Luis Sequera 
Metodo de Pago:pm
Producto: mandarín sky 
Fecha:10/8/2026
Cuotas 2
Inicial:0
32 bcv 
Gregor</x:v>
      </x:c>
      <x:c r="E628" s="22" t="str">
        <x:v>Venta cruzada con Excel</x:v>
      </x:c>
      <x:c r="F628" s="22" t="str">
        <x:v>V-034</x:v>
      </x:c>
    </x:row>
    <x:row r="629" ht="70" customHeight="1">
      <x:c r="A629" s="22" t="str">
        <x:v>Chat</x:v>
      </x:c>
      <x:c r="B629" s="22" t="str">
        <x:v>M-0182</x:v>
      </x:c>
      <x:c r="C629" s="29" t="n">
        <x:v>46246</x:v>
      </x:c>
      <x:c r="D629" s="32" t="str">
        <x:v>2026-08-12T16:45:24 · Gregory
&lt;imagen omitida&gt;</x:v>
      </x:c>
      <x:c r="E629" s="22" t="str">
        <x:v>Conversación / sin asiento</x:v>
      </x:c>
      <x:c r="F629" s="22" t="str"/>
    </x:row>
    <x:row r="630" ht="70" customHeight="1">
      <x:c r="A630" s="22" t="str">
        <x:v>Chat</x:v>
      </x:c>
      <x:c r="B630" s="22" t="str">
        <x:v>M-0183</x:v>
      </x:c>
      <x:c r="C630" s="29" t="n">
        <x:v>46246</x:v>
      </x:c>
      <x:c r="D630" s="32" t="str">
        <x:v>2026-08-12T16:45:44 · Gregor Escalona
???</x:v>
      </x:c>
      <x:c r="E630" s="22" t="str">
        <x:v>Conversación / sin asiento</x:v>
      </x:c>
      <x:c r="F630" s="22" t="str"/>
    </x:row>
    <x:row r="631" ht="70" customHeight="1">
      <x:c r="A631" s="22" t="str">
        <x:v>Chat</x:v>
      </x:c>
      <x:c r="B631" s="22" t="str">
        <x:v>M-0184</x:v>
      </x:c>
      <x:c r="C631" s="29" t="n">
        <x:v>46246</x:v>
      </x:c>
      <x:c r="D631" s="32" t="str">
        <x:v>2026-08-12T16:47:02 · Gregory
50 Mano</x:v>
      </x:c>
      <x:c r="E631" s="22" t="str">
        <x:v>Conversación / sin asiento</x:v>
      </x:c>
      <x:c r="F631" s="22" t="str"/>
    </x:row>
    <x:row r="632" ht="70" customHeight="1">
      <x:c r="A632" s="22" t="str">
        <x:v>Chat</x:v>
      </x:c>
      <x:c r="B632" s="22" t="str">
        <x:v>M-0185</x:v>
      </x:c>
      <x:c r="C632" s="29" t="n">
        <x:v>46246</x:v>
      </x:c>
      <x:c r="D632" s="32" t="str">
        <x:v>2026-08-12T16:47:10 · Gregory
Para pagar el 9pm original</x:v>
      </x:c>
      <x:c r="E632" s="22" t="str">
        <x:v>Conversación / sin asiento</x:v>
      </x:c>
      <x:c r="F632" s="22" t="str"/>
    </x:row>
    <x:row r="633" ht="70" customHeight="1">
      <x:c r="A633" s="22" t="str">
        <x:v>Chat</x:v>
      </x:c>
      <x:c r="B633" s="22" t="str">
        <x:v>M-0186</x:v>
      </x:c>
      <x:c r="C633" s="29" t="n">
        <x:v>46246</x:v>
      </x:c>
      <x:c r="D633" s="32" t="str">
        <x:v>2026-08-12T16:47:24 · Gregor Escalona
Ese es el correo del Binance ?</x:v>
      </x:c>
      <x:c r="E633" s="22" t="str">
        <x:v>Conversación / sin asiento</x:v>
      </x:c>
      <x:c r="F633" s="22" t="str"/>
    </x:row>
    <x:row r="634" ht="70" customHeight="1">
      <x:c r="A634" s="22" t="str">
        <x:v>Chat</x:v>
      </x:c>
      <x:c r="B634" s="22" t="str">
        <x:v>M-0187</x:v>
      </x:c>
      <x:c r="C634" s="29" t="n">
        <x:v>46246</x:v>
      </x:c>
      <x:c r="D634" s="32" t="str">
        <x:v>2026-08-12T16:47:49 · Gregory
Si</x:v>
      </x:c>
      <x:c r="E634" s="22" t="str">
        <x:v>Conversación / sin asiento</x:v>
      </x:c>
      <x:c r="F634" s="22" t="str"/>
    </x:row>
    <x:row r="635" ht="70" customHeight="1">
      <x:c r="A635" s="22" t="str">
        <x:v>Chat</x:v>
      </x:c>
      <x:c r="B635" s="22" t="str">
        <x:v>M-0188</x:v>
      </x:c>
      <x:c r="C635" s="29" t="n">
        <x:v>46246</x:v>
      </x:c>
      <x:c r="D635" s="32" t="str">
        <x:v>2026-08-12T16:48:04 · Gregor Escalona
Okey</x:v>
      </x:c>
      <x:c r="E635" s="22" t="str">
        <x:v>Conversación / sin asiento</x:v>
      </x:c>
      <x:c r="F635" s="22" t="str"/>
    </x:row>
    <x:row r="636" ht="70" customHeight="1">
      <x:c r="A636" s="22" t="str">
        <x:v>Chat</x:v>
      </x:c>
      <x:c r="B636" s="22" t="str">
        <x:v>M-0189</x:v>
      </x:c>
      <x:c r="C636" s="29" t="n">
        <x:v>46246</x:v>
      </x:c>
      <x:c r="D636" s="32" t="str">
        <x:v>2026-08-12T16:48:06 · Gregor Escalona
Voy</x:v>
      </x:c>
      <x:c r="E636" s="22" t="str">
        <x:v>Conversación / sin asiento</x:v>
      </x:c>
      <x:c r="F636" s="22" t="str"/>
    </x:row>
    <x:row r="637" ht="70" customHeight="1">
      <x:c r="A637" s="22" t="str">
        <x:v>Chat</x:v>
      </x:c>
      <x:c r="B637" s="22" t="str">
        <x:v>M-0190</x:v>
      </x:c>
      <x:c r="C637" s="29" t="n">
        <x:v>46246</x:v>
      </x:c>
      <x:c r="D637" s="32" t="str">
        <x:v>2026-08-12T16:49:43 · Gregor Escalona
&lt;imagen omitida&gt;</x:v>
      </x:c>
      <x:c r="E637" s="22" t="str">
        <x:v>Conversación / sin asiento</x:v>
      </x:c>
      <x:c r="F637" s="22" t="str"/>
    </x:row>
    <x:row r="638" ht="70" customHeight="1">
      <x:c r="A638" s="22" t="str">
        <x:v>Chat</x:v>
      </x:c>
      <x:c r="B638" s="22" t="str">
        <x:v>M-0191</x:v>
      </x:c>
      <x:c r="C638" s="29" t="n">
        <x:v>46246</x:v>
      </x:c>
      <x:c r="D638" s="32" t="str">
        <x:v>2026-08-12T16:49:44 · Gregor Escalona
&lt;Mensaje de unknown&gt;</x:v>
      </x:c>
      <x:c r="E638" s="22" t="str">
        <x:v>Conversación / sin asiento</x:v>
      </x:c>
      <x:c r="F638" s="22" t="str"/>
    </x:row>
    <x:row r="639" ht="70" customHeight="1">
      <x:c r="A639" s="22" t="str">
        <x:v>Chat</x:v>
      </x:c>
      <x:c r="B639" s="22" t="str">
        <x:v>M-0192</x:v>
      </x:c>
      <x:c r="C639" s="29" t="n">
        <x:v>46246</x:v>
      </x:c>
      <x:c r="D639" s="32" t="str">
        <x:v>2026-08-12T16:49:51 · Gregor Escalona
Pago perfume</x:v>
      </x:c>
      <x:c r="E639" s="22" t="str">
        <x:v>Conversación / sin asiento</x:v>
      </x:c>
      <x:c r="F639" s="22" t="str"/>
    </x:row>
    <x:row r="640" ht="70" customHeight="1">
      <x:c r="A640" s="22" t="str">
        <x:v>Chat</x:v>
      </x:c>
      <x:c r="B640" s="22" t="str">
        <x:v>M-0193</x:v>
      </x:c>
      <x:c r="C640" s="29" t="n">
        <x:v>46246</x:v>
      </x:c>
      <x:c r="D640" s="32" t="str">
        <x:v>2026-08-12T17:04:45 · Gregory
&lt;imagen omitida&gt;</x:v>
      </x:c>
      <x:c r="E640" s="22" t="str">
        <x:v>Conversación / sin asiento</x:v>
      </x:c>
      <x:c r="F640" s="22" t="str"/>
    </x:row>
    <x:row r="641" ht="70" customHeight="1">
      <x:c r="A641" s="22" t="str">
        <x:v>Chat</x:v>
      </x:c>
      <x:c r="B641" s="22" t="str">
        <x:v>M-0194</x:v>
      </x:c>
      <x:c r="C641" s="29" t="n">
        <x:v>46246</x:v>
      </x:c>
      <x:c r="D641" s="32" t="str">
        <x:v>2026-08-12T17:04:45 · Gregory
15 aquí mano</x:v>
      </x:c>
      <x:c r="E641" s="22" t="str">
        <x:v>Conversación / sin asiento</x:v>
      </x:c>
      <x:c r="F641" s="22" t="str"/>
    </x:row>
    <x:row r="642" ht="70" customHeight="1">
      <x:c r="A642" s="22" t="str">
        <x:v>Chat</x:v>
      </x:c>
      <x:c r="B642" s="22" t="str">
        <x:v>M-0195</x:v>
      </x:c>
      <x:c r="C642" s="29" t="n">
        <x:v>46246</x:v>
      </x:c>
      <x:c r="D642" s="32" t="str">
        <x:v>2026-08-12T17:06:11 · Gregor Escalona
&lt;imagen omitida&gt; Pago proveedor</x:v>
      </x:c>
      <x:c r="E642" s="22" t="str">
        <x:v>Conversación / sin asiento</x:v>
      </x:c>
      <x:c r="F642" s="22" t="str"/>
    </x:row>
    <x:row r="643" ht="70" customHeight="1">
      <x:c r="A643" s="22" t="str">
        <x:v>Chat</x:v>
      </x:c>
      <x:c r="B643" s="22" t="str">
        <x:v>M-0196</x:v>
      </x:c>
      <x:c r="C643" s="29" t="n">
        <x:v>46246</x:v>
      </x:c>
      <x:c r="D643" s="32" t="str">
        <x:v>2026-08-12T17:06:13 · Gregor Escalona
&lt;Mensaje de unknown&gt;</x:v>
      </x:c>
      <x:c r="E643" s="22" t="str">
        <x:v>Conversación / sin asiento</x:v>
      </x:c>
      <x:c r="F643" s="22" t="str"/>
    </x:row>
    <x:row r="644" ht="70" customHeight="1">
      <x:c r="A644" s="22" t="str">
        <x:v>Chat</x:v>
      </x:c>
      <x:c r="B644" s="22" t="str">
        <x:v>M-0197</x:v>
      </x:c>
      <x:c r="C644" s="29" t="n">
        <x:v>46246</x:v>
      </x:c>
      <x:c r="D644" s="32" t="str">
        <x:v>2026-08-12T17:28:12 · Gregory
[Reenviado] &lt;imagen omitida&gt;</x:v>
      </x:c>
      <x:c r="E644" s="22" t="str">
        <x:v>Conversación / sin asiento</x:v>
      </x:c>
      <x:c r="F644" s="22" t="str"/>
    </x:row>
    <x:row r="645" ht="70" customHeight="1">
      <x:c r="A645" s="22" t="str">
        <x:v>Chat</x:v>
      </x:c>
      <x:c r="B645" s="22" t="str">
        <x:v>M-0198</x:v>
      </x:c>
      <x:c r="C645" s="29" t="n">
        <x:v>46246</x:v>
      </x:c>
      <x:c r="D645" s="32" t="str">
        <x:v>2026-08-12T17:28:12 · Gregory
Ricardo 9.5</x:v>
      </x:c>
      <x:c r="E645" s="22" t="str">
        <x:v>Conversación / sin asiento</x:v>
      </x:c>
      <x:c r="F645" s="22" t="str"/>
    </x:row>
    <x:row r="646" ht="70" customHeight="1">
      <x:c r="A646" s="22" t="str">
        <x:v>Chat</x:v>
      </x:c>
      <x:c r="B646" s="22" t="str">
        <x:v>M-0199</x:v>
      </x:c>
      <x:c r="C646" s="29" t="n">
        <x:v>46246</x:v>
      </x:c>
      <x:c r="D646" s="32" t="str">
        <x:v>2026-08-12T17:35:34 · Gregory
[Reenviado] 7.35$ Binance</x:v>
      </x:c>
      <x:c r="E646" s="22" t="str">
        <x:v>Conversación / sin asiento</x:v>
      </x:c>
      <x:c r="F646" s="22" t="str"/>
    </x:row>
    <x:row r="647" ht="70" customHeight="1">
      <x:c r="A647" s="22" t="str">
        <x:v>Chat</x:v>
      </x:c>
      <x:c r="B647" s="22" t="str">
        <x:v>M-0200</x:v>
      </x:c>
      <x:c r="C647" s="29" t="n">
        <x:v>46246</x:v>
      </x:c>
      <x:c r="D647" s="32" t="str">
        <x:v>2026-08-12T17:36:09 · Gregory
[Reenviado] 59$ Binance orliiyusei22@gmail.com</x:v>
      </x:c>
      <x:c r="E647" s="22" t="str">
        <x:v>Conversación / sin asiento</x:v>
      </x:c>
      <x:c r="F647" s="22" t="str"/>
    </x:row>
    <x:row r="648" ht="70" customHeight="1">
      <x:c r="A648" s="22" t="str">
        <x:v>Chat</x:v>
      </x:c>
      <x:c r="B648" s="22" t="str">
        <x:v>M-0201</x:v>
      </x:c>
      <x:c r="C648" s="29" t="n">
        <x:v>46246</x:v>
      </x:c>
      <x:c r="D648" s="32" t="str">
        <x:v>2026-08-12T17:36:09 · Gregory
[Reenviado] &lt;imagen omitida&gt;</x:v>
      </x:c>
      <x:c r="E648" s="22" t="str">
        <x:v>Conversación / sin asiento</x:v>
      </x:c>
      <x:c r="F648" s="22" t="str"/>
    </x:row>
    <x:row r="649" ht="70" customHeight="1">
      <x:c r="A649" s="22" t="str">
        <x:v>Chat</x:v>
      </x:c>
      <x:c r="B649" s="22" t="str">
        <x:v>M-0202</x:v>
      </x:c>
      <x:c r="C649" s="29" t="n">
        <x:v>46246</x:v>
      </x:c>
      <x:c r="D649" s="32" t="str">
        <x:v>2026-08-12T17:36:10 · Gregory
[Reenviado] Pago proveedor Caracas</x:v>
      </x:c>
      <x:c r="E649" s="22" t="str">
        <x:v>Conversación / sin asiento</x:v>
      </x:c>
      <x:c r="F649" s="22" t="str"/>
    </x:row>
    <x:row r="650" ht="70" customHeight="1">
      <x:c r="A650" s="22" t="str">
        <x:v>Chat</x:v>
      </x:c>
      <x:c r="B650" s="22" t="str">
        <x:v>M-0203</x:v>
      </x:c>
      <x:c r="C650" s="29" t="n">
        <x:v>46246</x:v>
      </x:c>
      <x:c r="D650" s="32" t="str">
        <x:v>2026-08-12T17:36:10 · Gregory
&lt;Mensaje de unknown&gt;</x:v>
      </x:c>
      <x:c r="E650" s="22" t="str">
        <x:v>Conversación / sin asiento</x:v>
      </x:c>
      <x:c r="F650" s="22" t="str"/>
    </x:row>
    <x:row r="651" ht="70" customHeight="1">
      <x:c r="A651" s="22" t="str">
        <x:v>Chat</x:v>
      </x:c>
      <x:c r="B651" s="22" t="str">
        <x:v>M-0204</x:v>
      </x:c>
      <x:c r="C651" s="29" t="n">
        <x:v>46246</x:v>
      </x:c>
      <x:c r="D651" s="32" t="str">
        <x:v>2026-08-12T17:36:23 · Gregory
Lo que falta</x:v>
      </x:c>
      <x:c r="E651" s="22" t="str">
        <x:v>Conversación / sin asiento</x:v>
      </x:c>
      <x:c r="F651" s="22" t="str"/>
    </x:row>
    <x:row r="652" ht="70" customHeight="1">
      <x:c r="A652" s="22" t="str">
        <x:v>Chat</x:v>
      </x:c>
      <x:c r="B652" s="22" t="str">
        <x:v>M-0205</x:v>
      </x:c>
      <x:c r="C652" s="29" t="n">
        <x:v>46246</x:v>
      </x:c>
      <x:c r="D652" s="32" t="str">
        <x:v>2026-08-12T17:37:26 · Gregor Escalona
&lt;imagen omitida&gt; Pago proveedor Caracas</x:v>
      </x:c>
      <x:c r="E652" s="22" t="str">
        <x:v>Conversación / sin asiento</x:v>
      </x:c>
      <x:c r="F652" s="22" t="str"/>
    </x:row>
    <x:row r="653" ht="70" customHeight="1">
      <x:c r="A653" s="22" t="str">
        <x:v>Chat</x:v>
      </x:c>
      <x:c r="B653" s="22" t="str">
        <x:v>M-0206</x:v>
      </x:c>
      <x:c r="C653" s="29" t="n">
        <x:v>46246</x:v>
      </x:c>
      <x:c r="D653" s="32" t="str">
        <x:v>2026-08-12T17:37:29 · Gregor Escalona
&lt;Mensaje de unknown&gt;</x:v>
      </x:c>
      <x:c r="E653" s="22" t="str">
        <x:v>Conversación / sin asiento</x:v>
      </x:c>
      <x:c r="F653" s="22" t="str"/>
    </x:row>
    <x:row r="654" ht="70" customHeight="1">
      <x:c r="A654" s="22" t="str">
        <x:v>Chat</x:v>
      </x:c>
      <x:c r="B654" s="22" t="str">
        <x:v>M-0207</x:v>
      </x:c>
      <x:c r="C654" s="29" t="n">
        <x:v>46246</x:v>
      </x:c>
      <x:c r="D654" s="32" t="str">
        <x:v>2026-08-12T20:54:48 · Gregory
&lt;imagen omitida&gt;</x:v>
      </x:c>
      <x:c r="E654" s="22" t="str">
        <x:v>Conversación / sin asiento</x:v>
      </x:c>
      <x:c r="F654" s="22" t="str"/>
    </x:row>
    <x:row r="655" ht="70" customHeight="1">
      <x:c r="A655" s="22" t="str">
        <x:v>Chat</x:v>
      </x:c>
      <x:c r="B655" s="22" t="str">
        <x:v>M-0208</x:v>
      </x:c>
      <x:c r="C655" s="29" t="n">
        <x:v>46247</x:v>
      </x:c>
      <x:c r="D655" s="32" t="str">
        <x:v>2026-08-13T22:00:59 · Gregory
Venta
Cliente:Cristian 
Metodo de Pago:Pm
Producto:9pm rebel original 
Fecha:13/08/2026
Cuotas 3
Inicial:0
Costo 50usdt venta 70bcv</x:v>
      </x:c>
      <x:c r="E655" s="22" t="str">
        <x:v>Venta cruzada con Excel</x:v>
      </x:c>
      <x:c r="F655" s="22" t="str">
        <x:v>V-036</x:v>
      </x:c>
    </x:row>
    <x:row r="656" ht="70" customHeight="1">
      <x:c r="A656" s="22" t="str">
        <x:v>Chat</x:v>
      </x:c>
      <x:c r="B656" s="22" t="str">
        <x:v>M-0209</x:v>
      </x:c>
      <x:c r="C656" s="29" t="n">
        <x:v>46247</x:v>
      </x:c>
      <x:c r="D656" s="32" t="str">
        <x:v>2026-08-13T22:04:57 · Gregory
Venta
Cliente:Ricardo 
Metodo de Pago:pm
Producto:Clud de nuit intense
Fecha:12/08/2026
Cuotas 2
Inicial:9.50 
Costo 15 usdt venta 19 usdt precio al mayor</x:v>
      </x:c>
      <x:c r="E656" s="22" t="str">
        <x:v>Venta cruzada con Excel</x:v>
      </x:c>
      <x:c r="F656" s="22" t="str">
        <x:v>V-035</x:v>
      </x:c>
    </x:row>
    <x:row r="657" ht="70" customHeight="1">
      <x:c r="A657" s="22" t="str">
        <x:v>Chat</x:v>
      </x:c>
      <x:c r="B657" s="22" t="str">
        <x:v>M-0210</x:v>
      </x:c>
      <x:c r="C657" s="29" t="n">
        <x:v>46247</x:v>
      </x:c>
      <x:c r="D657" s="32" t="str">
        <x:v>2026-08-13T22:06:39 · Gregory
Pago
Cliente:Ricardo 
Metodo de pago:pm
Monto:8.356,00
Fecha:12/08/2026
Producto:Clud de nuit intense
Cuota: 1/2
Referencia 4657</x:v>
      </x:c>
      <x:c r="E657" s="22" t="str">
        <x:v>Pago cruzado / deduplicado</x:v>
      </x:c>
      <x:c r="F657" s="22" t="str">
        <x:v>P-036</x:v>
      </x:c>
    </x:row>
    <x:row r="658" ht="70" customHeight="1">
      <x:c r="A658" s="22" t="str">
        <x:v>Chat</x:v>
      </x:c>
      <x:c r="B658" s="22" t="str">
        <x:v>M-0211</x:v>
      </x:c>
      <x:c r="C658" s="29" t="n">
        <x:v>46249</x:v>
      </x:c>
      <x:c r="D658" s="32" t="str">
        <x:v>2026-08-15T11:43:29 · Gregory
Lista de precio 
Sacandal costo costo 11udst Venta 24bcv 
Issey miyake costo 10 venta 22 
Clud nuit maleka costo 11 venta 24 
Invictus clásico costo 10 venta 22 bcv</x:v>
      </x:c>
      <x:c r="E658" s="22" t="str">
        <x:v>Conversación / sin asiento</x:v>
      </x:c>
      <x:c r="F658" s="22" t="str"/>
    </x:row>
    <x:row r="659" ht="70" customHeight="1">
      <x:c r="A659" s="22" t="str">
        <x:v>Chat</x:v>
      </x:c>
      <x:c r="B659" s="22" t="str">
        <x:v>M-0212</x:v>
      </x:c>
      <x:c r="C659" s="29" t="n">
        <x:v>46249</x:v>
      </x:c>
      <x:c r="D659" s="32" t="str">
        <x:v>2026-08-15T11:49:16 · Gregor Escalona
Gasto de envío 13.000 bs</x:v>
      </x:c>
      <x:c r="E659" s="22" t="str">
        <x:v>Conversación / sin asiento</x:v>
      </x:c>
      <x:c r="F659" s="22" t="str"/>
    </x:row>
    <x:row r="660" ht="70" customHeight="1">
      <x:c r="A660" s="22" t="str">
        <x:v>Chat</x:v>
      </x:c>
      <x:c r="B660" s="22" t="str">
        <x:v>M-0213</x:v>
      </x:c>
      <x:c r="C660" s="29" t="n">
        <x:v>46249</x:v>
      </x:c>
      <x:c r="D660" s="32" t="str">
        <x:v>2026-08-15T11:56:20 · Gregor Escalona
Venta
Cliente: hermano leandro 
Metodo de Pago:Pm
Producto:Issey miyake- Aqua di Gio 
Fecha:15/08/2026
Cuotas 3
Inicial:0
Costo</x:v>
      </x:c>
      <x:c r="E660" s="22" t="str">
        <x:v>Venta nueva del chat</x:v>
      </x:c>
      <x:c r="F660" s="22" t="str">
        <x:v>V-065</x:v>
      </x:c>
    </x:row>
    <x:row r="661" ht="70" customHeight="1">
      <x:c r="A661" s="22" t="str">
        <x:v>Chat</x:v>
      </x:c>
      <x:c r="B661" s="22" t="str">
        <x:v>M-0214</x:v>
      </x:c>
      <x:c r="C661" s="29" t="n">
        <x:v>46249</x:v>
      </x:c>
      <x:c r="D661" s="32" t="str">
        <x:v>2026-08-15T12:06:15 · Gregory
Venta
Cliente: hermano leandro 
Metodo de Pago:Pm
Producto:Aqua di Gio
Fecha:15/08/2026
Cuotas 3
Inicial:0
Costo 
Gregor</x:v>
      </x:c>
      <x:c r="E661" s="22" t="str">
        <x:v>Venta nueva del chat</x:v>
      </x:c>
      <x:c r="F661" s="22" t="str">
        <x:v>V-066</x:v>
      </x:c>
    </x:row>
    <x:row r="662" ht="70" customHeight="1">
      <x:c r="A662" s="22" t="str">
        <x:v>Chat</x:v>
      </x:c>
      <x:c r="B662" s="22" t="str">
        <x:v>M-0215</x:v>
      </x:c>
      <x:c r="C662" s="29" t="n">
        <x:v>46249</x:v>
      </x:c>
      <x:c r="D662" s="32" t="str">
        <x:v>2026-08-15T12:59:04 · Gregory
.</x:v>
      </x:c>
      <x:c r="E662" s="22" t="str">
        <x:v>Conversación / sin asiento</x:v>
      </x:c>
      <x:c r="F662" s="22" t="str"/>
    </x:row>
    <x:row r="663" ht="70" customHeight="1">
      <x:c r="A663" s="22" t="str">
        <x:v>Chat</x:v>
      </x:c>
      <x:c r="B663" s="22" t="str">
        <x:v>M-0216</x:v>
      </x:c>
      <x:c r="C663" s="29" t="n">
        <x:v>46249</x:v>
      </x:c>
      <x:c r="D663" s="32" t="str">
        <x:v>2026-08-15T15:24:26 · Gregory
[Reenviado] &lt;imagen omitida&gt;</x:v>
      </x:c>
      <x:c r="E663" s="22" t="str">
        <x:v>Conversación / sin asiento</x:v>
      </x:c>
      <x:c r="F663" s="22" t="str"/>
    </x:row>
    <x:row r="664" ht="70" customHeight="1">
      <x:c r="A664" s="22" t="str">
        <x:v>Chat</x:v>
      </x:c>
      <x:c r="B664" s="22" t="str">
        <x:v>M-0217</x:v>
      </x:c>
      <x:c r="C664" s="29" t="n">
        <x:v>46249</x:v>
      </x:c>
      <x:c r="D664" s="32" t="str">
        <x:v>2026-08-15T15:24:26 · Gregory
7$ Rafael</x:v>
      </x:c>
      <x:c r="E664" s="22" t="str">
        <x:v>Aviso de monto unido a ficha, sin nuevo cobro</x:v>
      </x:c>
      <x:c r="F664" s="22" t="str">
        <x:v>P-034</x:v>
      </x:c>
    </x:row>
    <x:row r="665" ht="70" customHeight="1">
      <x:c r="A665" s="22" t="str">
        <x:v>Chat</x:v>
      </x:c>
      <x:c r="B665" s="22" t="str">
        <x:v>M-0218</x:v>
      </x:c>
      <x:c r="C665" s="29" t="n">
        <x:v>46249</x:v>
      </x:c>
      <x:c r="D665" s="32" t="str">
        <x:v>2026-08-15T15:25:24 · Gregory
[Reenviado] &lt;imagen omitida&gt;</x:v>
      </x:c>
      <x:c r="E665" s="22" t="str">
        <x:v>Conversación / sin asiento</x:v>
      </x:c>
      <x:c r="F665" s="22" t="str"/>
    </x:row>
    <x:row r="666" ht="70" customHeight="1">
      <x:c r="A666" s="22" t="str">
        <x:v>Chat</x:v>
      </x:c>
      <x:c r="B666" s="22" t="str">
        <x:v>M-0219</x:v>
      </x:c>
      <x:c r="C666" s="29" t="n">
        <x:v>46249</x:v>
      </x:c>
      <x:c r="D666" s="32" t="str">
        <x:v>2026-08-15T15:25:24 · Gregory
Apostol 12$</x:v>
      </x:c>
      <x:c r="E666" s="22" t="str">
        <x:v>Aviso de monto unido a ficha, sin nuevo cobro</x:v>
      </x:c>
      <x:c r="F666" s="22" t="str">
        <x:v>P-035</x:v>
      </x:c>
    </x:row>
    <x:row r="667" ht="70" customHeight="1">
      <x:c r="A667" s="22" t="str">
        <x:v>Chat</x:v>
      </x:c>
      <x:c r="B667" s="22" t="str">
        <x:v>M-0220</x:v>
      </x:c>
      <x:c r="C667" s="29" t="n">
        <x:v>46249</x:v>
      </x:c>
      <x:c r="D667" s="32" t="str">
        <x:v>2026-08-15T17:07:31 · Gregory
Venta
Cliente:Ricardo Gómez 
Metodo de Pago:Pm
Producto:Aqua di Gio
Fecha:15/08/2026
Cuotas 2 
Inicial 
Costo 13$ venta 16$P.M</x:v>
      </x:c>
      <x:c r="E667" s="22" t="str">
        <x:v>Venta cruzada con Excel</x:v>
      </x:c>
      <x:c r="F667" s="22" t="str">
        <x:v>V-037</x:v>
      </x:c>
    </x:row>
    <x:row r="668" ht="70" customHeight="1">
      <x:c r="A668" s="22" t="str">
        <x:v>Chat</x:v>
      </x:c>
      <x:c r="B668" s="22" t="str">
        <x:v>M-0221</x:v>
      </x:c>
      <x:c r="C668" s="29" t="n">
        <x:v>46249</x:v>
      </x:c>
      <x:c r="D668" s="32" t="str">
        <x:v>2026-08-15T21:27:00 · Gregory
Venta
Cliente:Gabriel Medina 
Metodo de Pago:Pm
Producto:scandal 
Fecha:15/08/2026
Cuotas 3
Inicial:0
Costo11 Venta 22bcv</x:v>
      </x:c>
      <x:c r="E668" s="22" t="str">
        <x:v>Venta cruzada con Excel</x:v>
      </x:c>
      <x:c r="F668" s="22" t="str">
        <x:v>V-038</x:v>
      </x:c>
    </x:row>
    <x:row r="669" ht="70" customHeight="1">
      <x:c r="A669" s="22" t="str">
        <x:v>Chat</x:v>
      </x:c>
      <x:c r="B669" s="22" t="str">
        <x:v>M-0222</x:v>
      </x:c>
      <x:c r="C669" s="29" t="n">
        <x:v>46249</x:v>
      </x:c>
      <x:c r="D669" s="32" t="str">
        <x:v>2026-08-15T21:28:31 · Gregory
Venta
Cliente:Gabriel Medina 
Metodo de Pago:Pm
Producto:sauvage Dior 
Fecha:15/08/2026
Cuotas 3
Inicial:0
Costo 13 Venta 22
Gregor</x:v>
      </x:c>
      <x:c r="E669" s="22" t="str">
        <x:v>Venta cruzada con Excel</x:v>
      </x:c>
      <x:c r="F669" s="22" t="str">
        <x:v>V-039</x:v>
      </x:c>
    </x:row>
    <x:row r="670" ht="70" customHeight="1">
      <x:c r="A670" s="22" t="str">
        <x:v>Chat</x:v>
      </x:c>
      <x:c r="B670" s="22" t="str">
        <x:v>M-0223</x:v>
      </x:c>
      <x:c r="C670" s="29" t="n">
        <x:v>46250</x:v>
      </x:c>
      <x:c r="D670" s="32" t="str">
        <x:v>2026-08-16T07:21:58 · Gregory
[Reenviado] &lt;imagen omitida&gt;</x:v>
      </x:c>
      <x:c r="E670" s="22" t="str">
        <x:v>Conversación / sin asiento</x:v>
      </x:c>
      <x:c r="F670" s="22" t="str"/>
    </x:row>
    <x:row r="671" ht="70" customHeight="1">
      <x:c r="A671" s="22" t="str">
        <x:v>Chat</x:v>
      </x:c>
      <x:c r="B671" s="22" t="str">
        <x:v>M-0224</x:v>
      </x:c>
      <x:c r="C671" s="29" t="n">
        <x:v>46250</x:v>
      </x:c>
      <x:c r="D671" s="32" t="str">
        <x:v>2026-08-16T07:21:58 · Gregory
Anderson 7$</x:v>
      </x:c>
      <x:c r="E671" s="22" t="str">
        <x:v>Aviso de monto unido a ficha, sin nuevo cobro</x:v>
      </x:c>
      <x:c r="F671" s="22" t="str">
        <x:v>P-031</x:v>
      </x:c>
    </x:row>
    <x:row r="672" ht="70" customHeight="1">
      <x:c r="A672" s="22" t="str">
        <x:v>Chat</x:v>
      </x:c>
      <x:c r="B672" s="22" t="str">
        <x:v>M-0225</x:v>
      </x:c>
      <x:c r="C672" s="29" t="n">
        <x:v>46250</x:v>
      </x:c>
      <x:c r="D672" s="32" t="str">
        <x:v>2026-08-16T07:32:01 · Gregory
Pago
Cliente:Rafael 
Metodo de pago:PM
Monto:5.398,00
Fecha:15/08/2026
Producto:invictus 
Cuota: 2/3 
Referencia 8343</x:v>
      </x:c>
      <x:c r="E672" s="22" t="str">
        <x:v>Pago cruzado / deduplicado</x:v>
      </x:c>
      <x:c r="F672" s="22" t="str">
        <x:v>P-034</x:v>
      </x:c>
    </x:row>
    <x:row r="673" ht="70" customHeight="1">
      <x:c r="A673" s="22" t="str">
        <x:v>Chat</x:v>
      </x:c>
      <x:c r="B673" s="22" t="str">
        <x:v>M-0226</x:v>
      </x:c>
      <x:c r="C673" s="29" t="n">
        <x:v>46250</x:v>
      </x:c>
      <x:c r="D673" s="32" t="str">
        <x:v>2026-08-16T07:33:51 · Gregory
Pago
Cliente:Apostol 
Metodo de pago:Pm
Monto:9.252,86
Fecha:15/08/2026
Producto:Sauvage Dior
Cuota: 1/2
Referencia 7526</x:v>
      </x:c>
      <x:c r="E673" s="22" t="str">
        <x:v>Pago cruzado / deduplicado</x:v>
      </x:c>
      <x:c r="F673" s="22" t="str">
        <x:v>P-035</x:v>
      </x:c>
    </x:row>
    <x:row r="674" ht="70" customHeight="1">
      <x:c r="A674" s="22" t="str">
        <x:v>Chat</x:v>
      </x:c>
      <x:c r="B674" s="22" t="str">
        <x:v>M-0227</x:v>
      </x:c>
      <x:c r="C674" s="29" t="n">
        <x:v>46250</x:v>
      </x:c>
      <x:c r="D674" s="32" t="str">
        <x:v>2026-08-16T07:35:15 · Gregory
Pago
Cliente:Anderson 
Metodo de pago:pm
Monto:5.400,00
Fecha:16/08/2026
Producto:Aqua di gio 
Cuota: 1/2
Referencia 2265</x:v>
      </x:c>
      <x:c r="E674" s="22" t="str">
        <x:v>Pago cruzado / deduplicado</x:v>
      </x:c>
      <x:c r="F674" s="22" t="str">
        <x:v>P-031</x:v>
      </x:c>
    </x:row>
    <x:row r="675" ht="70" customHeight="1">
      <x:c r="A675" s="22" t="str">
        <x:v>Chat</x:v>
      </x:c>
      <x:c r="B675" s="22" t="str">
        <x:v>M-0228</x:v>
      </x:c>
      <x:c r="C675" s="29" t="n">
        <x:v>46250</x:v>
      </x:c>
      <x:c r="D675" s="32" t="str">
        <x:v>2026-08-16T10:21:11 · Gregory
Elimina esto</x:v>
      </x:c>
      <x:c r="E675" s="22" t="str">
        <x:v>Anulación ambigua, no aplicada automáticamente</x:v>
      </x:c>
      <x:c r="F675" s="22" t="str">
        <x:v>REVISION</x:v>
      </x:c>
    </x:row>
    <x:row r="676" ht="70" customHeight="1">
      <x:c r="A676" s="22" t="str">
        <x:v>Chat</x:v>
      </x:c>
      <x:c r="B676" s="22" t="str">
        <x:v>M-0229</x:v>
      </x:c>
      <x:c r="C676" s="29" t="n">
        <x:v>46250</x:v>
      </x:c>
      <x:c r="D676" s="32" t="str">
        <x:v>2026-08-16T10:23:50 · Gregory
Y este</x:v>
      </x:c>
      <x:c r="E676" s="22" t="str">
        <x:v>Anulación ambigua, no aplicada automáticamente</x:v>
      </x:c>
      <x:c r="F676" s="22" t="str">
        <x:v>REVISION</x:v>
      </x:c>
    </x:row>
    <x:row r="677" ht="70" customHeight="1">
      <x:c r="A677" s="22" t="str">
        <x:v>Chat</x:v>
      </x:c>
      <x:c r="B677" s="22" t="str">
        <x:v>M-0230</x:v>
      </x:c>
      <x:c r="C677" s="29" t="n">
        <x:v>46250</x:v>
      </x:c>
      <x:c r="D677" s="32" t="str">
        <x:v>2026-08-16T16:17:26 · Gregory
Venta
Cliente:Gregory
Metodo de Pago:Pm
Producto:maleka
Fecha:16/08/2026
Cuotas 3
Inicial:0
11 precio costo</x:v>
      </x:c>
      <x:c r="E677" s="22" t="str">
        <x:v>Venta nueva del chat</x:v>
      </x:c>
      <x:c r="F677" s="22" t="str">
        <x:v>V-067</x:v>
      </x:c>
    </x:row>
    <x:row r="678" ht="70" customHeight="1">
      <x:c r="A678" s="22" t="str">
        <x:v>Chat</x:v>
      </x:c>
      <x:c r="B678" s="22" t="str">
        <x:v>M-0231</x:v>
      </x:c>
      <x:c r="C678" s="29" t="n">
        <x:v>46250</x:v>
      </x:c>
      <x:c r="D678" s="32" t="str">
        <x:v>2026-08-16T16:54:45 · Gregory
18 ventas a cliente esta semana</x:v>
      </x:c>
      <x:c r="E678" s="22" t="str">
        <x:v>Conversación / sin asiento</x:v>
      </x:c>
      <x:c r="F678" s="22" t="str"/>
    </x:row>
    <x:row r="679" ht="70" customHeight="1">
      <x:c r="A679" s="22" t="str">
        <x:v>Chat</x:v>
      </x:c>
      <x:c r="B679" s="22" t="str">
        <x:v>M-0232</x:v>
      </x:c>
      <x:c r="C679" s="29" t="n">
        <x:v>46250</x:v>
      </x:c>
      <x:c r="D679" s="32" t="str">
        <x:v>2026-08-16T17:03:58 · Gregory
[Reenviado] &lt;imagen omitida&gt;</x:v>
      </x:c>
      <x:c r="E679" s="22" t="str">
        <x:v>Conversación / sin asiento</x:v>
      </x:c>
      <x:c r="F679" s="22" t="str"/>
    </x:row>
    <x:row r="680" ht="70" customHeight="1">
      <x:c r="A680" s="22" t="str">
        <x:v>Chat</x:v>
      </x:c>
      <x:c r="B680" s="22" t="str">
        <x:v>M-0233</x:v>
      </x:c>
      <x:c r="C680" s="29" t="n">
        <x:v>46250</x:v>
      </x:c>
      <x:c r="D680" s="32" t="str">
        <x:v>2026-08-16T17:03:58 · Gregory
11$ adolfito</x:v>
      </x:c>
      <x:c r="E680" s="22" t="str">
        <x:v>Aviso de monto unido a ficha, sin nuevo cobro</x:v>
      </x:c>
      <x:c r="F680" s="22" t="str">
        <x:v>P-039</x:v>
      </x:c>
    </x:row>
    <x:row r="681" ht="70" customHeight="1">
      <x:c r="A681" s="22" t="str">
        <x:v>Chat</x:v>
      </x:c>
      <x:c r="B681" s="22" t="str">
        <x:v>M-0234</x:v>
      </x:c>
      <x:c r="C681" s="29" t="n">
        <x:v>46251</x:v>
      </x:c>
      <x:c r="D681" s="32" t="str">
        <x:v>2026-08-17T15:25:25 · Tú
&lt;imagen omitida&gt; Mandadito a @Gregory</x:v>
      </x:c>
      <x:c r="E681" s="22" t="str">
        <x:v>Conversación / sin asiento</x:v>
      </x:c>
      <x:c r="F681" s="22" t="str"/>
    </x:row>
    <x:row r="682" ht="70" customHeight="1">
      <x:c r="A682" s="22" t="str">
        <x:v>Chat</x:v>
      </x:c>
      <x:c r="B682" s="22" t="str">
        <x:v>M-0235</x:v>
      </x:c>
      <x:c r="C682" s="29" t="n">
        <x:v>46251</x:v>
      </x:c>
      <x:c r="D682" s="32" t="str">
        <x:v>2026-08-17T16:12:05 · Gregory
Venta
Cliente:Francheska 
Metodo de Pago:PM
Producto:khamra 
Fecha:17/08/2026
Cuotas 2
Inicial:0
42bcv</x:v>
      </x:c>
      <x:c r="E682" s="22" t="str">
        <x:v>Venta cruzada con Excel</x:v>
      </x:c>
      <x:c r="F682" s="22" t="str">
        <x:v>V-042</x:v>
      </x:c>
    </x:row>
    <x:row r="683" ht="70" customHeight="1">
      <x:c r="A683" s="22" t="str">
        <x:v>Chat</x:v>
      </x:c>
      <x:c r="B683" s="22" t="str">
        <x:v>M-0236</x:v>
      </x:c>
      <x:c r="C683" s="29" t="n">
        <x:v>46251</x:v>
      </x:c>
      <x:c r="D683" s="32" t="str">
        <x:v>2026-08-17T19:21:20 · Gregory
Pago
Cliente:adolfito 
Metodo de pago:Pm
Monto:8.482,00
Fecha:16/08/2026
Producto:Scandal
Cuota: 2/2✅</x:v>
      </x:c>
      <x:c r="E683" s="22" t="str">
        <x:v>Pago nuevo</x:v>
      </x:c>
      <x:c r="F683" s="22" t="str">
        <x:v>P-039</x:v>
      </x:c>
    </x:row>
    <x:row r="684" ht="70" customHeight="1">
      <x:c r="A684" s="22" t="str">
        <x:v>Chat</x:v>
      </x:c>
      <x:c r="B684" s="22" t="str">
        <x:v>M-0237</x:v>
      </x:c>
      <x:c r="C684" s="29" t="n">
        <x:v>46251</x:v>
      </x:c>
      <x:c r="D684" s="32" t="str">
        <x:v>2026-08-17T19:23:45 · Gregory
Venta
Cliente:landaeta 
Metodo de Pago:Pm
Producto:Invictus clásico 
Fecha:17/08/2026
Cuotas2
Inicial:0
20bcv</x:v>
      </x:c>
      <x:c r="E684" s="22" t="str">
        <x:v>Venta cruzada con Excel</x:v>
      </x:c>
      <x:c r="F684" s="22" t="str">
        <x:v>V-043</x:v>
      </x:c>
    </x:row>
    <x:row r="685" ht="70" customHeight="1">
      <x:c r="A685" s="22" t="str">
        <x:v>Chat</x:v>
      </x:c>
      <x:c r="B685" s="22" t="str">
        <x:v>M-0238</x:v>
      </x:c>
      <x:c r="C685" s="29" t="n">
        <x:v>46251</x:v>
      </x:c>
      <x:c r="D685" s="32" t="str">
        <x:v>2026-08-17T19:24:22 · Gregory
Venta
Cliente:landaeta 
Metodo de Pago:Pm
Producto:Asad 
Fecha:17/08/2026
Cuotas 2
Inicial:
22bcv</x:v>
      </x:c>
      <x:c r="E685" s="22" t="str">
        <x:v>Venta cruzada con Excel</x:v>
      </x:c>
      <x:c r="F685" s="22" t="str">
        <x:v>V-044</x:v>
      </x:c>
    </x:row>
    <x:row r="686" ht="70" customHeight="1">
      <x:c r="A686" s="22" t="str">
        <x:v>Chat</x:v>
      </x:c>
      <x:c r="B686" s="22" t="str">
        <x:v>M-0239</x:v>
      </x:c>
      <x:c r="C686" s="29" t="n">
        <x:v>46251</x:v>
      </x:c>
      <x:c r="D686" s="32" t="str">
        <x:v>2026-08-17T20:23:46 · Gregory
[Reenviado] &lt;imagen omitida&gt;</x:v>
      </x:c>
      <x:c r="E686" s="22" t="str">
        <x:v>Conversación / sin asiento</x:v>
      </x:c>
      <x:c r="F686" s="22" t="str"/>
    </x:row>
    <x:row r="687" ht="70" customHeight="1">
      <x:c r="A687" s="22" t="str">
        <x:v>Chat</x:v>
      </x:c>
      <x:c r="B687" s="22" t="str">
        <x:v>M-0240</x:v>
      </x:c>
      <x:c r="C687" s="29" t="n">
        <x:v>46251</x:v>
      </x:c>
      <x:c r="D687" s="32" t="str">
        <x:v>2026-08-17T20:23:46 · Gregory
21$ landaeta</x:v>
      </x:c>
      <x:c r="E687" s="22" t="str">
        <x:v>Aviso de monto unido a ficha, sin nuevo cobro</x:v>
      </x:c>
      <x:c r="F687" s="22" t="str">
        <x:v>P-040</x:v>
      </x:c>
    </x:row>
    <x:row r="688" ht="70" customHeight="1">
      <x:c r="A688" s="22" t="str">
        <x:v>Chat</x:v>
      </x:c>
      <x:c r="B688" s="22" t="str">
        <x:v>M-0241</x:v>
      </x:c>
      <x:c r="C688" s="29" t="n">
        <x:v>46252</x:v>
      </x:c>
      <x:c r="D688" s="32" t="str">
        <x:v>2026-08-18T16:05:32 · Gregory
[Reenviado] &lt;imagen omitida&gt;</x:v>
      </x:c>
      <x:c r="E688" s="22" t="str">
        <x:v>Conversación / sin asiento</x:v>
      </x:c>
      <x:c r="F688" s="22" t="str"/>
    </x:row>
    <x:row r="689" ht="70" customHeight="1">
      <x:c r="A689" s="22" t="str">
        <x:v>Chat</x:v>
      </x:c>
      <x:c r="B689" s="22" t="str">
        <x:v>M-0242</x:v>
      </x:c>
      <x:c r="C689" s="29" t="n">
        <x:v>46252</x:v>
      </x:c>
      <x:c r="D689" s="32" t="str">
        <x:v>2026-08-18T16:05:32 · Gregory
5$ Fernanda</x:v>
      </x:c>
      <x:c r="E689" s="22" t="str">
        <x:v>Aviso de monto unido a ficha, sin nuevo cobro</x:v>
      </x:c>
      <x:c r="F689" s="22" t="str">
        <x:v>P-041</x:v>
      </x:c>
    </x:row>
    <x:row r="690" ht="70" customHeight="1">
      <x:c r="A690" s="22" t="str">
        <x:v>Chat</x:v>
      </x:c>
      <x:c r="B690" s="22" t="str">
        <x:v>M-0243</x:v>
      </x:c>
      <x:c r="C690" s="29" t="n">
        <x:v>46252</x:v>
      </x:c>
      <x:c r="D690" s="32" t="str">
        <x:v>2026-08-18T17:49:54 · Gregory
Venta
Cliente:Deiner 
Metodo de Pago:Pm
Producto:scandal 
Fecha:18/08/2026
Cuotas 2
Inicial:
Costo 11$ venta 24bcv</x:v>
      </x:c>
      <x:c r="E690" s="22" t="str">
        <x:v>Venta cruzada con Excel</x:v>
      </x:c>
      <x:c r="F690" s="22" t="str">
        <x:v>V-045</x:v>
      </x:c>
    </x:row>
    <x:row r="691" ht="70" customHeight="1">
      <x:c r="A691" s="22" t="str">
        <x:v>Chat</x:v>
      </x:c>
      <x:c r="B691" s="22" t="str">
        <x:v>M-0244</x:v>
      </x:c>
      <x:c r="C691" s="29" t="n">
        <x:v>46252</x:v>
      </x:c>
      <x:c r="D691" s="32" t="str">
        <x:v>2026-08-18T18:27:02 · Gregory
[Reenviado] &lt;imagen omitida&gt;</x:v>
      </x:c>
      <x:c r="E691" s="22" t="str">
        <x:v>Conversación / sin asiento</x:v>
      </x:c>
      <x:c r="F691" s="22" t="str"/>
    </x:row>
    <x:row r="692" ht="70" customHeight="1">
      <x:c r="A692" s="22" t="str">
        <x:v>Chat</x:v>
      </x:c>
      <x:c r="B692" s="22" t="str">
        <x:v>M-0245</x:v>
      </x:c>
      <x:c r="C692" s="29" t="n">
        <x:v>46252</x:v>
      </x:c>
      <x:c r="D692" s="32" t="str">
        <x:v>2026-08-18T18:27:03 · Gregory
Ricardo 9.50</x:v>
      </x:c>
      <x:c r="E692" s="22" t="str">
        <x:v>Conversación / sin asiento</x:v>
      </x:c>
      <x:c r="F692" s="22" t="str"/>
    </x:row>
    <x:row r="693" ht="70" customHeight="1">
      <x:c r="A693" s="22" t="str">
        <x:v>Chat</x:v>
      </x:c>
      <x:c r="B693" s="22" t="str">
        <x:v>M-0246</x:v>
      </x:c>
      <x:c r="C693" s="29" t="n">
        <x:v>46252</x:v>
      </x:c>
      <x:c r="D693" s="32" t="str">
        <x:v>2026-08-18T19:17:51 · Gregory
Pago
Cliente:Landaeta 
Metodo de pago:PM
Monto:16.224,00
Fecha:17/08/2026
Producto:Asad
Cuota: 1/2
21$bcv falta 1 dólar
Referencia 6346</x:v>
      </x:c>
      <x:c r="E693" s="22" t="str">
        <x:v>Pago nuevo</x:v>
      </x:c>
      <x:c r="F693" s="22" t="str">
        <x:v>P-040</x:v>
      </x:c>
    </x:row>
    <x:row r="694" ht="70" customHeight="1">
      <x:c r="A694" s="22" t="str">
        <x:v>Chat</x:v>
      </x:c>
      <x:c r="B694" s="22" t="str">
        <x:v>M-0247</x:v>
      </x:c>
      <x:c r="C694" s="29" t="n">
        <x:v>46252</x:v>
      </x:c>
      <x:c r="D694" s="32" t="str">
        <x:v>2026-08-18T19:19:00 · Gregory
Pago
Cliente:Fernanda
Metodo de pago:Pm
Monto:3.886,56
Fecha:18/08/2026
Producto:Yara Fem 
Cuota: 3/3✅
2969</x:v>
      </x:c>
      <x:c r="E694" s="22" t="str">
        <x:v>Pago nuevo</x:v>
      </x:c>
      <x:c r="F694" s="22" t="str">
        <x:v>P-041</x:v>
      </x:c>
    </x:row>
    <x:row r="695" ht="70" customHeight="1">
      <x:c r="A695" s="22" t="str">
        <x:v>Chat</x:v>
      </x:c>
      <x:c r="B695" s="22" t="str">
        <x:v>M-0248</x:v>
      </x:c>
      <x:c r="C695" s="29" t="n">
        <x:v>46252</x:v>
      </x:c>
      <x:c r="D695" s="32" t="str">
        <x:v>2026-08-18T19:20:32 · Gregory
Pago
Cliente:Ricardo 
Metodo de pago:Pm
Monto:8.557,00
Fecha:18/08/2026
Producto:Clud de nuit intense
Cuota: 2/2✅
9.5 afiliado
Referencia 2064</x:v>
      </x:c>
      <x:c r="E695" s="22" t="str">
        <x:v>Pago nuevo</x:v>
      </x:c>
      <x:c r="F695" s="22" t="str">
        <x:v>P-042</x:v>
      </x:c>
    </x:row>
    <x:row r="696" ht="70" customHeight="1">
      <x:c r="A696" s="22" t="str">
        <x:v>Chat</x:v>
      </x:c>
      <x:c r="B696" s="22" t="str">
        <x:v>M-0249</x:v>
      </x:c>
      <x:c r="C696" s="29" t="n">
        <x:v>46253</x:v>
      </x:c>
      <x:c r="D696" s="32" t="str">
        <x:v>2026-08-19T10:12:32 · Gregory
[Reenviado] &lt;imagen omitida&gt;</x:v>
      </x:c>
      <x:c r="E696" s="22" t="str">
        <x:v>Conversación / sin asiento</x:v>
      </x:c>
      <x:c r="F696" s="22" t="str"/>
    </x:row>
    <x:row r="697" ht="70" customHeight="1">
      <x:c r="A697" s="22" t="str">
        <x:v>Chat</x:v>
      </x:c>
      <x:c r="B697" s="22" t="str">
        <x:v>M-0250</x:v>
      </x:c>
      <x:c r="C697" s="29" t="n">
        <x:v>46253</x:v>
      </x:c>
      <x:c r="D697" s="32" t="str">
        <x:v>2026-08-19T10:12:32 · Gregory
20$ Ricardo</x:v>
      </x:c>
      <x:c r="E697" s="22" t="str">
        <x:v>Aviso conservado sin duplicar cobro</x:v>
      </x:c>
      <x:c r="F697" s="22" t="str">
        <x:v>P-043</x:v>
      </x:c>
    </x:row>
    <x:row r="698" ht="70" customHeight="1">
      <x:c r="A698" s="22" t="str">
        <x:v>Chat</x:v>
      </x:c>
      <x:c r="B698" s="22" t="str">
        <x:v>M-0251</x:v>
      </x:c>
      <x:c r="C698" s="29" t="n">
        <x:v>46253</x:v>
      </x:c>
      <x:c r="D698" s="32" t="str">
        <x:v>2026-08-19T23:06:57 · Gregory
Pago
Cliente:Ricardo 
Metodo de pago:pm
Monto:15.466,00 20$
Fecha:18/08/2026 
Producto:Aqua di gio 
Cuota: 1/2
Referencia 4604</x:v>
      </x:c>
      <x:c r="E698" s="22" t="str">
        <x:v>Pago nuevo</x:v>
      </x:c>
      <x:c r="F698" s="22" t="str">
        <x:v>P-043</x:v>
      </x:c>
    </x:row>
    <x:row r="699" ht="70" customHeight="1">
      <x:c r="A699" s="22" t="str">
        <x:v>Chat</x:v>
      </x:c>
      <x:c r="B699" s="22" t="str">
        <x:v>M-0252</x:v>
      </x:c>
      <x:c r="C699" s="29" t="n">
        <x:v>46254</x:v>
      </x:c>
      <x:c r="D699" s="32" t="str">
        <x:v>2026-08-20T04:47:35 · Gregory
Se eliminó este mensaje.</x:v>
      </x:c>
      <x:c r="E699" s="22" t="str">
        <x:v>Conversación / sin asiento</x:v>
      </x:c>
      <x:c r="F699" s="22" t="str"/>
    </x:row>
    <x:row r="700" ht="70" customHeight="1">
      <x:c r="A700" s="22" t="str">
        <x:v>Chat</x:v>
      </x:c>
      <x:c r="B700" s="22" t="str">
        <x:v>M-0253</x:v>
      </x:c>
      <x:c r="C700" s="29" t="n">
        <x:v>46254</x:v>
      </x:c>
      <x:c r="D700" s="32" t="str">
        <x:v>2026-08-20T04:47:35 · Gregory
Se eliminó este mensaje.</x:v>
      </x:c>
      <x:c r="E700" s="22" t="str">
        <x:v>Conversación / sin asiento</x:v>
      </x:c>
      <x:c r="F700" s="22" t="str"/>
    </x:row>
    <x:row r="701" ht="70" customHeight="1">
      <x:c r="A701" s="22" t="str">
        <x:v>Chat</x:v>
      </x:c>
      <x:c r="B701" s="22" t="str">
        <x:v>M-0254</x:v>
      </x:c>
      <x:c r="C701" s="29" t="n">
        <x:v>46254</x:v>
      </x:c>
      <x:c r="D701" s="32" t="str">
        <x:v>2026-08-20T17:16:57 · Gregor Escalona
&lt;imagen omitida&gt;</x:v>
      </x:c>
      <x:c r="E701" s="22" t="str">
        <x:v>Conversación / sin asiento</x:v>
      </x:c>
      <x:c r="F701" s="22" t="str"/>
    </x:row>
    <x:row r="702" ht="70" customHeight="1">
      <x:c r="A702" s="22" t="str">
        <x:v>Chat</x:v>
      </x:c>
      <x:c r="B702" s="22" t="str">
        <x:v>M-0255</x:v>
      </x:c>
      <x:c r="C702" s="29" t="n">
        <x:v>46254</x:v>
      </x:c>
      <x:c r="D702" s="32" t="str">
        <x:v>2026-08-20T17:16:57 · Gregor Escalona
Compra mercancía</x:v>
      </x:c>
      <x:c r="E702" s="22" t="str">
        <x:v>Conversación / sin asiento</x:v>
      </x:c>
      <x:c r="F702" s="22" t="str"/>
    </x:row>
    <x:row r="703" ht="70" customHeight="1">
      <x:c r="A703" s="22" t="str">
        <x:v>Chat</x:v>
      </x:c>
      <x:c r="B703" s="22" t="str">
        <x:v>M-0256</x:v>
      </x:c>
      <x:c r="C703" s="29" t="n">
        <x:v>46254</x:v>
      </x:c>
      <x:c r="D703" s="32" t="str">
        <x:v>2026-08-20T18:25:18 · Gregory
&lt;imagen omitida&gt;</x:v>
      </x:c>
      <x:c r="E703" s="22" t="str">
        <x:v>Conversación / sin asiento</x:v>
      </x:c>
      <x:c r="F703" s="22" t="str"/>
    </x:row>
    <x:row r="704" ht="70" customHeight="1">
      <x:c r="A704" s="22" t="str">
        <x:v>Chat</x:v>
      </x:c>
      <x:c r="B704" s="22" t="str">
        <x:v>M-0257</x:v>
      </x:c>
      <x:c r="C704" s="29" t="n">
        <x:v>46254</x:v>
      </x:c>
      <x:c r="D704" s="32" t="str">
        <x:v>2026-08-20T18:25:31 · Gregory
&lt;imagen omitida&gt;</x:v>
      </x:c>
      <x:c r="E704" s="22" t="str">
        <x:v>Conversación / sin asiento</x:v>
      </x:c>
      <x:c r="F704" s="22" t="str"/>
    </x:row>
    <x:row r="705" ht="70" customHeight="1">
      <x:c r="A705" s="22" t="str">
        <x:v>Chat</x:v>
      </x:c>
      <x:c r="B705" s="22" t="str">
        <x:v>M-0258</x:v>
      </x:c>
      <x:c r="C705" s="29" t="n">
        <x:v>46254</x:v>
      </x:c>
      <x:c r="D705" s="32" t="str">
        <x:v>2026-08-20T18:25:42 · Gregory
0191 04243356457 26961972</x:v>
      </x:c>
      <x:c r="E705" s="22" t="str">
        <x:v>Conversación / sin asiento</x:v>
      </x:c>
      <x:c r="F705" s="22" t="str"/>
    </x:row>
    <x:row r="706" ht="70" customHeight="1">
      <x:c r="A706" s="22" t="str">
        <x:v>Chat</x:v>
      </x:c>
      <x:c r="B706" s="22" t="str">
        <x:v>M-0259</x:v>
      </x:c>
      <x:c r="C706" s="29" t="n">
        <x:v>46254</x:v>
      </x:c>
      <x:c r="D706" s="32" t="str">
        <x:v>2026-08-20T18:25:55 · Gregory
.</x:v>
      </x:c>
      <x:c r="E706" s="22" t="str">
        <x:v>Conversación / sin asiento</x:v>
      </x:c>
      <x:c r="F706" s="22" t="str"/>
    </x:row>
    <x:row r="707" ht="70" customHeight="1">
      <x:c r="A707" s="22" t="str">
        <x:v>Chat</x:v>
      </x:c>
      <x:c r="B707" s="22" t="str">
        <x:v>M-0260</x:v>
      </x:c>
      <x:c r="C707" s="29" t="n">
        <x:v>46254</x:v>
      </x:c>
      <x:c r="D707" s="32" t="str">
        <x:v>2026-08-20T19:09:20 · Gregor Escalona
Los datos para pasar este gasto</x:v>
      </x:c>
      <x:c r="E707" s="22" t="str">
        <x:v>Conversación / sin asiento</x:v>
      </x:c>
      <x:c r="F707" s="22" t="str"/>
    </x:row>
    <x:row r="708" ht="70" customHeight="1">
      <x:c r="A708" s="22" t="str">
        <x:v>Chat</x:v>
      </x:c>
      <x:c r="B708" s="22" t="str">
        <x:v>M-0261</x:v>
      </x:c>
      <x:c r="C708" s="29" t="n">
        <x:v>46254</x:v>
      </x:c>
      <x:c r="D708" s="32" t="str">
        <x:v>2026-08-20T19:09:57 · Gregor Escalona
&lt;imagen omitida&gt; Gasto transporte</x:v>
      </x:c>
      <x:c r="E708" s="22" t="str">
        <x:v>Conversación / sin asiento</x:v>
      </x:c>
      <x:c r="F708" s="22" t="str"/>
    </x:row>
    <x:row r="709" ht="70" customHeight="1">
      <x:c r="A709" s="22" t="str">
        <x:v>Chat</x:v>
      </x:c>
      <x:c r="B709" s="22" t="str">
        <x:v>M-0262</x:v>
      </x:c>
      <x:c r="C709" s="29" t="n">
        <x:v>46256</x:v>
      </x:c>
      <x:c r="D709" s="32" t="str">
        <x:v>2026-08-22T02:02:53 · Gregory
[Reenviado] &lt;imagen omitida&gt;</x:v>
      </x:c>
      <x:c r="E709" s="22" t="str">
        <x:v>Conversación / sin asiento</x:v>
      </x:c>
      <x:c r="F709" s="22" t="str"/>
    </x:row>
    <x:row r="710" ht="70" customHeight="1">
      <x:c r="A710" s="22" t="str">
        <x:v>Chat</x:v>
      </x:c>
      <x:c r="B710" s="22" t="str">
        <x:v>M-0263</x:v>
      </x:c>
      <x:c r="C710" s="29" t="n">
        <x:v>46256</x:v>
      </x:c>
      <x:c r="D710" s="32" t="str">
        <x:v>2026-08-22T02:02:54 · Gregory
Cristhian 20$</x:v>
      </x:c>
      <x:c r="E710" s="22" t="str">
        <x:v>Aviso de monto unido a ficha, sin nuevo cobro</x:v>
      </x:c>
      <x:c r="F710" s="22" t="str">
        <x:v>P-044</x:v>
      </x:c>
    </x:row>
    <x:row r="711" ht="70" customHeight="1">
      <x:c r="A711" s="22" t="str">
        <x:v>Chat</x:v>
      </x:c>
      <x:c r="B711" s="22" t="str">
        <x:v>M-0264</x:v>
      </x:c>
      <x:c r="C711" s="29" t="n">
        <x:v>46256</x:v>
      </x:c>
      <x:c r="D711" s="32" t="str">
        <x:v>2026-08-22T06:36:37 · Gregory
[Reenviado] &lt;imagen omitida&gt;</x:v>
      </x:c>
      <x:c r="E711" s="22" t="str">
        <x:v>Conversación / sin asiento</x:v>
      </x:c>
      <x:c r="F711" s="22" t="str"/>
    </x:row>
    <x:row r="712" ht="70" customHeight="1">
      <x:c r="A712" s="22" t="str">
        <x:v>Chat</x:v>
      </x:c>
      <x:c r="B712" s="22" t="str">
        <x:v>M-0265</x:v>
      </x:c>
      <x:c r="C712" s="29" t="n">
        <x:v>46256</x:v>
      </x:c>
      <x:c r="D712" s="32" t="str">
        <x:v>2026-08-22T06:36:37 · Gregory
Francheska 21$</x:v>
      </x:c>
      <x:c r="E712" s="22" t="str">
        <x:v>Aviso de monto unido a ficha, sin nuevo cobro</x:v>
      </x:c>
      <x:c r="F712" s="22" t="str">
        <x:v>P-045</x:v>
      </x:c>
    </x:row>
    <x:row r="713" ht="70" customHeight="1">
      <x:c r="A713" s="22" t="str">
        <x:v>Chat</x:v>
      </x:c>
      <x:c r="B713" s="22" t="str">
        <x:v>M-0266</x:v>
      </x:c>
      <x:c r="C713" s="29" t="n">
        <x:v>46256</x:v>
      </x:c>
      <x:c r="D713" s="32" t="str">
        <x:v>2026-08-22T13:32:05 · Gregory
Pago
Cliente:Cristhian 
Metodo de pago:Pm
Monto:15.599,04 20$
Fecha:21/08/2026
Producto:9pm rebel original
Cuota: 1/3 
Referencia 2589</x:v>
      </x:c>
      <x:c r="E713" s="22" t="str">
        <x:v>Pago nuevo</x:v>
      </x:c>
      <x:c r="F713" s="22" t="str">
        <x:v>P-044</x:v>
      </x:c>
    </x:row>
    <x:row r="714" ht="70" customHeight="1">
      <x:c r="A714" s="22" t="str">
        <x:v>Chat</x:v>
      </x:c>
      <x:c r="B714" s="22" t="str">
        <x:v>M-0267</x:v>
      </x:c>
      <x:c r="C714" s="29" t="n">
        <x:v>46256</x:v>
      </x:c>
      <x:c r="D714" s="32" t="str">
        <x:v>2026-08-22T13:33:13 · Gregory
Pago
Cliente:Francheska 
Metodo de pago:pm
Monto:16.379,00.  21$
Fecha:22/08/2026 
Producto:Khamra 
Cuota: 1/2
Referencia 7442</x:v>
      </x:c>
      <x:c r="E714" s="22" t="str">
        <x:v>Pago nuevo</x:v>
      </x:c>
      <x:c r="F714" s="22" t="str">
        <x:v>P-045</x:v>
      </x:c>
    </x:row>
    <x:row r="715" ht="70" customHeight="1">
      <x:c r="A715" s="22" t="str">
        <x:v>Chat</x:v>
      </x:c>
      <x:c r="B715" s="22" t="str">
        <x:v>M-0268</x:v>
      </x:c>
      <x:c r="C715" s="29" t="n">
        <x:v>46256</x:v>
      </x:c>
      <x:c r="D715" s="32" t="str">
        <x:v>2026-08-22T13:34:15 · Gregory
Eliminar el Aqua di gio</x:v>
      </x:c>
      <x:c r="E715" s="22" t="str">
        <x:v>Anulación ambigua, no aplicada automáticamente</x:v>
      </x:c>
      <x:c r="F715" s="22" t="str">
        <x:v>REVISION</x:v>
      </x:c>
    </x:row>
    <x:row r="716" ht="70" customHeight="1">
      <x:c r="A716" s="22" t="str">
        <x:v>Chat</x:v>
      </x:c>
      <x:c r="B716" s="22" t="str">
        <x:v>M-0269</x:v>
      </x:c>
      <x:c r="C716" s="29" t="n">
        <x:v>46256</x:v>
      </x:c>
      <x:c r="D716" s="32" t="str">
        <x:v>2026-08-22T13:36:36 · Gregory
Venta
Cliente:amarista 
Metodo de Pago:pm
Producto:Amethyst 
Fecha:21/08/2026
Cuotas 3
Inicial:0
Costo16 Venta 40bcv</x:v>
      </x:c>
      <x:c r="E716" s="22" t="str">
        <x:v>Venta cruzada con Excel</x:v>
      </x:c>
      <x:c r="F716" s="22" t="str">
        <x:v>V-046</x:v>
      </x:c>
    </x:row>
    <x:row r="717" ht="70" customHeight="1">
      <x:c r="A717" s="22" t="str">
        <x:v>Chat</x:v>
      </x:c>
      <x:c r="B717" s="22" t="str">
        <x:v>M-0270</x:v>
      </x:c>
      <x:c r="C717" s="29" t="n">
        <x:v>46256</x:v>
      </x:c>
      <x:c r="D717" s="32" t="str">
        <x:v>2026-08-22T13:38:36 · Gregory
Venta
Cliente:Anderson 
Metodo de Pago:pm
Producto:yara tous 
Fecha:21/08/2026
Cuotas 3
Inicial:0
Costo13 24bcv</x:v>
      </x:c>
      <x:c r="E717" s="22" t="str">
        <x:v>Venta cruzada con Excel</x:v>
      </x:c>
      <x:c r="F717" s="22" t="str">
        <x:v>V-047</x:v>
      </x:c>
    </x:row>
    <x:row r="718" ht="70" customHeight="1">
      <x:c r="A718" s="22" t="str">
        <x:v>Chat</x:v>
      </x:c>
      <x:c r="B718" s="22" t="str">
        <x:v>M-0271</x:v>
      </x:c>
      <x:c r="C718" s="29" t="n">
        <x:v>46256</x:v>
      </x:c>
      <x:c r="D718" s="32" t="str">
        <x:v>2026-08-22T13:40:37 · Gregory
Venta
Cliente:Ricardo 
Metodo de Pago:Pm
Producto:amber oud haramain 
Fecha:20/08/2026
Cuotas 2
Inicial:0
Costo 16 Venta 23 usdt</x:v>
      </x:c>
      <x:c r="E718" s="22" t="str">
        <x:v>Venta cruzada con Excel</x:v>
      </x:c>
      <x:c r="F718" s="22" t="str">
        <x:v>V-048</x:v>
      </x:c>
    </x:row>
    <x:row r="719" ht="70" customHeight="1">
      <x:c r="A719" s="22" t="str">
        <x:v>Chat</x:v>
      </x:c>
      <x:c r="B719" s="22" t="str">
        <x:v>M-0272</x:v>
      </x:c>
      <x:c r="C719" s="29" t="n">
        <x:v>46258</x:v>
      </x:c>
      <x:c r="D719" s="32" t="str">
        <x:v>2026-08-24T18:26:14 · Gregory
[Reenviado] &lt;imagen omitida&gt;</x:v>
      </x:c>
      <x:c r="E719" s="22" t="str">
        <x:v>Conversación / sin asiento</x:v>
      </x:c>
      <x:c r="F719" s="22" t="str"/>
    </x:row>
    <x:row r="720" ht="70" customHeight="1">
      <x:c r="A720" s="22" t="str">
        <x:v>Chat</x:v>
      </x:c>
      <x:c r="B720" s="22" t="str">
        <x:v>M-0273</x:v>
      </x:c>
      <x:c r="C720" s="29" t="n">
        <x:v>46258</x:v>
      </x:c>
      <x:c r="D720" s="32" t="str">
        <x:v>2026-08-24T18:26:15 · Gregory
10$ Deiner</x:v>
      </x:c>
      <x:c r="E720" s="22" t="str">
        <x:v>Aviso único recuperado</x:v>
      </x:c>
      <x:c r="F720" s="22" t="str">
        <x:v>P-075</x:v>
      </x:c>
    </x:row>
    <x:row r="721" ht="70" customHeight="1">
      <x:c r="A721" s="22" t="str">
        <x:v>Chat</x:v>
      </x:c>
      <x:c r="B721" s="22" t="str">
        <x:v>M-0274</x:v>
      </x:c>
      <x:c r="C721" s="29" t="n">
        <x:v>46260</x:v>
      </x:c>
      <x:c r="D721" s="32" t="str">
        <x:v>2026-08-26T16:38:56 · Gregory
04124073858
J-504528676
0105</x:v>
      </x:c>
      <x:c r="E721" s="22" t="str">
        <x:v>Conversación / sin asiento</x:v>
      </x:c>
      <x:c r="F721" s="22" t="str"/>
    </x:row>
    <x:row r="722" ht="70" customHeight="1">
      <x:c r="A722" s="22" t="str">
        <x:v>Chat</x:v>
      </x:c>
      <x:c r="B722" s="22" t="str">
        <x:v>M-0275</x:v>
      </x:c>
      <x:c r="C722" s="29" t="n">
        <x:v>46260</x:v>
      </x:c>
      <x:c r="D722" s="32" t="str">
        <x:v>2026-08-26T16:39:13 · Gregory
27.574</x:v>
      </x:c>
      <x:c r="E722" s="22" t="str">
        <x:v>Conversación / sin asiento</x:v>
      </x:c>
      <x:c r="F722" s="22" t="str"/>
    </x:row>
    <x:row r="723" ht="70" customHeight="1">
      <x:c r="A723" s="22" t="str">
        <x:v>Chat</x:v>
      </x:c>
      <x:c r="B723" s="22" t="str">
        <x:v>M-0276</x:v>
      </x:c>
      <x:c r="C723" s="29" t="n">
        <x:v>46260</x:v>
      </x:c>
      <x:c r="D723" s="32" t="str">
        <x:v>2026-08-26T16:40:50 · Gregor Escalona
&lt;imagen omitida&gt; Compra mercancía</x:v>
      </x:c>
      <x:c r="E723" s="22" t="str">
        <x:v>Conversación / sin asiento</x:v>
      </x:c>
      <x:c r="F723" s="22" t="str"/>
    </x:row>
    <x:row r="724" ht="70" customHeight="1">
      <x:c r="A724" s="22" t="str">
        <x:v>Chat</x:v>
      </x:c>
      <x:c r="B724" s="22" t="str">
        <x:v>M-0277</x:v>
      </x:c>
      <x:c r="C724" s="29" t="n">
        <x:v>46260</x:v>
      </x:c>
      <x:c r="D724" s="32" t="str">
        <x:v>2026-08-26T18:31:39 · Gregory
Clud de nuit intense 2 15€ cada uno</x:v>
      </x:c>
      <x:c r="E724" s="22" t="str">
        <x:v>Conversación / sin asiento</x:v>
      </x:c>
      <x:c r="F724" s="22" t="str"/>
    </x:row>
    <x:row r="725" ht="70" customHeight="1">
      <x:c r="A725" s="22" t="str">
        <x:v>Chat</x:v>
      </x:c>
      <x:c r="B725" s="22" t="str">
        <x:v>M-0278</x:v>
      </x:c>
      <x:c r="C725" s="29" t="n">
        <x:v>46260</x:v>
      </x:c>
      <x:c r="D725" s="32" t="str">
        <x:v>2026-08-26T18:32:54 · Gregory
Venta
Cliente:Ricardo 
Metodo de Pago:Pm
Producto:Aqua di gio 
Fecha:24/08/2026
Cuotas 2
Inicial:
Costo13 Venta 16 usdt</x:v>
      </x:c>
      <x:c r="E725" s="22" t="str">
        <x:v>Venta cruzada con Excel</x:v>
      </x:c>
      <x:c r="F725" s="22" t="str">
        <x:v>V-049</x:v>
      </x:c>
    </x:row>
    <x:row r="726" ht="70" customHeight="1">
      <x:c r="A726" s="22" t="str">
        <x:v>Chat</x:v>
      </x:c>
      <x:c r="B726" s="22" t="str">
        <x:v>M-0279</x:v>
      </x:c>
      <x:c r="C726" s="29" t="n">
        <x:v>46260</x:v>
      </x:c>
      <x:c r="D726" s="32" t="str">
        <x:v>2026-08-26T18:39:47 · Gregory
[Reenviado] &lt;imagen omitida&gt;</x:v>
      </x:c>
      <x:c r="E726" s="22" t="str">
        <x:v>Conversación / sin asiento</x:v>
      </x:c>
      <x:c r="F726" s="22" t="str"/>
    </x:row>
    <x:row r="727" ht="70" customHeight="1">
      <x:c r="A727" s="22" t="str">
        <x:v>Chat</x:v>
      </x:c>
      <x:c r="B727" s="22" t="str">
        <x:v>M-0280</x:v>
      </x:c>
      <x:c r="C727" s="29" t="n">
        <x:v>46260</x:v>
      </x:c>
      <x:c r="D727" s="32" t="str">
        <x:v>2026-08-26T18:39:48 · Gregory
Ricardo 23usdt</x:v>
      </x:c>
      <x:c r="E727" s="22" t="str">
        <x:v>Aviso de monto unido a ficha, sin nuevo cobro</x:v>
      </x:c>
      <x:c r="F727" s="22" t="str">
        <x:v>P-046</x:v>
      </x:c>
    </x:row>
    <x:row r="728" ht="70" customHeight="1">
      <x:c r="A728" s="22" t="str">
        <x:v>Chat</x:v>
      </x:c>
      <x:c r="B728" s="22" t="str">
        <x:v>M-0281</x:v>
      </x:c>
      <x:c r="C728" s="29" t="n">
        <x:v>46260</x:v>
      </x:c>
      <x:c r="D728" s="32" t="str">
        <x:v>2026-08-26T18:43:35 · Gregory
[Reenviado] &lt;imagen omitida&gt;</x:v>
      </x:c>
      <x:c r="E728" s="22" t="str">
        <x:v>Conversación / sin asiento</x:v>
      </x:c>
      <x:c r="F728" s="22" t="str"/>
    </x:row>
    <x:row r="729" ht="70" customHeight="1">
      <x:c r="A729" s="22" t="str">
        <x:v>Chat</x:v>
      </x:c>
      <x:c r="B729" s="22" t="str">
        <x:v>M-0282</x:v>
      </x:c>
      <x:c r="C729" s="29" t="n">
        <x:v>46260</x:v>
      </x:c>
      <x:c r="D729" s="32" t="str">
        <x:v>2026-08-26T18:43:35 · Gregory
Pago Ricardo 8usdt</x:v>
      </x:c>
      <x:c r="E729" s="22" t="str">
        <x:v>Aviso de monto unido a ficha, sin nuevo cobro</x:v>
      </x:c>
      <x:c r="F729" s="22" t="str">
        <x:v>P-047</x:v>
      </x:c>
    </x:row>
    <x:row r="730" ht="70" customHeight="1">
      <x:c r="A730" s="22" t="str">
        <x:v>Chat</x:v>
      </x:c>
      <x:c r="B730" s="22" t="str">
        <x:v>M-0283</x:v>
      </x:c>
      <x:c r="C730" s="29" t="n">
        <x:v>46261</x:v>
      </x:c>
      <x:c r="D730" s="32" t="str">
        <x:v>2026-08-27T15:34:10 · Gregory
[Reenviado] &lt;imagen omitida&gt;</x:v>
      </x:c>
      <x:c r="E730" s="22" t="str">
        <x:v>Conversación / sin asiento</x:v>
      </x:c>
      <x:c r="F730" s="22" t="str"/>
    </x:row>
    <x:row r="731" ht="70" customHeight="1">
      <x:c r="A731" s="22" t="str">
        <x:v>Chat</x:v>
      </x:c>
      <x:c r="B731" s="22" t="str">
        <x:v>M-0284</x:v>
      </x:c>
      <x:c r="C731" s="29" t="n">
        <x:v>46261</x:v>
      </x:c>
      <x:c r="D731" s="32" t="str">
        <x:v>2026-08-27T15:34:10 · Gregory
&lt;Mensaje de unknown&gt;</x:v>
      </x:c>
      <x:c r="E731" s="22" t="str">
        <x:v>Conversación / sin asiento</x:v>
      </x:c>
      <x:c r="F731" s="22" t="str"/>
    </x:row>
    <x:row r="732" ht="70" customHeight="1">
      <x:c r="A732" s="22" t="str">
        <x:v>Chat</x:v>
      </x:c>
      <x:c r="B732" s="22" t="str">
        <x:v>M-0285</x:v>
      </x:c>
      <x:c r="C732" s="29" t="n">
        <x:v>46261</x:v>
      </x:c>
      <x:c r="D732" s="32" t="str">
        <x:v>2026-08-27T15:34:10 · Gregory
Ivana 15$</x:v>
      </x:c>
      <x:c r="E732" s="22" t="str">
        <x:v>Aviso de monto unido a ficha, sin nuevo cobro</x:v>
      </x:c>
      <x:c r="F732" s="22" t="str">
        <x:v>P-048</x:v>
      </x:c>
    </x:row>
    <x:row r="733" ht="70" customHeight="1">
      <x:c r="A733" s="22" t="str">
        <x:v>Chat</x:v>
      </x:c>
      <x:c r="B733" s="22" t="str">
        <x:v>M-0286</x:v>
      </x:c>
      <x:c r="C733" s="29" t="n">
        <x:v>46261</x:v>
      </x:c>
      <x:c r="D733" s="32" t="str">
        <x:v>2026-08-27T19:29:47 · Gregory
[Reenviado] &lt;imagen omitida&gt;</x:v>
      </x:c>
      <x:c r="E733" s="22" t="str">
        <x:v>Conversación / sin asiento</x:v>
      </x:c>
      <x:c r="F733" s="22" t="str"/>
    </x:row>
    <x:row r="734" ht="70" customHeight="1">
      <x:c r="A734" s="22" t="str">
        <x:v>Chat</x:v>
      </x:c>
      <x:c r="B734" s="22" t="str">
        <x:v>M-0287</x:v>
      </x:c>
      <x:c r="C734" s="29" t="n">
        <x:v>46261</x:v>
      </x:c>
      <x:c r="D734" s="32" t="str">
        <x:v>2026-08-27T19:29:48 · Gregory
Amarista 20 $</x:v>
      </x:c>
      <x:c r="E734" s="22" t="str">
        <x:v>Aviso de monto unido a ficha, sin nuevo cobro</x:v>
      </x:c>
      <x:c r="F734" s="22" t="str">
        <x:v>P-049</x:v>
      </x:c>
    </x:row>
    <x:row r="735" ht="70" customHeight="1">
      <x:c r="A735" s="22" t="str">
        <x:v>Chat</x:v>
      </x:c>
      <x:c r="B735" s="22" t="str">
        <x:v>M-0288</x:v>
      </x:c>
      <x:c r="C735" s="29" t="n">
        <x:v>46261</x:v>
      </x:c>
      <x:c r="D735" s="32" t="str">
        <x:v>2026-08-27T20:07:54 · Gregory
Pago
Cliente:Ricardo 
Metodo de pago:PM
Monto:21.967,00
Fecha:26/08/2026
Producto:amber oud haramain
Cuota: 1/1✅</x:v>
      </x:c>
      <x:c r="E735" s="22" t="str">
        <x:v>Pago nuevo</x:v>
      </x:c>
      <x:c r="F735" s="22" t="str">
        <x:v>P-046</x:v>
      </x:c>
    </x:row>
    <x:row r="736" ht="70" customHeight="1">
      <x:c r="A736" s="22" t="str">
        <x:v>Chat</x:v>
      </x:c>
      <x:c r="B736" s="22" t="str">
        <x:v>M-0289</x:v>
      </x:c>
      <x:c r="C736" s="29" t="n">
        <x:v>46261</x:v>
      </x:c>
      <x:c r="D736" s="32" t="str">
        <x:v>2026-08-27T20:09:05 · Gregory
Pago
Cliente:Ricardo 
Metodo de pago:Pm
Monto:7.641,00
Fecha:26/08/2026
Producto:Aqua di gio 
Cuota: 1/2.   8usdt</x:v>
      </x:c>
      <x:c r="E736" s="22" t="str">
        <x:v>Pago nuevo</x:v>
      </x:c>
      <x:c r="F736" s="22" t="str">
        <x:v>P-047</x:v>
      </x:c>
    </x:row>
    <x:row r="737" ht="70" customHeight="1">
      <x:c r="A737" s="22" t="str">
        <x:v>Chat</x:v>
      </x:c>
      <x:c r="B737" s="22" t="str">
        <x:v>M-0290</x:v>
      </x:c>
      <x:c r="C737" s="29" t="n">
        <x:v>46261</x:v>
      </x:c>
      <x:c r="D737" s="32" t="str">
        <x:v>2026-08-27T20:10:04 · Gregory
Pago
Cliente:Ivana 
Metodo de pago:Pm
Monto:11.869,87
Fecha:27/08/2026
Producto:la bomba 
Cuota: 1/2</x:v>
      </x:c>
      <x:c r="E737" s="22" t="str">
        <x:v>Pago nuevo</x:v>
      </x:c>
      <x:c r="F737" s="22" t="str">
        <x:v>P-048</x:v>
      </x:c>
    </x:row>
    <x:row r="738" ht="70" customHeight="1">
      <x:c r="A738" s="22" t="str">
        <x:v>Chat</x:v>
      </x:c>
      <x:c r="B738" s="22" t="str">
        <x:v>M-0291</x:v>
      </x:c>
      <x:c r="C738" s="29" t="n">
        <x:v>46261</x:v>
      </x:c>
      <x:c r="D738" s="32" t="str">
        <x:v>2026-08-27T20:11:27 · Gregory
Pago
Cliente:Amarista 
Metodo de pago:Pm
Monto:15.827,00.   20$
Fecha:27/08/2026
Producto:amethyst 
Cuota: 1/2</x:v>
      </x:c>
      <x:c r="E738" s="22" t="str">
        <x:v>Pago nuevo</x:v>
      </x:c>
      <x:c r="F738" s="22" t="str">
        <x:v>P-049</x:v>
      </x:c>
    </x:row>
    <x:row r="739" ht="70" customHeight="1">
      <x:c r="A739" s="22" t="str">
        <x:v>Chat</x:v>
      </x:c>
      <x:c r="B739" s="22" t="str">
        <x:v>M-0292</x:v>
      </x:c>
      <x:c r="C739" s="29" t="n">
        <x:v>46261</x:v>
      </x:c>
      <x:c r="D739" s="32" t="str">
        <x:v>2026-08-27T20:33:54 · Gregory
Venta
Cliente:José 
Metodo de Pago:PM
Producto:212 vip men 
Fecha:27/08/2026
Cuotas 2
Inicial:0 cliente nuevo</x:v>
      </x:c>
      <x:c r="E739" s="22" t="str">
        <x:v>Venta cruzada con Excel</x:v>
      </x:c>
      <x:c r="F739" s="22" t="str">
        <x:v>V-050</x:v>
      </x:c>
    </x:row>
    <x:row r="740" ht="70" customHeight="1">
      <x:c r="A740" s="22" t="str">
        <x:v>Chat</x:v>
      </x:c>
      <x:c r="B740" s="22" t="str">
        <x:v>M-0293</x:v>
      </x:c>
      <x:c r="C740" s="29" t="n">
        <x:v>46261</x:v>
      </x:c>
      <x:c r="D740" s="32" t="str">
        <x:v>2026-08-27T20:34:51 · Gregory
Venta
Cliente:landaeta 
Metodo de Pago:pm
Producto:asad borbom 
Fecha:27/08/2026
Cuotas. 3 
Inicial:0 producto apartado</x:v>
      </x:c>
      <x:c r="E740" s="22" t="str">
        <x:v>Venta cruzada con Excel</x:v>
      </x:c>
      <x:c r="F740" s="22" t="str">
        <x:v>V-051</x:v>
      </x:c>
    </x:row>
    <x:row r="741" ht="70" customHeight="1">
      <x:c r="A741" s="22" t="str">
        <x:v>Chat</x:v>
      </x:c>
      <x:c r="B741" s="22" t="str">
        <x:v>M-0294</x:v>
      </x:c>
      <x:c r="C741" s="29" t="n">
        <x:v>46263</x:v>
      </x:c>
      <x:c r="D741" s="32" t="str">
        <x:v>2026-08-29T07:43:15 · Gregory
[Reenviado] &lt;imagen omitida&gt;</x:v>
      </x:c>
      <x:c r="E741" s="22" t="str">
        <x:v>Conversación / sin asiento</x:v>
      </x:c>
      <x:c r="F741" s="22" t="str"/>
    </x:row>
    <x:row r="742" ht="70" customHeight="1">
      <x:c r="A742" s="22" t="str">
        <x:v>Chat</x:v>
      </x:c>
      <x:c r="B742" s="22" t="str">
        <x:v>M-0295</x:v>
      </x:c>
      <x:c r="C742" s="29" t="n">
        <x:v>46263</x:v>
      </x:c>
      <x:c r="D742" s="32" t="str">
        <x:v>2026-08-29T07:43:15 · Gregory
Cristhian 15$</x:v>
      </x:c>
      <x:c r="E742" s="22" t="str">
        <x:v>Aviso de monto unido a ficha, sin nuevo cobro</x:v>
      </x:c>
      <x:c r="F742" s="22" t="str">
        <x:v>P-050</x:v>
      </x:c>
    </x:row>
    <x:row r="743" ht="70" customHeight="1">
      <x:c r="A743" s="22" t="str">
        <x:v>Chat</x:v>
      </x:c>
      <x:c r="B743" s="22" t="str">
        <x:v>M-0296</x:v>
      </x:c>
      <x:c r="C743" s="29" t="n">
        <x:v>46263</x:v>
      </x:c>
      <x:c r="D743" s="32" t="str">
        <x:v>2026-08-29T13:43:32 · Gregory
04124073858
J-504528676
0105</x:v>
      </x:c>
      <x:c r="E743" s="22" t="str">
        <x:v>Conversación / sin asiento</x:v>
      </x:c>
      <x:c r="F743" s="22" t="str"/>
    </x:row>
    <x:row r="744" ht="70" customHeight="1">
      <x:c r="A744" s="22" t="str">
        <x:v>Chat</x:v>
      </x:c>
      <x:c r="B744" s="22" t="str">
        <x:v>M-0297</x:v>
      </x:c>
      <x:c r="C744" s="29" t="n">
        <x:v>46263</x:v>
      </x:c>
      <x:c r="D744" s="32" t="str">
        <x:v>2026-08-29T13:44:13 · Gregory
60.000</x:v>
      </x:c>
      <x:c r="E744" s="22" t="str">
        <x:v>Conversación / sin asiento</x:v>
      </x:c>
      <x:c r="F744" s="22" t="str"/>
    </x:row>
    <x:row r="745" ht="70" customHeight="1">
      <x:c r="A745" s="22" t="str">
        <x:v>Chat</x:v>
      </x:c>
      <x:c r="B745" s="22" t="str">
        <x:v>M-0298</x:v>
      </x:c>
      <x:c r="C745" s="29" t="n">
        <x:v>46263</x:v>
      </x:c>
      <x:c r="D745" s="32" t="str">
        <x:v>2026-08-29T13:49:50 · Gregor Escalona
&lt;imagen omitida&gt; Compra mercancía</x:v>
      </x:c>
      <x:c r="E745" s="22" t="str">
        <x:v>Conversación / sin asiento</x:v>
      </x:c>
      <x:c r="F745" s="22" t="str"/>
    </x:row>
    <x:row r="746" ht="70" customHeight="1">
      <x:c r="A746" s="22" t="str">
        <x:v>Chat</x:v>
      </x:c>
      <x:c r="B746" s="22" t="str">
        <x:v>M-0299</x:v>
      </x:c>
      <x:c r="C746" s="29" t="n">
        <x:v>46263</x:v>
      </x:c>
      <x:c r="D746" s="32" t="str">
        <x:v>2026-08-29T14:32:48 · Gregory
&lt;imagen omitida&gt;</x:v>
      </x:c>
      <x:c r="E746" s="22" t="str">
        <x:v>Conversación / sin asiento</x:v>
      </x:c>
      <x:c r="F746" s="22" t="str"/>
    </x:row>
    <x:row r="747" ht="70" customHeight="1">
      <x:c r="A747" s="22" t="str">
        <x:v>Chat</x:v>
      </x:c>
      <x:c r="B747" s="22" t="str">
        <x:v>M-0300</x:v>
      </x:c>
      <x:c r="C747" s="29" t="n">
        <x:v>46263</x:v>
      </x:c>
      <x:c r="D747" s="32" t="str">
        <x:v>2026-08-29T20:42:29 · Gregory
9am costo 5.42 todos 
9am 
9am dive
9am vide 
9pm
9pm
9pm elixir 
9pm elixir 
9pm rebel 
9pm rebel 
9pm rebel 
9pm rebel 
Total 65usdt</x:v>
      </x:c>
      <x:c r="E747" s="22" t="str">
        <x:v>Conversación / sin asiento</x:v>
      </x:c>
      <x:c r="F747" s="22" t="str"/>
    </x:row>
    <x:row r="748" ht="70" customHeight="1">
      <x:c r="A748" s="22" t="str">
        <x:v>Chat</x:v>
      </x:c>
      <x:c r="B748" s="22" t="str">
        <x:v>M-0301</x:v>
      </x:c>
      <x:c r="C748" s="29" t="n">
        <x:v>46263</x:v>
      </x:c>
      <x:c r="D748" s="32" t="str">
        <x:v>2026-08-29T20:44:45 · Gregory
Venta
Cliente:Ricardo
Metodo de Pago:pm
Producto:Clud de nuit intense 
Fecha:26/08/2026
Cuotas 2
Inicial:0
Costo 15 venta 19 usdt</x:v>
      </x:c>
      <x:c r="E748" s="22" t="str">
        <x:v>Venta cruzada con Excel</x:v>
      </x:c>
      <x:c r="F748" s="22" t="str">
        <x:v>V-053</x:v>
      </x:c>
    </x:row>
    <x:row r="749" ht="70" customHeight="1">
      <x:c r="A749" s="22" t="str">
        <x:v>Chat</x:v>
      </x:c>
      <x:c r="B749" s="22" t="str">
        <x:v>M-0302</x:v>
      </x:c>
      <x:c r="C749" s="29" t="n">
        <x:v>46263</x:v>
      </x:c>
      <x:c r="D749" s="32" t="str">
        <x:v>2026-08-29T20:44:56 · Gregory
Venta
Cliente:Ricardo
Metodo de Pago:pm
Producto:Clud de nuit intense 
Fecha:26/08/2026
Cuotas 2
Inicial:0
Costo 15 venta 19 usdt</x:v>
      </x:c>
      <x:c r="E749" s="22" t="str">
        <x:v>Venta cruzada con Excel</x:v>
      </x:c>
      <x:c r="F749" s="22" t="str">
        <x:v>V-052</x:v>
      </x:c>
    </x:row>
    <x:row r="750" ht="70" customHeight="1">
      <x:c r="A750" s="22" t="str">
        <x:v>Chat</x:v>
      </x:c>
      <x:c r="B750" s="22" t="str">
        <x:v>M-0303</x:v>
      </x:c>
      <x:c r="C750" s="29" t="n">
        <x:v>46263</x:v>
      </x:c>
      <x:c r="D750" s="32" t="str">
        <x:v>2026-08-29T20:46:25 · Gregory
Venta
Cliente:Ricardo
Metodo de Pago:pm
Producto:Mandarin sky
Fecha:25/08/2026
Cuotas 2
Inicial:0
Costo 15 venta 19 usdt</x:v>
      </x:c>
      <x:c r="E750" s="22" t="str">
        <x:v>Venta cruzada con Excel</x:v>
      </x:c>
      <x:c r="F750" s="22" t="str">
        <x:v>V-054</x:v>
      </x:c>
    </x:row>
    <x:row r="751" ht="70" customHeight="1">
      <x:c r="A751" s="22" t="str">
        <x:v>Chat</x:v>
      </x:c>
      <x:c r="B751" s="22" t="str">
        <x:v>M-0304</x:v>
      </x:c>
      <x:c r="C751" s="29" t="n">
        <x:v>46264</x:v>
      </x:c>
      <x:c r="D751" s="32" t="str">
        <x:v>2026-08-30T17:15:13 · Gregory
Pago
Cliente:Cristhian 
Metodo de pago:Pm
Monto:11.850,00. 15$
Fecha:29/08/2026
Producto:9pm rebel original 
Cuota: 2/3</x:v>
      </x:c>
      <x:c r="E751" s="22" t="str">
        <x:v>Pago nuevo</x:v>
      </x:c>
      <x:c r="F751" s="22" t="str">
        <x:v>P-050</x:v>
      </x:c>
    </x:row>
    <x:row r="752" ht="70" customHeight="1">
      <x:c r="A752" s="22" t="str">
        <x:v>Chat</x:v>
      </x:c>
      <x:c r="B752" s="22" t="str">
        <x:v>M-0305</x:v>
      </x:c>
      <x:c r="C752" s="29" t="n">
        <x:v>46269</x:v>
      </x:c>
      <x:c r="D752" s="32" t="str">
        <x:v>2026-09-04T14:19:04 · Gregory
[Reenviado] &lt;imagen omitida&gt;</x:v>
      </x:c>
      <x:c r="E752" s="22" t="str">
        <x:v>Conversación / sin asiento</x:v>
      </x:c>
      <x:c r="F752" s="22" t="str"/>
    </x:row>
    <x:row r="753" ht="70" customHeight="1">
      <x:c r="A753" s="22" t="str">
        <x:v>Chat</x:v>
      </x:c>
      <x:c r="B753" s="22" t="str">
        <x:v>M-0306</x:v>
      </x:c>
      <x:c r="C753" s="29" t="n">
        <x:v>46269</x:v>
      </x:c>
      <x:c r="D753" s="32" t="str">
        <x:v>2026-09-04T14:19:04 · Gregory
Cristhian 15$</x:v>
      </x:c>
      <x:c r="E753" s="22" t="str">
        <x:v>Aviso de monto unido a ficha, sin nuevo cobro</x:v>
      </x:c>
      <x:c r="F753" s="22" t="str">
        <x:v>P-051</x:v>
      </x:c>
    </x:row>
    <x:row r="754" ht="70" customHeight="1">
      <x:c r="A754" s="22" t="str">
        <x:v>Chat</x:v>
      </x:c>
      <x:c r="B754" s="22" t="str">
        <x:v>M-0307</x:v>
      </x:c>
      <x:c r="C754" s="29" t="n">
        <x:v>46269</x:v>
      </x:c>
      <x:c r="D754" s="32" t="str">
        <x:v>2026-09-04T14:19:24 · Tú
Ponlo con la plantilla</x:v>
      </x:c>
      <x:c r="E754" s="22" t="str">
        <x:v>Conversación / sin asiento</x:v>
      </x:c>
      <x:c r="F754" s="22" t="str"/>
    </x:row>
    <x:row r="755" ht="70" customHeight="1">
      <x:c r="A755" s="22" t="str">
        <x:v>Chat</x:v>
      </x:c>
      <x:c r="B755" s="22" t="str">
        <x:v>M-0308</x:v>
      </x:c>
      <x:c r="C755" s="29" t="n">
        <x:v>46269</x:v>
      </x:c>
      <x:c r="D755" s="32" t="str">
        <x:v>2026-09-04T14:19:29 · Tú
Añádelo al sistema que hice</x:v>
      </x:c>
      <x:c r="E755" s="22" t="str">
        <x:v>Conversación / sin asiento</x:v>
      </x:c>
      <x:c r="F755" s="22" t="str"/>
    </x:row>
    <x:row r="756" ht="70" customHeight="1">
      <x:c r="A756" s="22" t="str">
        <x:v>Chat</x:v>
      </x:c>
      <x:c r="B756" s="22" t="str">
        <x:v>M-0309</x:v>
      </x:c>
      <x:c r="C756" s="29" t="n">
        <x:v>46269</x:v>
      </x:c>
      <x:c r="D756" s="32" t="str">
        <x:v>2026-09-04T14:19:39 · Tú
Regístrate para eso se hizo la herramienta</x:v>
      </x:c>
      <x:c r="E756" s="22" t="str">
        <x:v>Conversación / sin asiento</x:v>
      </x:c>
      <x:c r="F756" s="22" t="str"/>
    </x:row>
    <x:row r="757" ht="70" customHeight="1">
      <x:c r="A757" s="22" t="str">
        <x:v>Chat</x:v>
      </x:c>
      <x:c r="B757" s="22" t="str">
        <x:v>M-0310</x:v>
      </x:c>
      <x:c r="C757" s="29" t="n">
        <x:v>46269</x:v>
      </x:c>
      <x:c r="D757" s="32" t="str">
        <x:v>2026-09-04T19:05:18 · Gregor Escalona
Venta
Cliente: Andrés Medina 
Metodo de Pago:pm
Producto: Issey Miyake - 9am 
Fecha:04/09/2026
Cuotas 2
Inicial:0
A pagar: 22+16=38</x:v>
      </x:c>
      <x:c r="E757" s="22" t="str">
        <x:v>Venta nueva del chat</x:v>
      </x:c>
      <x:c r="F757" s="22" t="str">
        <x:v>V-068</x:v>
      </x:c>
    </x:row>
    <x:row r="758" ht="70" customHeight="1">
      <x:c r="A758" s="22" t="str">
        <x:v>Chat</x:v>
      </x:c>
      <x:c r="B758" s="22" t="str">
        <x:v>M-0311</x:v>
      </x:c>
      <x:c r="C758" s="29" t="n">
        <x:v>46269</x:v>
      </x:c>
      <x:c r="D758" s="32" t="str">
        <x:v>2026-09-04T19:05:43 · Tú
Añádelo al sistema</x:v>
      </x:c>
      <x:c r="E758" s="22" t="str">
        <x:v>Conversación / sin asiento</x:v>
      </x:c>
      <x:c r="F758" s="22" t="str"/>
    </x:row>
    <x:row r="759" ht="70" customHeight="1">
      <x:c r="A759" s="22" t="str">
        <x:v>Chat</x:v>
      </x:c>
      <x:c r="B759" s="22" t="str">
        <x:v>M-0312</x:v>
      </x:c>
      <x:c r="C759" s="29" t="n">
        <x:v>46269</x:v>
      </x:c>
      <x:c r="D759" s="32" t="str">
        <x:v>2026-09-04T19:06:21 · Gregor Escalona
No hay luz</x:v>
      </x:c>
      <x:c r="E759" s="22" t="str">
        <x:v>Conversación / sin asiento</x:v>
      </x:c>
      <x:c r="F759" s="22" t="str"/>
    </x:row>
    <x:row r="760" ht="70" customHeight="1">
      <x:c r="A760" s="22" t="str">
        <x:v>Chat</x:v>
      </x:c>
      <x:c r="B760" s="22" t="str">
        <x:v>M-0313</x:v>
      </x:c>
      <x:c r="C760" s="29" t="n">
        <x:v>46270</x:v>
      </x:c>
      <x:c r="D760" s="32" t="str">
        <x:v>2026-09-05T08:04:52 · Gregory
[Reenviado] &lt;imagen omitida&gt;</x:v>
      </x:c>
      <x:c r="E760" s="22" t="str">
        <x:v>Conversación / sin asiento</x:v>
      </x:c>
      <x:c r="F760" s="22" t="str"/>
    </x:row>
    <x:row r="761" ht="70" customHeight="1">
      <x:c r="A761" s="22" t="str">
        <x:v>Chat</x:v>
      </x:c>
      <x:c r="B761" s="22" t="str">
        <x:v>M-0314</x:v>
      </x:c>
      <x:c r="C761" s="29" t="n">
        <x:v>46270</x:v>
      </x:c>
      <x:c r="D761" s="32" t="str">
        <x:v>2026-09-05T08:04:53 · Gregory
24$ Landaeta</x:v>
      </x:c>
      <x:c r="E761" s="22" t="str">
        <x:v>Aviso de monto unido a ficha, sin nuevo cobro</x:v>
      </x:c>
      <x:c r="F761" s="22" t="str">
        <x:v>P-052</x:v>
      </x:c>
    </x:row>
    <x:row r="762" ht="70" customHeight="1">
      <x:c r="A762" s="22" t="str">
        <x:v>Chat</x:v>
      </x:c>
      <x:c r="B762" s="22" t="str">
        <x:v>M-0315</x:v>
      </x:c>
      <x:c r="C762" s="29" t="n">
        <x:v>46270</x:v>
      </x:c>
      <x:c r="D762" s="32" t="str">
        <x:v>2026-09-05T12:30:14 · Gregory
Pago
Cliente:Cristhian 
Metodo de pago:pm
Monto:12.110,79. 15$
Fecha:04/09/2026
Producto:9pm rebel original 
Cuota: 3/4</x:v>
      </x:c>
      <x:c r="E762" s="22" t="str">
        <x:v>Pago nuevo</x:v>
      </x:c>
      <x:c r="F762" s="22" t="str">
        <x:v>P-051</x:v>
      </x:c>
    </x:row>
    <x:row r="763" ht="70" customHeight="1">
      <x:c r="A763" s="22" t="str">
        <x:v>Chat</x:v>
      </x:c>
      <x:c r="B763" s="22" t="str">
        <x:v>M-0316</x:v>
      </x:c>
      <x:c r="C763" s="29" t="n">
        <x:v>46270</x:v>
      </x:c>
      <x:c r="D763" s="32" t="str">
        <x:v>2026-09-05T12:31:48 · Gregory
Pago
Cliente:Landaeta 
Metodo de pago:pm
Monto:19.380,00 24$
Fecha:05/09/2026
Producto:Asad borbom
Cuota: 1/1✅</x:v>
      </x:c>
      <x:c r="E763" s="22" t="str">
        <x:v>Pago nuevo</x:v>
      </x:c>
      <x:c r="F763" s="22" t="str">
        <x:v>P-052</x:v>
      </x:c>
    </x:row>
    <x:row r="764" ht="70" customHeight="1">
      <x:c r="A764" s="22" t="str">
        <x:v>Chat</x:v>
      </x:c>
      <x:c r="B764" s="22" t="str">
        <x:v>M-0317</x:v>
      </x:c>
      <x:c r="C764" s="29" t="n">
        <x:v>46270</x:v>
      </x:c>
      <x:c r="D764" s="32" t="str">
        <x:v>2026-09-05T20:26:34 · Gregor Escalona
[Reenviado] &lt;imagen omitida&gt;</x:v>
      </x:c>
      <x:c r="E764" s="22" t="str">
        <x:v>Conversación / sin asiento</x:v>
      </x:c>
      <x:c r="F764" s="22" t="str"/>
    </x:row>
    <x:row r="765" ht="70" customHeight="1">
      <x:c r="A765" s="22" t="str">
        <x:v>Chat</x:v>
      </x:c>
      <x:c r="B765" s="22" t="str">
        <x:v>M-0318</x:v>
      </x:c>
      <x:c r="C765" s="29" t="n">
        <x:v>46270</x:v>
      </x:c>
      <x:c r="D765" s="32" t="str">
        <x:v>2026-09-05T20:26:34 · Gregor Escalona
Pago de Gabriel media</x:v>
      </x:c>
      <x:c r="E765" s="22" t="str">
        <x:v>Conversación / sin asiento</x:v>
      </x:c>
      <x:c r="F765" s="22" t="str"/>
    </x:row>
    <x:row r="766" ht="70" customHeight="1">
      <x:c r="A766" s="22" t="str">
        <x:v>Chat</x:v>
      </x:c>
      <x:c r="B766" s="22" t="str">
        <x:v>M-0319</x:v>
      </x:c>
      <x:c r="C766" s="29" t="n">
        <x:v>46271</x:v>
      </x:c>
      <x:c r="D766" s="32" t="str">
        <x:v>2026-09-06T04:37:07 · Gregory
22$</x:v>
      </x:c>
      <x:c r="E766" s="22" t="str">
        <x:v>Conversación / sin asiento</x:v>
      </x:c>
      <x:c r="F766" s="22" t="str"/>
    </x:row>
    <x:row r="767" ht="70" customHeight="1">
      <x:c r="A767" s="22" t="str">
        <x:v>Chat</x:v>
      </x:c>
      <x:c r="B767" s="22" t="str">
        <x:v>M-0320</x:v>
      </x:c>
      <x:c r="C767" s="29" t="n">
        <x:v>46271</x:v>
      </x:c>
      <x:c r="D767" s="32" t="str">
        <x:v>2026-09-06T16:12:32 · Gregory
Pago
Cliente:Gabriel Medina
Metodo de pago:pm
Monto:17.800,00
Fecha:05/09/2026
Producto:sauvage Dior 
Cuota: 1/1✅</x:v>
      </x:c>
      <x:c r="E767" s="22" t="str">
        <x:v>Pago nuevo</x:v>
      </x:c>
      <x:c r="F767" s="22" t="str">
        <x:v>P-053</x:v>
      </x:c>
    </x:row>
    <x:row r="768" ht="70" customHeight="1">
      <x:c r="A768" s="22" t="str">
        <x:v>Chat</x:v>
      </x:c>
      <x:c r="B768" s="22" t="str">
        <x:v>M-0321</x:v>
      </x:c>
      <x:c r="C768" s="29" t="n">
        <x:v>46275</x:v>
      </x:c>
      <x:c r="D768" s="32" t="str">
        <x:v>2026-09-10T21:40:10 · Gregory
Venta
Cliente:Raúl Aparicio 
Metodo de Pago:Pm
Producto:9pm rebel mini
Fecha:10/09/2026
Cuotas 2 16bcv 
Inicial:8bcv</x:v>
      </x:c>
      <x:c r="E768" s="22" t="str">
        <x:v>Venta cruzada con Excel</x:v>
      </x:c>
      <x:c r="F768" s="22" t="str">
        <x:v>V-055</x:v>
      </x:c>
    </x:row>
    <x:row r="769" ht="70" customHeight="1">
      <x:c r="A769" s="22" t="str">
        <x:v>Chat</x:v>
      </x:c>
      <x:c r="B769" s="22" t="str">
        <x:v>M-0322</x:v>
      </x:c>
      <x:c r="C769" s="29" t="n">
        <x:v>46275</x:v>
      </x:c>
      <x:c r="D769" s="32" t="str">
        <x:v>2026-09-10T21:40:12 · Gregory
Venta
Cliente:Elías 
Metodo de Pago:efectivo 
Producto:9pm elixir 
Fecha:10/09/2026
Cuotas 1 
Inicial:10$ efectivo</x:v>
      </x:c>
      <x:c r="E769" s="22" t="str">
        <x:v>Venta cruzada con Excel</x:v>
      </x:c>
      <x:c r="F769" s="22" t="str">
        <x:v>V-056</x:v>
      </x:c>
    </x:row>
    <x:row r="770" ht="70" customHeight="1">
      <x:c r="A770" s="22" t="str">
        <x:v>Chat</x:v>
      </x:c>
      <x:c r="B770" s="22" t="str">
        <x:v>M-0323</x:v>
      </x:c>
      <x:c r="C770" s="29" t="n">
        <x:v>46275</x:v>
      </x:c>
      <x:c r="D770" s="32" t="str">
        <x:v>2026-09-10T21:40:16 · Gregory
Venta
Cliente:Amarista 
Metodo de Pago:pm
Producto:9pm rebel mini
Fecha:10/09/2026
Cuotas 2 16bcv 
Inicial:8bcv</x:v>
      </x:c>
      <x:c r="E770" s="22" t="str">
        <x:v>Venta cruzada con Excel</x:v>
      </x:c>
      <x:c r="F770" s="22" t="str">
        <x:v>V-057</x:v>
      </x:c>
    </x:row>
    <x:row r="771" ht="70" customHeight="1">
      <x:c r="A771" s="22" t="str">
        <x:v>Chat</x:v>
      </x:c>
      <x:c r="B771" s="22" t="str">
        <x:v>M-0324</x:v>
      </x:c>
      <x:c r="C771" s="29" t="n">
        <x:v>46275</x:v>
      </x:c>
      <x:c r="D771" s="32" t="str">
        <x:v>2026-09-10T21:40:17 · Gregory
Venta
Cliente:ángel 
Metodo de Pago:pm
Producto:9pm
Fecha:10/09/2026
Cuotas 2 16bcv 
Inicial:8bcv</x:v>
      </x:c>
      <x:c r="E771" s="22" t="str">
        <x:v>Venta cruzada con Excel</x:v>
      </x:c>
      <x:c r="F771" s="22" t="str">
        <x:v>V-058</x:v>
      </x:c>
    </x:row>
    <x:row r="772" ht="70" customHeight="1">
      <x:c r="A772" s="22" t="str">
        <x:v>Chat</x:v>
      </x:c>
      <x:c r="B772" s="22" t="str">
        <x:v>M-0325</x:v>
      </x:c>
      <x:c r="C772" s="29" t="n">
        <x:v>46275</x:v>
      </x:c>
      <x:c r="D772" s="32" t="str">
        <x:v>2026-09-10T21:40:17 · Gregory
Venta
Cliente:landaeta 
Metodo de Pago:pm
Producto:Ariana grande cloud 
Fecha:10/9/2026
Cuotas 2.  26bcv costo 12 usdt 
Inicial:13</x:v>
      </x:c>
      <x:c r="E772" s="22" t="str">
        <x:v>Venta cruzada con Excel</x:v>
      </x:c>
      <x:c r="F772" s="22" t="str">
        <x:v>V-059</x:v>
      </x:c>
    </x:row>
    <x:row r="773" ht="70" customHeight="1">
      <x:c r="A773" s="22" t="str">
        <x:v>Chat</x:v>
      </x:c>
      <x:c r="B773" s="22" t="str">
        <x:v>M-0326</x:v>
      </x:c>
      <x:c r="C773" s="29" t="n">
        <x:v>46275</x:v>
      </x:c>
      <x:c r="D773" s="32" t="str">
        <x:v>2026-09-10T21:56:09 · Tú
Padre</x:v>
      </x:c>
      <x:c r="E773" s="22" t="str">
        <x:v>Conversación / sin asiento</x:v>
      </x:c>
      <x:c r="F773" s="22" t="str"/>
    </x:row>
    <x:row r="774" ht="70" customHeight="1">
      <x:c r="A774" s="22" t="str">
        <x:v>Chat</x:v>
      </x:c>
      <x:c r="B774" s="22" t="str">
        <x:v>M-0327</x:v>
      </x:c>
      <x:c r="C774" s="29" t="n">
        <x:v>46275</x:v>
      </x:c>
      <x:c r="D774" s="32" t="str">
        <x:v>2026-09-10T21:56:14 · Tú
Mételo en el sistema</x:v>
      </x:c>
      <x:c r="E774" s="22" t="str">
        <x:v>Conversación / sin asiento</x:v>
      </x:c>
      <x:c r="F774" s="22" t="str"/>
    </x:row>
    <x:row r="775" ht="70" customHeight="1">
      <x:c r="A775" s="22" t="str">
        <x:v>Chat</x:v>
      </x:c>
      <x:c r="B775" s="22" t="str">
        <x:v>M-0328</x:v>
      </x:c>
      <x:c r="C775" s="29" t="n">
        <x:v>46275</x:v>
      </x:c>
      <x:c r="D775" s="32" t="str">
        <x:v>2026-09-10T22:30:40 · Gregory
[Reenviado] &lt;imagen omitida&gt;</x:v>
      </x:c>
      <x:c r="E775" s="22" t="str">
        <x:v>Conversación / sin asiento</x:v>
      </x:c>
      <x:c r="F775" s="22" t="str"/>
    </x:row>
    <x:row r="776" ht="70" customHeight="1">
      <x:c r="A776" s="22" t="str">
        <x:v>Chat</x:v>
      </x:c>
      <x:c r="B776" s="22" t="str">
        <x:v>M-0329</x:v>
      </x:c>
      <x:c r="C776" s="29" t="n">
        <x:v>46275</x:v>
      </x:c>
      <x:c r="D776" s="32" t="str">
        <x:v>2026-09-10T22:30:40 · Gregory
8$ Rafael</x:v>
      </x:c>
      <x:c r="E776" s="22" t="str">
        <x:v>Aviso de monto unido a ficha, sin nuevo cobro</x:v>
      </x:c>
      <x:c r="F776" s="22" t="str">
        <x:v>P-054</x:v>
      </x:c>
    </x:row>
    <x:row r="777" ht="70" customHeight="1">
      <x:c r="A777" s="22" t="str">
        <x:v>Chat</x:v>
      </x:c>
      <x:c r="B777" s="22" t="str">
        <x:v>M-0330</x:v>
      </x:c>
      <x:c r="C777" s="29" t="n">
        <x:v>46276</x:v>
      </x:c>
      <x:c r="D777" s="32" t="str">
        <x:v>2026-09-11T23:56:58 · Gregory
[Reenviado] &lt;imagen omitida&gt;</x:v>
      </x:c>
      <x:c r="E777" s="22" t="str">
        <x:v>Conversación / sin asiento</x:v>
      </x:c>
      <x:c r="F777" s="22" t="str"/>
    </x:row>
    <x:row r="778" ht="70" customHeight="1">
      <x:c r="A778" s="22" t="str">
        <x:v>Chat</x:v>
      </x:c>
      <x:c r="B778" s="22" t="str">
        <x:v>M-0331</x:v>
      </x:c>
      <x:c r="C778" s="29" t="n">
        <x:v>46276</x:v>
      </x:c>
      <x:c r="D778" s="32" t="str">
        <x:v>2026-09-11T23:56:59 · Gregory
Juan herrade 20$</x:v>
      </x:c>
      <x:c r="E778" s="22" t="str">
        <x:v>Aviso de monto unido a ficha, sin nuevo cobro</x:v>
      </x:c>
      <x:c r="F778" s="22" t="str">
        <x:v>P-055</x:v>
      </x:c>
    </x:row>
    <x:row r="779" ht="70" customHeight="1">
      <x:c r="A779" s="22" t="str">
        <x:v>Chat</x:v>
      </x:c>
      <x:c r="B779" s="22" t="str">
        <x:v>M-0332</x:v>
      </x:c>
      <x:c r="C779" s="29" t="n">
        <x:v>46276</x:v>
      </x:c>
      <x:c r="D779" s="32" t="str">
        <x:v>2026-09-11T23:57:20 · Gregory
[Reenviado] &lt;imagen omitida&gt;</x:v>
      </x:c>
      <x:c r="E779" s="22" t="str">
        <x:v>Conversación / sin asiento</x:v>
      </x:c>
      <x:c r="F779" s="22" t="str"/>
    </x:row>
    <x:row r="780" ht="70" customHeight="1">
      <x:c r="A780" s="22" t="str">
        <x:v>Chat</x:v>
      </x:c>
      <x:c r="B780" s="22" t="str">
        <x:v>M-0333</x:v>
      </x:c>
      <x:c r="C780" s="29" t="n">
        <x:v>46276</x:v>
      </x:c>
      <x:c r="D780" s="32" t="str">
        <x:v>2026-09-11T23:57:21 · Gregory
Cristhian 10$</x:v>
      </x:c>
      <x:c r="E780" s="22" t="str">
        <x:v>Aviso de monto unido a ficha, sin nuevo cobro</x:v>
      </x:c>
      <x:c r="F780" s="22" t="str">
        <x:v>P-056</x:v>
      </x:c>
    </x:row>
    <x:row r="781" ht="70" customHeight="1">
      <x:c r="A781" s="22" t="str">
        <x:v>Chat</x:v>
      </x:c>
      <x:c r="B781" s="22" t="str">
        <x:v>M-0334</x:v>
      </x:c>
      <x:c r="C781" s="29" t="n">
        <x:v>46277</x:v>
      </x:c>
      <x:c r="D781" s="32" t="str">
        <x:v>2026-09-12T12:50:35 · Gregory
Pago
Cliente:Rafael 
Metodo de pago:Pm
Monto:6.618,00
Fecha:10/09/2026
Producto:invictus 
Cuota: 3/3✅</x:v>
      </x:c>
      <x:c r="E781" s="22" t="str">
        <x:v>Pago nuevo</x:v>
      </x:c>
      <x:c r="F781" s="22" t="str">
        <x:v>P-054</x:v>
      </x:c>
    </x:row>
    <x:row r="782" ht="70" customHeight="1">
      <x:c r="A782" s="22" t="str">
        <x:v>Chat</x:v>
      </x:c>
      <x:c r="B782" s="22" t="str">
        <x:v>M-0335</x:v>
      </x:c>
      <x:c r="C782" s="29" t="n">
        <x:v>46277</x:v>
      </x:c>
      <x:c r="D782" s="32" t="str">
        <x:v>2026-09-12T12:50:36 · Gregory
Pago
Cliente:Juan herrade 
Metodo de pago:pm
Monto:16.649,77
Fecha:11/09/2026
Producto:sauvage Dior 
Cuota: 1/2.   Faltan 2$</x:v>
      </x:c>
      <x:c r="E782" s="22" t="str">
        <x:v>Pago nuevo</x:v>
      </x:c>
      <x:c r="F782" s="22" t="str">
        <x:v>P-055</x:v>
      </x:c>
    </x:row>
    <x:row r="783" ht="70" customHeight="1">
      <x:c r="A783" s="22" t="str">
        <x:v>Chat</x:v>
      </x:c>
      <x:c r="B783" s="22" t="str">
        <x:v>M-0336</x:v>
      </x:c>
      <x:c r="C783" s="29" t="n">
        <x:v>46277</x:v>
      </x:c>
      <x:c r="D783" s="32" t="str">
        <x:v>2026-09-12T12:50:36 · Gregory
Pago
Cliente:cristhian 
Metodo de pago:pm
Monto:8.324,88
Fecha:11/09/2026
Producto:9pm rebel original 
Cuota: 3/4 abono 10 $</x:v>
      </x:c>
      <x:c r="E783" s="22" t="str">
        <x:v>Pago nuevo</x:v>
      </x:c>
      <x:c r="F783" s="22" t="str">
        <x:v>P-056</x:v>
      </x:c>
    </x:row>
    <x:row r="784" ht="70" customHeight="1">
      <x:c r="A784" s="22" t="str">
        <x:v>Chat</x:v>
      </x:c>
      <x:c r="B784" s="22" t="str">
        <x:v>M-0337</x:v>
      </x:c>
      <x:c r="C784" s="29" t="n">
        <x:v>46277</x:v>
      </x:c>
      <x:c r="D784" s="32" t="str">
        <x:v>2026-09-12T12:50:36 · Gregory
Pago
Cliente:Elías 
Metodo de pago:efectivo 
Monto:10$ divisa 
Fecha:11/09/2026
Producto:9pm elixir 
Cuota: 1/1 ✅</x:v>
      </x:c>
      <x:c r="E784" s="22" t="str">
        <x:v>Pago nuevo</x:v>
      </x:c>
      <x:c r="F784" s="22" t="str">
        <x:v>P-057</x:v>
      </x:c>
    </x:row>
    <x:row r="785" ht="70" customHeight="1">
      <x:c r="A785" s="22" t="str">
        <x:v>Chat</x:v>
      </x:c>
      <x:c r="B785" s="22" t="str">
        <x:v>M-0338</x:v>
      </x:c>
      <x:c r="C785" s="29" t="n">
        <x:v>46277</x:v>
      </x:c>
      <x:c r="D785" s="32" t="str">
        <x:v>2026-09-12T12:50:37 · Gregory
Pago
Cliente:José 
Metodo de pago:efectivo 
Monto:20$ divisa 
Fecha:12/09/2026
Producto:212 vip men 
Cuota: 1/1 ✅</x:v>
      </x:c>
      <x:c r="E785" s="22" t="str">
        <x:v>Pago nuevo</x:v>
      </x:c>
      <x:c r="F785" s="22" t="str">
        <x:v>P-058</x:v>
      </x:c>
    </x:row>
    <x:row r="786" ht="70" customHeight="1">
      <x:c r="A786" s="22" t="str">
        <x:v>Chat</x:v>
      </x:c>
      <x:c r="B786" s="22" t="str">
        <x:v>M-0339</x:v>
      </x:c>
      <x:c r="C786" s="29" t="n">
        <x:v>46277</x:v>
      </x:c>
      <x:c r="D786" s="32" t="str">
        <x:v>2026-09-12T17:34:30 · Gregory
Venta
Cliente:Ricardo 
Metodo de Pago:Pm
Producto:9pm rebel mini 
Fecha:12/09/2026
Cuotas 
Inicial:
8.50 venta</x:v>
      </x:c>
      <x:c r="E786" s="22" t="str">
        <x:v>Venta cruzada con Excel</x:v>
      </x:c>
      <x:c r="F786" s="22" t="str">
        <x:v>V-060</x:v>
      </x:c>
    </x:row>
    <x:row r="787" ht="70" customHeight="1">
      <x:c r="A787" s="22" t="str">
        <x:v>Chat</x:v>
      </x:c>
      <x:c r="B787" s="22" t="str">
        <x:v>M-0340</x:v>
      </x:c>
      <x:c r="C787" s="29" t="n">
        <x:v>46277</x:v>
      </x:c>
      <x:c r="D787" s="32" t="str">
        <x:v>2026-09-12T17:36:19 · Gregory
Venta
Cliente:Ricardo 
Metodo de Pago:Pm
Producto:9am dive 
Fecha:12/09/2026
Cuotas 
Inicial:
8.50</x:v>
      </x:c>
      <x:c r="E787" s="22" t="str">
        <x:v>Venta cruzada con Excel</x:v>
      </x:c>
      <x:c r="F787" s="22" t="str">
        <x:v>V-061</x:v>
      </x:c>
    </x:row>
    <x:row r="788" ht="70" customHeight="1">
      <x:c r="A788" s="22" t="str">
        <x:v>Chat</x:v>
      </x:c>
      <x:c r="B788" s="22" t="str">
        <x:v>M-0341</x:v>
      </x:c>
      <x:c r="C788" s="29" t="n">
        <x:v>46277</x:v>
      </x:c>
      <x:c r="D788" s="32" t="str">
        <x:v>2026-09-12T17:36:56 · Gregory
Venta
Cliente:Ricardo 
Metodo de Pago:pm
Producto:9pm
Fecha:12/09/2026
Cuotas 
Inicial:
8.50</x:v>
      </x:c>
      <x:c r="E788" s="22" t="str">
        <x:v>Venta cruzada con Excel</x:v>
      </x:c>
      <x:c r="F788" s="22" t="str">
        <x:v>V-062</x:v>
      </x:c>
    </x:row>
    <x:row r="789" ht="70" customHeight="1">
      <x:c r="A789" s="22" t="str">
        <x:v>Chat</x:v>
      </x:c>
      <x:c r="B789" s="22" t="str">
        <x:v>M-0342</x:v>
      </x:c>
      <x:c r="C789" s="29" t="n">
        <x:v>46277</x:v>
      </x:c>
      <x:c r="D789" s="32" t="str">
        <x:v>2026-09-12T18:59:11 · Gregory
[Reenviado] &lt;imagen omitida&gt;</x:v>
      </x:c>
      <x:c r="E789" s="22" t="str">
        <x:v>Conversación / sin asiento</x:v>
      </x:c>
      <x:c r="F789" s="22" t="str"/>
    </x:row>
    <x:row r="790" ht="70" customHeight="1">
      <x:c r="A790" s="22" t="str">
        <x:v>Chat</x:v>
      </x:c>
      <x:c r="B790" s="22" t="str">
        <x:v>M-0343</x:v>
      </x:c>
      <x:c r="C790" s="29" t="n">
        <x:v>46277</x:v>
      </x:c>
      <x:c r="D790" s="32" t="str">
        <x:v>2026-09-12T18:59:11 · Gregory
Ricardo 8usdt</x:v>
      </x:c>
      <x:c r="E790" s="22" t="str">
        <x:v>Aviso de monto unido a ficha, sin nuevo cobro</x:v>
      </x:c>
      <x:c r="F790" s="22" t="str">
        <x:v>P-059</x:v>
      </x:c>
    </x:row>
    <x:row r="791" ht="70" customHeight="1">
      <x:c r="A791" s="22" t="str">
        <x:v>Chat</x:v>
      </x:c>
      <x:c r="B791" s="22" t="str">
        <x:v>M-0344</x:v>
      </x:c>
      <x:c r="C791" s="29" t="n">
        <x:v>46277</x:v>
      </x:c>
      <x:c r="D791" s="32" t="str">
        <x:v>2026-09-12T22:14:59 · Gregory
Pago
Cliente:Ricardo 
Metodo de pago:pm
Monto:7.655,00. 8usdt 
Fecha:12/09/2026
Producto:Aqua di gio 
Cuota: 2/2 ✅
Referencia 7712</x:v>
      </x:c>
      <x:c r="E791" s="22" t="str">
        <x:v>Pago nuevo</x:v>
      </x:c>
      <x:c r="F791" s="22" t="str">
        <x:v>P-059</x:v>
      </x:c>
    </x:row>
    <x:row r="792" ht="70" customHeight="1">
      <x:c r="A792" s="22" t="str">
        <x:v>Chat</x:v>
      </x:c>
      <x:c r="B792" s="22" t="str">
        <x:v>M-0345</x:v>
      </x:c>
      <x:c r="C792" s="29" t="n">
        <x:v>46277</x:v>
      </x:c>
      <x:c r="D792" s="32" t="str">
        <x:v>2026-09-12T22:17:56 · Gregory
[Reenviado] &lt;imagen omitida&gt;</x:v>
      </x:c>
      <x:c r="E792" s="22" t="str">
        <x:v>Conversación / sin asiento</x:v>
      </x:c>
      <x:c r="F792" s="22" t="str"/>
    </x:row>
    <x:row r="793" ht="70" customHeight="1">
      <x:c r="A793" s="22" t="str">
        <x:v>Chat</x:v>
      </x:c>
      <x:c r="B793" s="22" t="str">
        <x:v>M-0346</x:v>
      </x:c>
      <x:c r="C793" s="29" t="n">
        <x:v>46277</x:v>
      </x:c>
      <x:c r="D793" s="32" t="str">
        <x:v>2026-09-12T22:17:56 · Gregory
20 $ amarista</x:v>
      </x:c>
      <x:c r="E793" s="22" t="str">
        <x:v>Aviso de monto unido a ficha, sin nuevo cobro</x:v>
      </x:c>
      <x:c r="F793" s="22" t="str">
        <x:v>P-060</x:v>
      </x:c>
    </x:row>
    <x:row r="794" ht="70" customHeight="1">
      <x:c r="A794" s="22" t="str">
        <x:v>Chat</x:v>
      </x:c>
      <x:c r="B794" s="22" t="str">
        <x:v>M-0347</x:v>
      </x:c>
      <x:c r="C794" s="29" t="n">
        <x:v>46277</x:v>
      </x:c>
      <x:c r="D794" s="32" t="str">
        <x:v>2026-09-12T22:20:26 · Gregory
[Reenviado] &lt;imagen omitida&gt;</x:v>
      </x:c>
      <x:c r="E794" s="22" t="str">
        <x:v>Conversación / sin asiento</x:v>
      </x:c>
      <x:c r="F794" s="22" t="str"/>
    </x:row>
    <x:row r="795" ht="70" customHeight="1">
      <x:c r="A795" s="22" t="str">
        <x:v>Chat</x:v>
      </x:c>
      <x:c r="B795" s="22" t="str">
        <x:v>M-0348</x:v>
      </x:c>
      <x:c r="C795" s="29" t="n">
        <x:v>46277</x:v>
      </x:c>
      <x:c r="D795" s="32" t="str">
        <x:v>2026-09-12T22:20:26 · Gregory
8$ ángel</x:v>
      </x:c>
      <x:c r="E795" s="22" t="str">
        <x:v>Aviso de monto unido a ficha, sin nuevo cobro</x:v>
      </x:c>
      <x:c r="F795" s="22" t="str">
        <x:v>P-061</x:v>
      </x:c>
    </x:row>
    <x:row r="796" ht="70" customHeight="1">
      <x:c r="A796" s="22" t="str">
        <x:v>Chat</x:v>
      </x:c>
      <x:c r="B796" s="22" t="str">
        <x:v>M-0349</x:v>
      </x:c>
      <x:c r="C796" s="29" t="n">
        <x:v>46278</x:v>
      </x:c>
      <x:c r="D796" s="32" t="str">
        <x:v>2026-09-13T17:53:33 · Gregory
Pago
Cliente:Amarista 
Metodo de pago:pm
Monto:16.650,00
Fecha:12/09/2026
Producto:amethyst 
Cuota: 2/2✅</x:v>
      </x:c>
      <x:c r="E796" s="22" t="str">
        <x:v>Pago nuevo</x:v>
      </x:c>
      <x:c r="F796" s="22" t="str">
        <x:v>P-060</x:v>
      </x:c>
    </x:row>
    <x:row r="797" ht="70" customHeight="1">
      <x:c r="A797" s="22" t="str">
        <x:v>Chat</x:v>
      </x:c>
      <x:c r="B797" s="22" t="str">
        <x:v>M-0350</x:v>
      </x:c>
      <x:c r="C797" s="29" t="n">
        <x:v>46278</x:v>
      </x:c>
      <x:c r="D797" s="32" t="str">
        <x:v>2026-09-13T17:54:35 · Gregory
Pago
Cliente:Ángel 
Metodo de pago:pm
Monto:6.659,91
Fecha:12/09/2026
Producto:9pm
Cuota: 1/2</x:v>
      </x:c>
      <x:c r="E797" s="22" t="str">
        <x:v>Pago nuevo</x:v>
      </x:c>
      <x:c r="F797" s="22" t="str">
        <x:v>P-061</x:v>
      </x:c>
    </x:row>
    <x:row r="798" ht="70" customHeight="1">
      <x:c r="A798" s="22" t="str">
        <x:v>Chat</x:v>
      </x:c>
      <x:c r="B798" s="22" t="str">
        <x:v>M-0351</x:v>
      </x:c>
      <x:c r="C798" s="29" t="n">
        <x:v>46279</x:v>
      </x:c>
      <x:c r="D798" s="32" t="str">
        <x:v>2026-09-14T22:35:21 · Gregory
[Reenviado] &lt;imagen omitida&gt;</x:v>
      </x:c>
      <x:c r="E798" s="22" t="str">
        <x:v>Conversación / sin asiento</x:v>
      </x:c>
      <x:c r="F798" s="22" t="str"/>
    </x:row>
    <x:row r="799" ht="70" customHeight="1">
      <x:c r="A799" s="22" t="str">
        <x:v>Chat</x:v>
      </x:c>
      <x:c r="B799" s="22" t="str">
        <x:v>M-0352</x:v>
      </x:c>
      <x:c r="C799" s="29" t="n">
        <x:v>46279</x:v>
      </x:c>
      <x:c r="D799" s="32" t="str">
        <x:v>2026-09-14T22:35:21 · Gregory
Deiner 14$</x:v>
      </x:c>
      <x:c r="E799" s="22" t="str">
        <x:v>Aviso de monto unido a ficha, sin nuevo cobro</x:v>
      </x:c>
      <x:c r="F799" s="22" t="str">
        <x:v>P-062</x:v>
      </x:c>
    </x:row>
    <x:row r="800" ht="70" customHeight="1">
      <x:c r="A800" s="22" t="str">
        <x:v>Chat</x:v>
      </x:c>
      <x:c r="B800" s="22" t="str">
        <x:v>M-0353</x:v>
      </x:c>
      <x:c r="C800" s="29" t="n">
        <x:v>46279</x:v>
      </x:c>
      <x:c r="D800" s="32" t="str">
        <x:v>2026-09-14T22:36:53 · Gregory
Pago
Cliente:Deiner 
Metodo de pago:pm
Monto:11.654,84
Fecha:14/09/2026
Producto:Scandal
Cuota: 2/2 ✅</x:v>
      </x:c>
      <x:c r="E800" s="22" t="str">
        <x:v>Pago nuevo</x:v>
      </x:c>
      <x:c r="F800" s="22" t="str">
        <x:v>P-062</x:v>
      </x:c>
    </x:row>
    <x:row r="801" ht="70" customHeight="1">
      <x:c r="A801" s="22" t="str">
        <x:v>Chat</x:v>
      </x:c>
      <x:c r="B801" s="22" t="str">
        <x:v>M-0354</x:v>
      </x:c>
      <x:c r="C801" s="29" t="n">
        <x:v>46280</x:v>
      </x:c>
      <x:c r="D801" s="32" t="str">
        <x:v>2026-09-15T12:40:43 · Gregory
[Reenviado] &lt;imagen omitida&gt;</x:v>
      </x:c>
      <x:c r="E801" s="22" t="str">
        <x:v>Conversación / sin asiento</x:v>
      </x:c>
      <x:c r="F801" s="22" t="str"/>
    </x:row>
    <x:row r="802" ht="70" customHeight="1">
      <x:c r="A802" s="22" t="str">
        <x:v>Chat</x:v>
      </x:c>
      <x:c r="B802" s="22" t="str">
        <x:v>M-0355</x:v>
      </x:c>
      <x:c r="C802" s="29" t="n">
        <x:v>46280</x:v>
      </x:c>
      <x:c r="D802" s="32" t="str">
        <x:v>2026-09-15T12:40:44 · Gregory
Francheska 21 $</x:v>
      </x:c>
      <x:c r="E802" s="22" t="str">
        <x:v>Aviso de monto unido a ficha, sin nuevo cobro</x:v>
      </x:c>
      <x:c r="F802" s="22" t="str">
        <x:v>P-063</x:v>
      </x:c>
    </x:row>
    <x:row r="803" ht="70" customHeight="1">
      <x:c r="A803" s="22" t="str">
        <x:v>Chat</x:v>
      </x:c>
      <x:c r="B803" s="22" t="str">
        <x:v>M-0356</x:v>
      </x:c>
      <x:c r="C803" s="29" t="n">
        <x:v>46281</x:v>
      </x:c>
      <x:c r="D803" s="32" t="str">
        <x:v>2026-09-16T00:55:41 · Gregory
Pago
Cliente:Francheska 
Metodo de pago:Pm
Monto:17.686,34
Fecha:15/09/2026
Producto:khamra 
Cuota: 2/2 ✅</x:v>
      </x:c>
      <x:c r="E803" s="22" t="str">
        <x:v>Pago nuevo</x:v>
      </x:c>
      <x:c r="F803" s="22" t="str">
        <x:v>P-063</x:v>
      </x:c>
    </x:row>
    <x:row r="804" ht="70" customHeight="1">
      <x:c r="A804" s="22" t="str">
        <x:v>Chat</x:v>
      </x:c>
      <x:c r="B804" s="22" t="str">
        <x:v>M-0357</x:v>
      </x:c>
      <x:c r="C804" s="29" t="n">
        <x:v>46281</x:v>
      </x:c>
      <x:c r="D804" s="32" t="str">
        <x:v>2026-09-16T05:53:29 · Gregory
[Reenviado] &lt;imagen omitida&gt;</x:v>
      </x:c>
      <x:c r="E804" s="22" t="str">
        <x:v>Conversación / sin asiento</x:v>
      </x:c>
      <x:c r="F804" s="22" t="str"/>
    </x:row>
    <x:row r="805" ht="70" customHeight="1">
      <x:c r="A805" s="22" t="str">
        <x:v>Chat</x:v>
      </x:c>
      <x:c r="B805" s="22" t="str">
        <x:v>M-0358</x:v>
      </x:c>
      <x:c r="C805" s="29" t="n">
        <x:v>46281</x:v>
      </x:c>
      <x:c r="D805" s="32" t="str">
        <x:v>2026-09-16T05:53:29 · Gregory
Anderson 7$</x:v>
      </x:c>
      <x:c r="E805" s="22" t="str">
        <x:v>Cobro pendiente de asignación</x:v>
      </x:c>
      <x:c r="F805" s="22" t="str">
        <x:v>P-076</x:v>
      </x:c>
    </x:row>
    <x:row r="806" ht="70" customHeight="1">
      <x:c r="A806" s="22" t="str">
        <x:v>Chat</x:v>
      </x:c>
      <x:c r="B806" s="22" t="str">
        <x:v>M-0359</x:v>
      </x:c>
      <x:c r="C806" s="29" t="n">
        <x:v>46281</x:v>
      </x:c>
      <x:c r="D806" s="32" t="str">
        <x:v>2026-09-16T17:58:22 · Gregory
[Reenviado] &lt;imagen omitida&gt;</x:v>
      </x:c>
      <x:c r="E806" s="22" t="str">
        <x:v>Conversación / sin asiento</x:v>
      </x:c>
      <x:c r="F806" s="22" t="str"/>
    </x:row>
    <x:row r="807" ht="70" customHeight="1">
      <x:c r="A807" s="22" t="str">
        <x:v>Chat</x:v>
      </x:c>
      <x:c r="B807" s="22" t="str">
        <x:v>M-0360</x:v>
      </x:c>
      <x:c r="C807" s="29" t="n">
        <x:v>46281</x:v>
      </x:c>
      <x:c r="D807" s="32" t="str">
        <x:v>2026-09-16T17:58:22 · Gregory
Gabriel Medina 22$</x:v>
      </x:c>
      <x:c r="E807" s="22" t="str">
        <x:v>Aviso de monto unido a ficha, sin nuevo cobro</x:v>
      </x:c>
      <x:c r="F807" s="22" t="str">
        <x:v>P-064</x:v>
      </x:c>
    </x:row>
    <x:row r="808" ht="70" customHeight="1">
      <x:c r="A808" s="22" t="str">
        <x:v>Chat</x:v>
      </x:c>
      <x:c r="B808" s="22" t="str">
        <x:v>M-0361</x:v>
      </x:c>
      <x:c r="C808" s="29" t="n">
        <x:v>46283</x:v>
      </x:c>
      <x:c r="D808" s="32" t="str">
        <x:v>2026-09-18T05:14:26 · Gregory
Pago
Cliente:Gabriel Medina 
Metodo de pago:Pm
Monto:18.625,00
Fecha:16/09/2026
Producto:Scandal 
Cuota: 1/1 ✅</x:v>
      </x:c>
      <x:c r="E808" s="22" t="str">
        <x:v>Pago nuevo</x:v>
      </x:c>
      <x:c r="F808" s="22" t="str">
        <x:v>P-064</x:v>
      </x:c>
    </x:row>
    <x:row r="809" ht="70" customHeight="1">
      <x:c r="A809" s="22" t="str">
        <x:v>Chat</x:v>
      </x:c>
      <x:c r="B809" s="22" t="str">
        <x:v>M-0362</x:v>
      </x:c>
      <x:c r="C809" s="29" t="n">
        <x:v>46283</x:v>
      </x:c>
      <x:c r="D809" s="32" t="str">
        <x:v>2026-09-18T18:39:16 · Gregory
[Reenviado] &lt;imagen omitida&gt;</x:v>
      </x:c>
      <x:c r="E809" s="22" t="str">
        <x:v>Conversación / sin asiento</x:v>
      </x:c>
      <x:c r="F809" s="22" t="str"/>
    </x:row>
    <x:row r="810" ht="70" customHeight="1">
      <x:c r="A810" s="22" t="str">
        <x:v>Chat</x:v>
      </x:c>
      <x:c r="B810" s="22" t="str">
        <x:v>M-0363</x:v>
      </x:c>
      <x:c r="C810" s="29" t="n">
        <x:v>46283</x:v>
      </x:c>
      <x:c r="D810" s="32" t="str">
        <x:v>2026-09-18T18:39:16 · Gregory
Landaeta 35$</x:v>
      </x:c>
      <x:c r="E810" s="22" t="str">
        <x:v>Aviso 35$ agrupado; tres fichas, sin duplicar</x:v>
      </x:c>
      <x:c r="F810" s="22" t="str">
        <x:v>PAGOS</x:v>
      </x:c>
    </x:row>
    <x:row r="811" ht="70" customHeight="1">
      <x:c r="A811" s="22" t="str">
        <x:v>Chat</x:v>
      </x:c>
      <x:c r="B811" s="22" t="str">
        <x:v>M-0364</x:v>
      </x:c>
      <x:c r="C811" s="29" t="n">
        <x:v>46283</x:v>
      </x:c>
      <x:c r="D811" s="32" t="str">
        <x:v>2026-09-18T18:41:07 · Gregory
[Reenviado] &lt;imagen omitida&gt;</x:v>
      </x:c>
      <x:c r="E811" s="22" t="str">
        <x:v>Conversación / sin asiento</x:v>
      </x:c>
      <x:c r="F811" s="22" t="str"/>
    </x:row>
    <x:row r="812" ht="70" customHeight="1">
      <x:c r="A812" s="22" t="str">
        <x:v>Chat</x:v>
      </x:c>
      <x:c r="B812" s="22" t="str">
        <x:v>M-0365</x:v>
      </x:c>
      <x:c r="C812" s="29" t="n">
        <x:v>46283</x:v>
      </x:c>
      <x:c r="D812" s="32" t="str">
        <x:v>2026-09-18T18:41:07 · Gregory
10$ Cristhian</x:v>
      </x:c>
      <x:c r="E812" s="22" t="str">
        <x:v>Aviso de monto unido a ficha, sin nuevo cobro</x:v>
      </x:c>
      <x:c r="F812" s="22" t="str">
        <x:v>P-068</x:v>
      </x:c>
    </x:row>
    <x:row r="813" ht="70" customHeight="1">
      <x:c r="A813" s="22" t="str">
        <x:v>Chat</x:v>
      </x:c>
      <x:c r="B813" s="22" t="str">
        <x:v>M-0366</x:v>
      </x:c>
      <x:c r="C813" s="29" t="n">
        <x:v>46284</x:v>
      </x:c>
      <x:c r="D813" s="32" t="str">
        <x:v>2026-09-19T18:46:49 · Gregory
[Reenviado] &lt;imagen omitida&gt;</x:v>
      </x:c>
      <x:c r="E813" s="22" t="str">
        <x:v>Conversación / sin asiento</x:v>
      </x:c>
      <x:c r="F813" s="22" t="str"/>
    </x:row>
    <x:row r="814" ht="70" customHeight="1">
      <x:c r="A814" s="22" t="str">
        <x:v>Chat</x:v>
      </x:c>
      <x:c r="B814" s="22" t="str">
        <x:v>M-0367</x:v>
      </x:c>
      <x:c r="C814" s="29" t="n">
        <x:v>46284</x:v>
      </x:c>
      <x:c r="D814" s="32" t="str">
        <x:v>2026-09-19T18:46:50 · Gregory
Amarista 8$</x:v>
      </x:c>
      <x:c r="E814" s="22" t="str">
        <x:v>Aviso de monto unido a ficha, sin nuevo cobro</x:v>
      </x:c>
      <x:c r="F814" s="22" t="str">
        <x:v>P-069</x:v>
      </x:c>
    </x:row>
    <x:row r="815" ht="70" customHeight="1">
      <x:c r="A815" s="22" t="str">
        <x:v>Chat</x:v>
      </x:c>
      <x:c r="B815" s="22" t="str">
        <x:v>M-0368</x:v>
      </x:c>
      <x:c r="C815" s="29" t="n">
        <x:v>46284</x:v>
      </x:c>
      <x:c r="D815" s="32" t="str">
        <x:v>2026-09-19T19:45:30 · Gregory
[Reenviado] &lt;imagen omitida&gt;</x:v>
      </x:c>
      <x:c r="E815" s="22" t="str">
        <x:v>Conversación / sin asiento</x:v>
      </x:c>
      <x:c r="F815" s="22" t="str"/>
    </x:row>
    <x:row r="816" ht="70" customHeight="1">
      <x:c r="A816" s="22" t="str">
        <x:v>Chat</x:v>
      </x:c>
      <x:c r="B816" s="22" t="str">
        <x:v>M-0369</x:v>
      </x:c>
      <x:c r="C816" s="29" t="n">
        <x:v>46284</x:v>
      </x:c>
      <x:c r="D816" s="32" t="str">
        <x:v>2026-09-19T19:45:31 · Gregory
&lt;Mensaje de unknown&gt;</x:v>
      </x:c>
      <x:c r="E816" s="22" t="str">
        <x:v>Conversación / sin asiento</x:v>
      </x:c>
      <x:c r="F816" s="22" t="str"/>
    </x:row>
    <x:row r="817" ht="70" customHeight="1">
      <x:c r="A817" s="22" t="str">
        <x:v>Chat</x:v>
      </x:c>
      <x:c r="B817" s="22" t="str">
        <x:v>M-0370</x:v>
      </x:c>
      <x:c r="C817" s="29" t="n">
        <x:v>46284</x:v>
      </x:c>
      <x:c r="D817" s="32" t="str">
        <x:v>2026-09-19T19:45:31 · Gregory
Ivana 15 $</x:v>
      </x:c>
      <x:c r="E817" s="22" t="str">
        <x:v>Aviso de monto unido a ficha, sin nuevo cobro</x:v>
      </x:c>
      <x:c r="F817" s="22" t="str">
        <x:v>P-070</x:v>
      </x:c>
    </x:row>
    <x:row r="818" ht="70" customHeight="1">
      <x:c r="A818" s="22" t="str">
        <x:v>Chat</x:v>
      </x:c>
      <x:c r="B818" s="22" t="str">
        <x:v>M-0371</x:v>
      </x:c>
      <x:c r="C818" s="29" t="n">
        <x:v>46284</x:v>
      </x:c>
      <x:c r="D818" s="32" t="str">
        <x:v>2026-09-19T19:54:22 · Gregory
Pago
Cliente:Landaeta 
Metodo de pago:pm
Monto:16.920,00. 20$
Fecha:18/09/2026
Producto:invictus clásico
Cuota:1/1 ✅
1072</x:v>
      </x:c>
      <x:c r="E818" s="22" t="str">
        <x:v>Pago nuevo</x:v>
      </x:c>
      <x:c r="F818" s="22" t="str">
        <x:v>P-065</x:v>
      </x:c>
    </x:row>
    <x:row r="819" ht="70" customHeight="1">
      <x:c r="A819" s="22" t="str">
        <x:v>Chat</x:v>
      </x:c>
      <x:c r="B819" s="22" t="str">
        <x:v>M-0372</x:v>
      </x:c>
      <x:c r="C819" s="29" t="n">
        <x:v>46284</x:v>
      </x:c>
      <x:c r="D819" s="32" t="str">
        <x:v>2026-09-19T19:55:09 · Gregory
Pago
Cliente:Landaeta 
Metodo de pago:pm
Monto:848,55
Fecha:18/09/2026
Producto:Asad 
Cuota: 2/2 ✅
1012</x:v>
      </x:c>
      <x:c r="E819" s="22" t="str">
        <x:v>Pago nuevo</x:v>
      </x:c>
      <x:c r="F819" s="22" t="str">
        <x:v>P-066</x:v>
      </x:c>
    </x:row>
    <x:row r="820" ht="70" customHeight="1">
      <x:c r="A820" s="22" t="str">
        <x:v>Chat</x:v>
      </x:c>
      <x:c r="B820" s="22" t="str">
        <x:v>M-0373</x:v>
      </x:c>
      <x:c r="C820" s="29" t="n">
        <x:v>46284</x:v>
      </x:c>
      <x:c r="D820" s="32" t="str">
        <x:v>2026-09-19T19:55:42 · Gregor Escalona
Las cuentas de mis clientes están pagas las cancelo yo</x:v>
      </x:c>
      <x:c r="E820" s="22" t="str">
        <x:v>Conversación / sin asiento</x:v>
      </x:c>
      <x:c r="F820" s="22" t="str"/>
    </x:row>
    <x:row r="821" ht="70" customHeight="1">
      <x:c r="A821" s="22" t="str">
        <x:v>Chat</x:v>
      </x:c>
      <x:c r="B821" s="22" t="str">
        <x:v>M-0374</x:v>
      </x:c>
      <x:c r="C821" s="29" t="n">
        <x:v>46284</x:v>
      </x:c>
      <x:c r="D821" s="32" t="str">
        <x:v>2026-09-19T19:56:23 · Gregor Escalona
No puedo pasar nada</x:v>
      </x:c>
      <x:c r="E821" s="22" t="str">
        <x:v>Conversación / sin asiento</x:v>
      </x:c>
      <x:c r="F821" s="22" t="str"/>
    </x:row>
    <x:row r="822" ht="70" customHeight="1">
      <x:c r="A822" s="22" t="str">
        <x:v>Chat</x:v>
      </x:c>
      <x:c r="B822" s="22" t="str">
        <x:v>M-0375</x:v>
      </x:c>
      <x:c r="C822" s="29" t="n">
        <x:v>46284</x:v>
      </x:c>
      <x:c r="D822" s="32" t="str">
        <x:v>2026-09-19T19:56:30 · Gregor Escalona
Porque no existe un método de pago</x:v>
      </x:c>
      <x:c r="E822" s="22" t="str">
        <x:v>Conversación / sin asiento</x:v>
      </x:c>
      <x:c r="F822" s="22" t="str"/>
    </x:row>
    <x:row r="823" ht="70" customHeight="1">
      <x:c r="A823" s="22" t="str">
        <x:v>Chat</x:v>
      </x:c>
      <x:c r="B823" s="22" t="str">
        <x:v>M-0376</x:v>
      </x:c>
      <x:c r="C823" s="29" t="n">
        <x:v>46284</x:v>
      </x:c>
      <x:c r="D823" s="32" t="str">
        <x:v>2026-09-19T19:56:45 · Gregor Escalona
No hay cap y no hay efectivo</x:v>
      </x:c>
      <x:c r="E823" s="22" t="str">
        <x:v>Conversación / sin asiento</x:v>
      </x:c>
      <x:c r="F823" s="22" t="str"/>
    </x:row>
    <x:row r="824" ht="70" customHeight="1">
      <x:c r="A824" s="22" t="str">
        <x:v>Chat</x:v>
      </x:c>
      <x:c r="B824" s="22" t="str">
        <x:v>M-0377</x:v>
      </x:c>
      <x:c r="C824" s="29" t="n">
        <x:v>46284</x:v>
      </x:c>
      <x:c r="D824" s="32" t="str">
        <x:v>2026-09-19T19:56:56 · Gregor Escalona
Esos son cuentas que yo estoy cuadrando</x:v>
      </x:c>
      <x:c r="E824" s="22" t="str">
        <x:v>Conversación / sin asiento</x:v>
      </x:c>
      <x:c r="F824" s="22" t="str"/>
    </x:row>
    <x:row r="825" ht="70" customHeight="1">
      <x:c r="A825" s="22" t="str">
        <x:v>Chat</x:v>
      </x:c>
      <x:c r="B825" s="22" t="str">
        <x:v>M-0378</x:v>
      </x:c>
      <x:c r="C825" s="29" t="n">
        <x:v>46284</x:v>
      </x:c>
      <x:c r="D825" s="32" t="str">
        <x:v>2026-09-19T19:57:19 · Gregor Escalona
Yo las cancelo cuando esté ingresando todos los pagos</x:v>
      </x:c>
      <x:c r="E825" s="22" t="str">
        <x:v>Conversación / sin asiento</x:v>
      </x:c>
      <x:c r="F825" s="22" t="str"/>
    </x:row>
    <x:row r="826" ht="70" customHeight="1">
      <x:c r="A826" s="22" t="str">
        <x:v>Chat</x:v>
      </x:c>
      <x:c r="B826" s="22" t="str">
        <x:v>M-0379</x:v>
      </x:c>
      <x:c r="C826" s="29" t="n">
        <x:v>46284</x:v>
      </x:c>
      <x:c r="D826" s="32" t="str">
        <x:v>2026-09-19T19:57:50 · Gregor Escalona
Pero sería una vez estén listas todas las ventas cargadas</x:v>
      </x:c>
      <x:c r="E826" s="22" t="str">
        <x:v>Conversación / sin asiento</x:v>
      </x:c>
      <x:c r="F826" s="22" t="str"/>
    </x:row>
    <x:row r="827" ht="70" customHeight="1">
      <x:c r="A827" s="22" t="str">
        <x:v>Chat</x:v>
      </x:c>
      <x:c r="B827" s="22" t="str">
        <x:v>M-0380</x:v>
      </x:c>
      <x:c r="C827" s="29" t="n">
        <x:v>46284</x:v>
      </x:c>
      <x:c r="D827" s="32" t="str">
        <x:v>2026-09-19T19:58:57 · Gregory
Pago
Cliente:Landaeta 
Metodo de pago:pm
Monto:12.231,45
Fecha:18/09/2026
Producto:Ariana grande cloud 
Cuota: 1/2</x:v>
      </x:c>
      <x:c r="E827" s="22" t="str">
        <x:v>Pago nuevo</x:v>
      </x:c>
      <x:c r="F827" s="22" t="str">
        <x:v>P-067</x:v>
      </x:c>
    </x:row>
    <x:row r="828" ht="70" customHeight="1">
      <x:c r="A828" s="22" t="str">
        <x:v>Chat</x:v>
      </x:c>
      <x:c r="B828" s="22" t="str">
        <x:v>M-0381</x:v>
      </x:c>
      <x:c r="C828" s="29" t="n">
        <x:v>46284</x:v>
      </x:c>
      <x:c r="D828" s="32" t="str">
        <x:v>2026-09-19T20:07:41 · Gregory
Pago
Cliente:cristhian 
Metodo de pago:Pm
Monto:8.485,46
Fecha:18/09/2026
Producto:9pm rebel original 
Cuota: 6 ✅
6039</x:v>
      </x:c>
      <x:c r="E828" s="22" t="str">
        <x:v>Pago nuevo</x:v>
      </x:c>
      <x:c r="F828" s="22" t="str">
        <x:v>P-068</x:v>
      </x:c>
    </x:row>
    <x:row r="829" ht="70" customHeight="1">
      <x:c r="A829" s="22" t="str">
        <x:v>Chat</x:v>
      </x:c>
      <x:c r="B829" s="22" t="str">
        <x:v>M-0382</x:v>
      </x:c>
      <x:c r="C829" s="29" t="n">
        <x:v>46284</x:v>
      </x:c>
      <x:c r="D829" s="32" t="str">
        <x:v>2026-09-19T20:08:41 · Gregory
Pago
Cliente:amarista 
Metodo de pago:pm
Monto:6.788,38. 8$
Fecha:19/09/2026
Producto:9pm rebel mini
Cuota: 1/2
0444</x:v>
      </x:c>
      <x:c r="E829" s="22" t="str">
        <x:v>Pago nuevo</x:v>
      </x:c>
      <x:c r="F829" s="22" t="str">
        <x:v>P-069</x:v>
      </x:c>
    </x:row>
    <x:row r="830" ht="70" customHeight="1">
      <x:c r="A830" s="22" t="str">
        <x:v>Chat</x:v>
      </x:c>
      <x:c r="B830" s="22" t="str">
        <x:v>M-0383</x:v>
      </x:c>
      <x:c r="C830" s="29" t="n">
        <x:v>46284</x:v>
      </x:c>
      <x:c r="D830" s="32" t="str">
        <x:v>2026-09-19T20:09:50 · Gregory
Pago
Cliente:Ivana 
Metodo de pago:pm
Monto:13.000
Fecha:19/09/2026
Producto:la bomba 
Cuota: 2/2 ✅</x:v>
      </x:c>
      <x:c r="E830" s="22" t="str">
        <x:v>Pago nuevo</x:v>
      </x:c>
      <x:c r="F830" s="22" t="str">
        <x:v>P-070</x:v>
      </x:c>
    </x:row>
    <x:row r="831" ht="70" customHeight="1">
      <x:c r="A831" s="22" t="str">
        <x:v>Chat</x:v>
      </x:c>
      <x:c r="B831" s="22" t="str">
        <x:v>M-0384</x:v>
      </x:c>
      <x:c r="C831" s="29" t="n">
        <x:v>46284</x:v>
      </x:c>
      <x:c r="D831" s="32" t="str">
        <x:v>2026-09-19T20:16:53 · Gregory
[Reenviado] &lt;imagen omitida&gt;</x:v>
      </x:c>
      <x:c r="E831" s="22" t="str">
        <x:v>Conversación / sin asiento</x:v>
      </x:c>
      <x:c r="F831" s="22" t="str"/>
    </x:row>
    <x:row r="832" ht="70" customHeight="1">
      <x:c r="A832" s="22" t="str">
        <x:v>Chat</x:v>
      </x:c>
      <x:c r="B832" s="22" t="str">
        <x:v>M-0385</x:v>
      </x:c>
      <x:c r="C832" s="29" t="n">
        <x:v>46284</x:v>
      </x:c>
      <x:c r="D832" s="32" t="str">
        <x:v>2026-09-19T20:16:54 · Gregory
Ricardo 10$</x:v>
      </x:c>
      <x:c r="E832" s="22" t="str">
        <x:v>Importe sin vínculo único</x:v>
      </x:c>
      <x:c r="F832" s="22" t="str">
        <x:v>P-077</x:v>
      </x:c>
    </x:row>
    <x:row r="833" ht="70" customHeight="1">
      <x:c r="A833" s="22" t="str">
        <x:v>Chat</x:v>
      </x:c>
      <x:c r="B833" s="22" t="str">
        <x:v>M-0386</x:v>
      </x:c>
      <x:c r="C833" s="29" t="n">
        <x:v>46284</x:v>
      </x:c>
      <x:c r="D833" s="32" t="str">
        <x:v>2026-09-19T20:24:09 · Gregory
Mano está bien pero tienes que subir el registro del pago , o no unir los negocios fuera de marfil con marfil son cuentas distintas porque estás trabajando con la plata de marfil y eso no se puede hacer porque es un dinero en conjunto por eso no se sabe cuanto dinero hay tienes que dividir tus negocios no los puedes unir son cuentas apartes y rentabilidades aparte , porque si tomas la cuenta tú es distinto por la exigencia del dinero y te estás pagando cuando los demás no estamos tocando el dinero para beneficios personales Actv con eso</x:v>
      </x:c>
      <x:c r="E833" s="22" t="str">
        <x:v>Conversación / sin asiento</x:v>
      </x:c>
      <x:c r="F833" s="22" t="str"/>
    </x:row>
    <x:row r="834" ht="70" customHeight="1">
      <x:c r="A834" s="22" t="str">
        <x:v>Chat</x:v>
      </x:c>
      <x:c r="B834" s="22" t="str">
        <x:v>M-0387</x:v>
      </x:c>
      <x:c r="C834" s="29" t="n">
        <x:v>46284</x:v>
      </x:c>
      <x:c r="D834" s="32" t="str">
        <x:v>2026-09-19T20:24:54 · Gregor Escalona
Es que el dinero está</x:v>
      </x:c>
      <x:c r="E834" s="22" t="str">
        <x:v>Conversación / sin asiento</x:v>
      </x:c>
      <x:c r="F834" s="22" t="str"/>
    </x:row>
    <x:row r="835" ht="70" customHeight="1">
      <x:c r="A835" s="22" t="str">
        <x:v>Chat</x:v>
      </x:c>
      <x:c r="B835" s="22" t="str">
        <x:v>M-0388</x:v>
      </x:c>
      <x:c r="C835" s="29" t="n">
        <x:v>46284</x:v>
      </x:c>
      <x:c r="D835" s="32" t="str">
        <x:v>2026-09-19T20:25:06 · Gregor Escalona
La cuenta la estoy tomando yo</x:v>
      </x:c>
      <x:c r="E835" s="22" t="str">
        <x:v>Conversación / sin asiento</x:v>
      </x:c>
      <x:c r="F835" s="22" t="str"/>
    </x:row>
    <x:row r="836" ht="70" customHeight="1">
      <x:c r="A836" s="22" t="str">
        <x:v>Chat</x:v>
      </x:c>
      <x:c r="B836" s="22" t="str">
        <x:v>M-0389</x:v>
      </x:c>
      <x:c r="C836" s="29" t="n">
        <x:v>46284</x:v>
      </x:c>
      <x:c r="D836" s="32" t="str">
        <x:v>2026-09-19T20:25:20 · Gregory
Por eso sube el registro del pago para que el cliente no quede con deuda</x:v>
      </x:c>
      <x:c r="E836" s="22" t="str">
        <x:v>Conversación / sin asiento</x:v>
      </x:c>
      <x:c r="F836" s="22" t="str"/>
    </x:row>
    <x:row r="837" ht="70" customHeight="1">
      <x:c r="A837" s="22" t="str">
        <x:v>Chat</x:v>
      </x:c>
      <x:c r="B837" s="22" t="str">
        <x:v>M-0390</x:v>
      </x:c>
      <x:c r="C837" s="29" t="n">
        <x:v>46284</x:v>
      </x:c>
      <x:c r="D837" s="32" t="str">
        <x:v>2026-09-19T20:26:23 · Gregory
Y no dañe la estadística de rentabilidad, si es pago móvil háztelo tú mismo desde otra cuenta o exige el pago móvil o cambia el método a pago en divisa y sube el pago</x:v>
      </x:c>
      <x:c r="E837" s="22" t="str">
        <x:v>Conversación / sin asiento</x:v>
      </x:c>
      <x:c r="F837" s="22" t="str"/>
    </x:row>
    <x:row r="838" ht="70" customHeight="1">
      <x:c r="A838" s="22" t="str">
        <x:v>Chat</x:v>
      </x:c>
      <x:c r="B838" s="22" t="str">
        <x:v>M-0391</x:v>
      </x:c>
      <x:c r="C838" s="29" t="n">
        <x:v>46284</x:v>
      </x:c>
      <x:c r="D838" s="32" t="str">
        <x:v>2026-09-19T20:33:37 · Gregory
Porque si se sube una venta desde hace 1 mes y el cliente paga en efectivo y yo me quedo con el dinero y no reportó el pago estoy tomando prestado del negocio y daño el análisis de pago y rentabilidad mensual</x:v>
      </x:c>
      <x:c r="E838" s="22" t="str">
        <x:v>Conversación / sin asiento</x:v>
      </x:c>
      <x:c r="F838" s="22" t="str"/>
    </x:row>
    <x:row r="839" ht="70" customHeight="1">
      <x:c r="A839" s="22" t="str">
        <x:v>Chat</x:v>
      </x:c>
      <x:c r="B839" s="22" t="str">
        <x:v>M-0392</x:v>
      </x:c>
      <x:c r="C839" s="29" t="n">
        <x:v>46284</x:v>
      </x:c>
      <x:c r="D839" s="32" t="str">
        <x:v>2026-09-19T20:34:52 · Gregor Escalona
Mrc esa Misma plata ya puede haber estado invertida en perfume</x:v>
      </x:c>
      <x:c r="E839" s="22" t="str">
        <x:v>Conversación / sin asiento</x:v>
      </x:c>
      <x:c r="F839" s="22" t="str"/>
    </x:row>
    <x:row r="840" ht="70" customHeight="1">
      <x:c r="A840" s="22" t="str">
        <x:v>Chat</x:v>
      </x:c>
      <x:c r="B840" s="22" t="str">
        <x:v>M-0393</x:v>
      </x:c>
      <x:c r="C840" s="29" t="n">
        <x:v>46284</x:v>
      </x:c>
      <x:c r="D840" s="32" t="str">
        <x:v>2026-09-19T20:35:17 · Gregor Escalona
Ocasiones en la que no se sabe si se tiene dinero o no</x:v>
      </x:c>
      <x:c r="E840" s="22" t="str">
        <x:v>Conversación / sin asiento</x:v>
      </x:c>
      <x:c r="F840" s="22" t="str"/>
    </x:row>
    <x:row r="841" ht="70" customHeight="1">
      <x:c r="A841" s="22" t="str">
        <x:v>Chat</x:v>
      </x:c>
      <x:c r="B841" s="22" t="str">
        <x:v>M-0394</x:v>
      </x:c>
      <x:c r="C841" s="29" t="n">
        <x:v>46284</x:v>
      </x:c>
      <x:c r="D841" s="32" t="str">
        <x:v>2026-09-19T20:35:28 · Gregor Escalona
Yo igual lo pongo sin importar si es mío o no</x:v>
      </x:c>
      <x:c r="E841" s="22" t="str">
        <x:v>Conversación / sin asiento</x:v>
      </x:c>
      <x:c r="F841" s="22" t="str"/>
    </x:row>
    <x:row r="842" ht="70" customHeight="1">
      <x:c r="A842" s="22" t="str">
        <x:v>Chat</x:v>
      </x:c>
      <x:c r="B842" s="22" t="str">
        <x:v>M-0395</x:v>
      </x:c>
      <x:c r="C842" s="29" t="n">
        <x:v>46284</x:v>
      </x:c>
      <x:c r="D842" s="32" t="str">
        <x:v>2026-09-19T20:35:37 · Gregory
Mano yo se eso</x:v>
      </x:c>
      <x:c r="E842" s="22" t="str">
        <x:v>Conversación / sin asiento</x:v>
      </x:c>
      <x:c r="F842" s="22" t="str"/>
    </x:row>
    <x:row r="843" ht="70" customHeight="1">
      <x:c r="A843" s="22" t="str">
        <x:v>Chat</x:v>
      </x:c>
      <x:c r="B843" s="22" t="str">
        <x:v>M-0396</x:v>
      </x:c>
      <x:c r="C843" s="29" t="n">
        <x:v>46284</x:v>
      </x:c>
      <x:c r="D843" s="32" t="str">
        <x:v>2026-09-19T20:35:56 · Gregor Escalona
Entonces no es que lo tome prestado</x:v>
      </x:c>
      <x:c r="E843" s="22" t="str">
        <x:v>Conversación / sin asiento</x:v>
      </x:c>
      <x:c r="F843" s="22" t="str"/>
    </x:row>
    <x:row r="844" ht="70" customHeight="1">
      <x:c r="A844" s="22" t="str">
        <x:v>Chat</x:v>
      </x:c>
      <x:c r="B844" s="22" t="str">
        <x:v>M-0397</x:v>
      </x:c>
      <x:c r="C844" s="29" t="n">
        <x:v>46284</x:v>
      </x:c>
      <x:c r="D844" s="32" t="str">
        <x:v>2026-09-19T20:36:01 · Gregor Escalona
Porque la plata está</x:v>
      </x:c>
      <x:c r="E844" s="22" t="str">
        <x:v>Conversación / sin asiento</x:v>
      </x:c>
      <x:c r="F844" s="22" t="str"/>
    </x:row>
    <x:row r="845" ht="70" customHeight="1">
      <x:c r="A845" s="22" t="str">
        <x:v>Chat</x:v>
      </x:c>
      <x:c r="B845" s="22" t="str">
        <x:v>M-0398</x:v>
      </x:c>
      <x:c r="C845" s="29" t="n">
        <x:v>46284</x:v>
      </x:c>
      <x:c r="D845" s="32" t="str">
        <x:v>2026-09-19T20:36:28 · Gregor Escalona
Más bien el que presta soy yo</x:v>
      </x:c>
      <x:c r="E845" s="22" t="str">
        <x:v>Conversación / sin asiento</x:v>
      </x:c>
      <x:c r="F845" s="22" t="str"/>
    </x:row>
    <x:row r="846" ht="70" customHeight="1">
      <x:c r="A846" s="22" t="str">
        <x:v>Chat</x:v>
      </x:c>
      <x:c r="B846" s="22" t="str">
        <x:v>M-0399</x:v>
      </x:c>
      <x:c r="C846" s="29" t="n">
        <x:v>46284</x:v>
      </x:c>
      <x:c r="D846" s="32" t="str">
        <x:v>2026-09-19T20:37:17 · Gregor Escalona
Y okey con el tema del análisis</x:v>
      </x:c>
      <x:c r="E846" s="22" t="str">
        <x:v>Conversación / sin asiento</x:v>
      </x:c>
      <x:c r="F846" s="22" t="str"/>
    </x:row>
    <x:row r="847" ht="70" customHeight="1">
      <x:c r="A847" s="22" t="str">
        <x:v>Chat</x:v>
      </x:c>
      <x:c r="B847" s="22" t="str">
        <x:v>M-0400</x:v>
      </x:c>
      <x:c r="C847" s="29" t="n">
        <x:v>46284</x:v>
      </x:c>
      <x:c r="D847" s="32" t="str">
        <x:v>2026-09-19T20:37:22 · Gregor Escalona
Eso es importante</x:v>
      </x:c>
      <x:c r="E847" s="22" t="str">
        <x:v>Conversación / sin asiento</x:v>
      </x:c>
      <x:c r="F847" s="22" t="str"/>
    </x:row>
    <x:row r="848" ht="70" customHeight="1">
      <x:c r="A848" s="22" t="str">
        <x:v>Chat</x:v>
      </x:c>
      <x:c r="B848" s="22" t="str">
        <x:v>M-0401</x:v>
      </x:c>
      <x:c r="C848" s="29" t="n">
        <x:v>46284</x:v>
      </x:c>
      <x:c r="D848" s="32" t="str">
        <x:v>2026-09-19T20:37:45 · Gregor Escalona
Pero hasta que el sistema se empiece usar al 100% eso no vale de nada</x:v>
      </x:c>
      <x:c r="E848" s="22" t="str">
        <x:v>Conversación / sin asiento</x:v>
      </x:c>
      <x:c r="F848" s="22" t="str"/>
    </x:row>
    <x:row r="849" ht="70" customHeight="1">
      <x:c r="A849" s="22" t="str">
        <x:v>Chat</x:v>
      </x:c>
      <x:c r="B849" s="22" t="str">
        <x:v>M-0402</x:v>
      </x:c>
      <x:c r="C849" s="29" t="n">
        <x:v>46284</x:v>
      </x:c>
      <x:c r="D849" s="32" t="str">
        <x:v>2026-09-19T20:38:11 · Gregor Escalona
Lo importante aquí es o empezar a usar el sistema</x:v>
      </x:c>
      <x:c r="E849" s="22" t="str">
        <x:v>Conversación / sin asiento</x:v>
      </x:c>
      <x:c r="F849" s="22" t="str"/>
    </x:row>
    <x:row r="850" ht="70" customHeight="1">
      <x:c r="A850" s="22" t="str">
        <x:v>Chat</x:v>
      </x:c>
      <x:c r="B850" s="22" t="str">
        <x:v>M-0403</x:v>
      </x:c>
      <x:c r="C850" s="29" t="n">
        <x:v>46284</x:v>
      </x:c>
      <x:c r="D850" s="32" t="str">
        <x:v>2026-09-19T20:38:16 · Gregor Escalona
O organizar el exel</x:v>
      </x:c>
      <x:c r="E850" s="22" t="str">
        <x:v>Conversación / sin asiento</x:v>
      </x:c>
      <x:c r="F850" s="22" t="str"/>
    </x:row>
    <x:row r="851" ht="70" customHeight="1">
      <x:c r="A851" s="22" t="str">
        <x:v>Chat</x:v>
      </x:c>
      <x:c r="B851" s="22" t="str">
        <x:v>M-0404</x:v>
      </x:c>
      <x:c r="C851" s="29" t="n">
        <x:v>46284</x:v>
      </x:c>
      <x:c r="D851" s="32" t="str">
        <x:v>2026-09-19T20:38:34 · Gregor Escalona
Pero ya tienes que estar listo algo para organizar los números</x:v>
      </x:c>
      <x:c r="E851" s="22" t="str">
        <x:v>Conversación / sin asiento</x:v>
      </x:c>
      <x:c r="F851" s="22" t="str"/>
    </x:row>
    <x:row r="852" ht="70" customHeight="1">
      <x:c r="A852" s="22" t="str">
        <x:v>Chat</x:v>
      </x:c>
      <x:c r="B852" s="22" t="str">
        <x:v>M-0405</x:v>
      </x:c>
      <x:c r="C852" s="29" t="n">
        <x:v>46284</x:v>
      </x:c>
      <x:c r="D852" s="32" t="str">
        <x:v>2026-09-19T20:38:54 · Gregory
&lt;mensaje de voz omitido&gt;</x:v>
      </x:c>
      <x:c r="E852" s="22" t="str">
        <x:v>Conversación / sin asiento</x:v>
      </x:c>
      <x:c r="F852" s="22" t="str"/>
    </x:row>
    <x:row r="853" ht="70" customHeight="1">
      <x:c r="A853" s="22" t="str">
        <x:v>Chat</x:v>
      </x:c>
      <x:c r="B853" s="22" t="str">
        <x:v>M-0406</x:v>
      </x:c>
      <x:c r="C853" s="29" t="n">
        <x:v>46284</x:v>
      </x:c>
      <x:c r="D853" s="32" t="str">
        <x:v>2026-09-19T20:41:19 · Gregor Escalona
Okey pero eso importara si todo estuviese organizado con los números</x:v>
      </x:c>
      <x:c r="E853" s="22" t="str">
        <x:v>Conversación / sin asiento</x:v>
      </x:c>
      <x:c r="F853" s="22" t="str"/>
    </x:row>
    <x:row r="854" ht="70" customHeight="1">
      <x:c r="A854" s="22" t="str">
        <x:v>Chat</x:v>
      </x:c>
      <x:c r="B854" s="22" t="str">
        <x:v>M-0407</x:v>
      </x:c>
      <x:c r="C854" s="29" t="n">
        <x:v>46284</x:v>
      </x:c>
      <x:c r="D854" s="32" t="str">
        <x:v>2026-09-19T20:41:43 · Gregor Escalona
Por eso hay que tomar una desicion ya mismos con respecto a que se va hacer</x:v>
      </x:c>
      <x:c r="E854" s="22" t="str">
        <x:v>Conversación / sin asiento</x:v>
      </x:c>
      <x:c r="F854" s="22" t="str"/>
    </x:row>
    <x:row r="855" ht="70" customHeight="1">
      <x:c r="A855" s="22" t="str">
        <x:v>Chat</x:v>
      </x:c>
      <x:c r="B855" s="22" t="str">
        <x:v>M-0408</x:v>
      </x:c>
      <x:c r="C855" s="29" t="n">
        <x:v>46284</x:v>
      </x:c>
      <x:c r="D855" s="32" t="str">
        <x:v>2026-09-19T20:41:58 · Gregor Escalona
Para organizar y poder seguir</x:v>
      </x:c>
      <x:c r="E855" s="22" t="str">
        <x:v>Conversación / sin asiento</x:v>
      </x:c>
      <x:c r="F855" s="22" t="str"/>
    </x:row>
    <x:row r="856" ht="70" customHeight="1">
      <x:c r="A856" s="22" t="str">
        <x:v>Chat</x:v>
      </x:c>
      <x:c r="B856" s="22" t="str">
        <x:v>M-0409</x:v>
      </x:c>
      <x:c r="C856" s="29" t="n">
        <x:v>46284</x:v>
      </x:c>
      <x:c r="D856" s="32" t="str">
        <x:v>2026-09-19T20:42:17 · Gregor Escalona
Si seguimos así, cada vez va a ser más complicado obtener esas estadísticas</x:v>
      </x:c>
      <x:c r="E856" s="22" t="str">
        <x:v>Conversación / sin asiento</x:v>
      </x:c>
      <x:c r="F856" s="22" t="str"/>
    </x:row>
    <x:row r="857" ht="70" customHeight="1">
      <x:c r="A857" s="22" t="str">
        <x:v>Chat</x:v>
      </x:c>
      <x:c r="B857" s="22" t="str">
        <x:v>M-0410</x:v>
      </x:c>
      <x:c r="C857" s="29" t="n">
        <x:v>46284</x:v>
      </x:c>
      <x:c r="D857" s="32" t="str">
        <x:v>2026-09-19T20:42:26 · Gregor Escalona
El principal problema ahora es organizar eso</x:v>
      </x:c>
      <x:c r="E857" s="22" t="str">
        <x:v>Conversación / sin asiento</x:v>
      </x:c>
      <x:c r="F857" s="22" t="str"/>
    </x:row>
    <x:row r="858" ht="70" customHeight="1">
      <x:c r="A858" s="22" t="str">
        <x:v>Chat</x:v>
      </x:c>
      <x:c r="B858" s="22" t="str">
        <x:v>M-0411</x:v>
      </x:c>
      <x:c r="C858" s="29" t="n">
        <x:v>46284</x:v>
      </x:c>
      <x:c r="D858" s="32" t="str">
        <x:v>2026-09-19T20:42:52 · Gregor Escalona
Pero o se hace en el sistema o se hace en el exel</x:v>
      </x:c>
      <x:c r="E858" s="22" t="str">
        <x:v>Conversación / sin asiento</x:v>
      </x:c>
      <x:c r="F858" s="22" t="str"/>
    </x:row>
    <x:row r="859" ht="70" customHeight="1">
      <x:c r="A859" s="22" t="str">
        <x:v>Chat</x:v>
      </x:c>
      <x:c r="B859" s="22" t="str">
        <x:v>M-0412</x:v>
      </x:c>
      <x:c r="C859" s="29" t="n">
        <x:v>46284</x:v>
      </x:c>
      <x:c r="D859" s="32" t="str">
        <x:v>2026-09-19T20:42:55 · Gregor Escalona
Una de las dos</x:v>
      </x:c>
      <x:c r="E859" s="22" t="str">
        <x:v>Conversación / sin asiento</x:v>
      </x:c>
      <x:c r="F859" s="22" t="str"/>
    </x:row>
    <x:row r="860" ht="70" customHeight="1">
      <x:c r="A860" s="22" t="str">
        <x:v>Chat</x:v>
      </x:c>
      <x:c r="B860" s="22" t="str">
        <x:v>M-0413</x:v>
      </x:c>
      <x:c r="C860" s="29" t="n">
        <x:v>46284</x:v>
      </x:c>
      <x:c r="D860" s="32" t="str">
        <x:v>2026-09-19T20:43:00 · Gregory
Tengo más de 10 clientes atrasados con pedidos</x:v>
      </x:c>
      <x:c r="E860" s="22" t="str">
        <x:v>Conversación / sin asiento</x:v>
      </x:c>
      <x:c r="F860" s="22" t="str"/>
    </x:row>
    <x:row r="861" ht="70" customHeight="1">
      <x:c r="A861" s="22" t="str">
        <x:v>Chat</x:v>
      </x:c>
      <x:c r="B861" s="22" t="str">
        <x:v>M-0414</x:v>
      </x:c>
      <x:c r="C861" s="29" t="n">
        <x:v>46284</x:v>
      </x:c>
      <x:c r="D861" s="32" t="str">
        <x:v>2026-09-19T20:43:03 · Gregor Escalona
Porque no se puede trabajar doble</x:v>
      </x:c>
      <x:c r="E861" s="22" t="str">
        <x:v>Conversación / sin asiento</x:v>
      </x:c>
      <x:c r="F861" s="22" t="str"/>
    </x:row>
    <x:row r="862" ht="70" customHeight="1">
      <x:c r="A862" s="22" t="str">
        <x:v>Chat</x:v>
      </x:c>
      <x:c r="B862" s="22" t="str">
        <x:v>M-0415</x:v>
      </x:c>
      <x:c r="C862" s="29" t="n">
        <x:v>46284</x:v>
      </x:c>
      <x:c r="D862" s="32" t="str">
        <x:v>2026-09-19T20:44:57 · Gregory
Se va hacer con el Excel el sistema tiene que pasar por una fase de prueba y se los dije hace 1 mes hay que ser anticipados y eso es lógica simple</x:v>
      </x:c>
      <x:c r="E862" s="22" t="str">
        <x:v>Conversación / sin asiento</x:v>
      </x:c>
      <x:c r="F862" s="22" t="str"/>
    </x:row>
    <x:row r="863" ht="70" customHeight="1">
      <x:c r="A863" s="22" t="str">
        <x:v>Chat</x:v>
      </x:c>
      <x:c r="B863" s="22" t="str">
        <x:v>M-0416</x:v>
      </x:c>
      <x:c r="C863" s="29" t="n">
        <x:v>46284</x:v>
      </x:c>
      <x:c r="D863" s="32" t="str">
        <x:v>2026-09-19T20:47:42 · Gregor Escalona
Bueno entonces mañana se organiza todo el exel</x:v>
      </x:c>
      <x:c r="E863" s="22" t="str">
        <x:v>Conversación / sin asiento</x:v>
      </x:c>
      <x:c r="F863" s="22" t="str"/>
    </x:row>
    <x:row r="864" ht="70" customHeight="1">
      <x:c r="A864" s="22" t="str">
        <x:v>Chat</x:v>
      </x:c>
      <x:c r="B864" s="22" t="str">
        <x:v>M-0417</x:v>
      </x:c>
      <x:c r="C864" s="29" t="n">
        <x:v>46284</x:v>
      </x:c>
      <x:c r="D864" s="32" t="str">
        <x:v>2026-09-19T20:50:17 · Gregory
Se eliminó este mensaje.</x:v>
      </x:c>
      <x:c r="E864" s="22" t="str">
        <x:v>Conversación / sin asiento</x:v>
      </x:c>
      <x:c r="F864" s="22" t="str"/>
    </x:row>
    <x:row r="865" ht="70" customHeight="1">
      <x:c r="A865" s="22" t="str">
        <x:v>Chat</x:v>
      </x:c>
      <x:c r="B865" s="22" t="str">
        <x:v>M-0418</x:v>
      </x:c>
      <x:c r="C865" s="29" t="n">
        <x:v>46284</x:v>
      </x:c>
      <x:c r="D865" s="32" t="str">
        <x:v>2026-09-19T21:35:39 · Gregor Escalona
Venta
Cliente: Gregor 
Metodo de Pago:pm
Producto:Dior sauve 
Fecha:18/09/26
Cuotas 
Inicial: 
13$</x:v>
      </x:c>
      <x:c r="E865" s="22" t="str">
        <x:v>Venta nueva del chat</x:v>
      </x:c>
      <x:c r="F865" s="22" t="str">
        <x:v>V-069</x:v>
      </x:c>
    </x:row>
    <x:row r="866" ht="70" customHeight="1">
      <x:c r="A866" s="22" t="str">
        <x:v>Chat</x:v>
      </x:c>
      <x:c r="B866" s="22" t="str">
        <x:v>M-0419</x:v>
      </x:c>
      <x:c r="C866" s="29" t="n">
        <x:v>46285</x:v>
      </x:c>
      <x:c r="D866" s="32" t="str">
        <x:v>2026-09-20T22:08:21 · Gregory
Pago
Cliente:Melany 
Metodo de pago:Pm
Monto:8.490,00 10$
Fecha:19/09/2026
Producto:cloud 
Cuota: 1/2</x:v>
      </x:c>
      <x:c r="E866" s="22" t="str">
        <x:v>Pago nuevo</x:v>
      </x:c>
      <x:c r="F866" s="22" t="str">
        <x:v>P-071</x:v>
      </x:c>
    </x:row>
    <x:row r="867" ht="70" customHeight="1">
      <x:c r="A867" s="22" t="str">
        <x:v>Chat</x:v>
      </x:c>
      <x:c r="B867" s="22" t="str">
        <x:v>M-0420</x:v>
      </x:c>
      <x:c r="C867" s="29" t="n">
        <x:v>46285</x:v>
      </x:c>
      <x:c r="D867" s="32" t="str">
        <x:v>2026-09-20T22:08:39 · Gregory
Melany 10$</x:v>
      </x:c>
      <x:c r="E867" s="22" t="str">
        <x:v>Aviso de monto unido a ficha, sin nuevo cobro</x:v>
      </x:c>
      <x:c r="F867" s="22" t="str">
        <x:v>P-071</x:v>
      </x:c>
    </x:row>
    <x:row r="868" ht="70" customHeight="1">
      <x:c r="A868" s="22" t="str">
        <x:v>Chat</x:v>
      </x:c>
      <x:c r="B868" s="22" t="str">
        <x:v>M-0421</x:v>
      </x:c>
      <x:c r="C868" s="29" t="n">
        <x:v>46287</x:v>
      </x:c>
      <x:c r="D868" s="32" t="str">
        <x:v>2026-09-22T17:17:19 · Gregory
&lt;imagen omitida&gt;</x:v>
      </x:c>
      <x:c r="E868" s="22" t="str">
        <x:v>Conversación / sin asiento</x:v>
      </x:c>
      <x:c r="F868" s="22" t="str"/>
    </x:row>
    <x:row r="869" ht="70" customHeight="1">
      <x:c r="A869" s="22" t="str">
        <x:v>Chat</x:v>
      </x:c>
      <x:c r="B869" s="22" t="str">
        <x:v>M-0422</x:v>
      </x:c>
      <x:c r="C869" s="29" t="n">
        <x:v>46287</x:v>
      </x:c>
      <x:c r="D869" s="32" t="str">
        <x:v>2026-09-22T17:17:38 · Gregory
88 usdt</x:v>
      </x:c>
      <x:c r="E869" s="22" t="str">
        <x:v>Conversación / sin asiento</x:v>
      </x:c>
      <x:c r="F869" s="22" t="str"/>
    </x:row>
    <x:row r="870" ht="70" customHeight="1">
      <x:c r="A870" s="22" t="str">
        <x:v>Chat</x:v>
      </x:c>
      <x:c r="B870" s="22" t="str">
        <x:v>M-0423</x:v>
      </x:c>
      <x:c r="C870" s="29" t="n">
        <x:v>46287</x:v>
      </x:c>
      <x:c r="D870" s="32" t="str">
        <x:v>2026-09-22T17:19:17 · Gregor Escalona
Voy</x:v>
      </x:c>
      <x:c r="E870" s="22" t="str">
        <x:v>Conversación / sin asiento</x:v>
      </x:c>
      <x:c r="F870" s="22" t="str"/>
    </x:row>
    <x:row r="871" ht="70" customHeight="1">
      <x:c r="A871" s="22" t="str">
        <x:v>Chat</x:v>
      </x:c>
      <x:c r="B871" s="22" t="str">
        <x:v>M-0424</x:v>
      </x:c>
      <x:c r="C871" s="29" t="n">
        <x:v>46287</x:v>
      </x:c>
      <x:c r="D871" s="32" t="str">
        <x:v>2026-09-22T17:20:59 · Gregor Escalona
&lt;imagen omitida&gt; Compra mercancía 88$</x:v>
      </x:c>
      <x:c r="E871" s="22" t="str">
        <x:v>Conversación / sin asiento</x:v>
      </x:c>
      <x:c r="F871" s="22" t="str"/>
    </x:row>
    <x:row r="872" ht="70" customHeight="1">
      <x:c r="A872" s="22" t="str">
        <x:v>Chat</x:v>
      </x:c>
      <x:c r="B872" s="22" t="str">
        <x:v>M-0425</x:v>
      </x:c>
      <x:c r="C872" s="29" t="n">
        <x:v>46287</x:v>
      </x:c>
      <x:c r="D872" s="32" t="str">
        <x:v>2026-09-22T18:01:20 · Tú
0102
20978690
04242782734
6879.00</x:v>
      </x:c>
      <x:c r="E872" s="22" t="str">
        <x:v>Conversación / sin asiento</x:v>
      </x:c>
      <x:c r="F872" s="22" t="str"/>
    </x:row>
    <x:row r="873" ht="70" customHeight="1">
      <x:c r="A873" s="22" t="str">
        <x:v>Chat</x:v>
      </x:c>
      <x:c r="B873" s="22" t="str">
        <x:v>M-0426</x:v>
      </x:c>
      <x:c r="C873" s="29" t="n">
        <x:v>46287</x:v>
      </x:c>
      <x:c r="D873" s="32" t="str">
        <x:v>2026-09-22T18:01:24 · Tú
@Gregor Escalona</x:v>
      </x:c>
      <x:c r="E873" s="22" t="str">
        <x:v>Conversación / sin asiento</x:v>
      </x:c>
      <x:c r="F873" s="22" t="str"/>
    </x:row>
    <x:row r="874" ht="70" customHeight="1">
      <x:c r="A874" s="22" t="str">
        <x:v>Chat</x:v>
      </x:c>
      <x:c r="B874" s="22" t="str">
        <x:v>M-0427</x:v>
      </x:c>
      <x:c r="C874" s="29" t="n">
        <x:v>46287</x:v>
      </x:c>
      <x:c r="D874" s="32" t="str">
        <x:v>2026-09-22T18:01:38 · Gregor Escalona
Voy</x:v>
      </x:c>
      <x:c r="E874" s="22" t="str">
        <x:v>Conversación / sin asiento</x:v>
      </x:c>
      <x:c r="F874" s="22" t="str"/>
    </x:row>
    <x:row r="875" ht="70" customHeight="1">
      <x:c r="A875" s="22" t="str">
        <x:v>Chat</x:v>
      </x:c>
      <x:c r="B875" s="22" t="str">
        <x:v>M-0428</x:v>
      </x:c>
      <x:c r="C875" s="29" t="n">
        <x:v>46287</x:v>
      </x:c>
      <x:c r="D875" s="32" t="str">
        <x:v>2026-09-22T18:01:40 · Gregor Escalona
Que es eso ?</x:v>
      </x:c>
      <x:c r="E875" s="22" t="str">
        <x:v>Conversación / sin asiento</x:v>
      </x:c>
      <x:c r="F875" s="22" t="str"/>
    </x:row>
    <x:row r="876" ht="70" customHeight="1">
      <x:c r="A876" s="22" t="str">
        <x:v>Chat</x:v>
      </x:c>
      <x:c r="B876" s="22" t="str">
        <x:v>M-0429</x:v>
      </x:c>
      <x:c r="C876" s="29" t="n">
        <x:v>46287</x:v>
      </x:c>
      <x:c r="D876" s="32" t="str">
        <x:v>2026-09-22T18:02:12 · Tú
&lt;imagen omitida&gt;</x:v>
      </x:c>
      <x:c r="E876" s="22" t="str">
        <x:v>Conversación / sin asiento</x:v>
      </x:c>
      <x:c r="F876" s="22" t="str"/>
    </x:row>
    <x:row r="877" ht="70" customHeight="1">
      <x:c r="A877" s="22" t="str">
        <x:v>Chat</x:v>
      </x:c>
      <x:c r="B877" s="22" t="str">
        <x:v>M-0430</x:v>
      </x:c>
      <x:c r="C877" s="29" t="n">
        <x:v>46287</x:v>
      </x:c>
      <x:c r="D877" s="32" t="str">
        <x:v>2026-09-22T18:02:20 · Tú
&lt;mensaje de voz omitido&gt;</x:v>
      </x:c>
      <x:c r="E877" s="22" t="str">
        <x:v>Conversación / sin asiento</x:v>
      </x:c>
      <x:c r="F877" s="22" t="str"/>
    </x:row>
    <x:row r="878" ht="70" customHeight="1">
      <x:c r="A878" s="22" t="str">
        <x:v>Chat</x:v>
      </x:c>
      <x:c r="B878" s="22" t="str">
        <x:v>M-0431</x:v>
      </x:c>
      <x:c r="C878" s="29" t="n">
        <x:v>46287</x:v>
      </x:c>
      <x:c r="D878" s="32" t="str">
        <x:v>2026-09-22T18:02:37 · Gregor Escalona
Ya lo hice</x:v>
      </x:c>
      <x:c r="E878" s="22" t="str">
        <x:v>Conversación / sin asiento</x:v>
      </x:c>
      <x:c r="F878" s="22" t="str"/>
    </x:row>
    <x:row r="879" ht="70" customHeight="1">
      <x:c r="A879" s="22" t="str">
        <x:v>Chat</x:v>
      </x:c>
      <x:c r="B879" s="22" t="str">
        <x:v>M-0432</x:v>
      </x:c>
      <x:c r="C879" s="29" t="n">
        <x:v>46287</x:v>
      </x:c>
      <x:c r="D879" s="32" t="str">
        <x:v>2026-09-22T18:02:45 · Gregor Escalona
Eso es rápido Mrc</x:v>
      </x:c>
      <x:c r="E879" s="22" t="str">
        <x:v>Conversación / sin asiento</x:v>
      </x:c>
      <x:c r="F879" s="22" t="str"/>
    </x:row>
    <x:row r="880" ht="70" customHeight="1">
      <x:c r="A880" s="22" t="str">
        <x:v>Chat</x:v>
      </x:c>
      <x:c r="B880" s="22" t="str">
        <x:v>M-0433</x:v>
      </x:c>
      <x:c r="C880" s="29" t="n">
        <x:v>46287</x:v>
      </x:c>
      <x:c r="D880" s="32" t="str">
        <x:v>2026-09-22T18:03:04 · Gregor Escalona
&lt;imagen omitida&gt; Gasto transporte yummy</x:v>
      </x:c>
      <x:c r="E880" s="22" t="str">
        <x:v>Conversación / sin asiento</x:v>
      </x:c>
      <x:c r="F880" s="22" t="str"/>
    </x:row>
    <x:row r="881" ht="70" customHeight="1">
      <x:c r="A881" s="22" t="str">
        <x:v>Chat</x:v>
      </x:c>
      <x:c r="B881" s="22" t="str">
        <x:v>M-0434</x:v>
      </x:c>
      <x:c r="C881" s="29" t="n">
        <x:v>46287</x:v>
      </x:c>
      <x:c r="D881" s="32" t="str">
        <x:v>2026-09-22T18:06:04 · Tú
Bello</x:v>
      </x:c>
      <x:c r="E881" s="22" t="str">
        <x:v>Conversación / sin asiento</x:v>
      </x:c>
      <x:c r="F881" s="22" t="str"/>
    </x:row>
    <x:row r="882" ht="70" customHeight="1">
      <x:c r="A882" s="22" t="str">
        <x:v>Chat</x:v>
      </x:c>
      <x:c r="B882" s="22" t="str">
        <x:v>M-0435</x:v>
      </x:c>
      <x:c r="C882" s="29" t="n">
        <x:v>46287</x:v>
      </x:c>
      <x:c r="D882" s="32" t="str">
        <x:v>2026-09-22T18:16:21 · Gregory
&lt;imagen omitida&gt; Pasa esto como gasto unas chichas para las carajas</x:v>
      </x:c>
      <x:c r="E882" s="22" t="str">
        <x:v>Conversación / sin asiento</x:v>
      </x:c>
      <x:c r="F882" s="22" t="str"/>
    </x:row>
    <x:row r="883" ht="70" customHeight="1">
      <x:c r="A883" s="22" t="str">
        <x:v>Chat</x:v>
      </x:c>
      <x:c r="B883" s="22" t="str">
        <x:v>M-0436</x:v>
      </x:c>
      <x:c r="C883" s="29" t="n">
        <x:v>46287</x:v>
      </x:c>
      <x:c r="D883" s="32" t="str">
        <x:v>2026-09-22T18:16:42 · Gregory
0191 04243356457 26961972</x:v>
      </x:c>
      <x:c r="E883" s="22" t="str">
        <x:v>Conversación / sin asiento</x:v>
      </x:c>
      <x:c r="F883" s="22" t="str"/>
    </x:row>
    <x:row r="884" ht="70" customHeight="1">
      <x:c r="A884" s="22" t="str">
        <x:v>Chat</x:v>
      </x:c>
      <x:c r="B884" s="22" t="str">
        <x:v>M-0437</x:v>
      </x:c>
      <x:c r="C884" s="29" t="n">
        <x:v>46287</x:v>
      </x:c>
      <x:c r="D884" s="32" t="str">
        <x:v>2026-09-22T18:22:10 · Gregory
Hay que darle un nombre a ese tipo de gastos</x:v>
      </x:c>
      <x:c r="E884" s="22" t="str">
        <x:v>Conversación / sin asiento</x:v>
      </x:c>
      <x:c r="F884" s="22" t="str"/>
    </x:row>
    <x:row r="885" ht="70" customHeight="1">
      <x:c r="A885" s="22" t="str">
        <x:v>Chat</x:v>
      </x:c>
      <x:c r="B885" s="22" t="str">
        <x:v>M-0438</x:v>
      </x:c>
      <x:c r="C885" s="29" t="n">
        <x:v>46287</x:v>
      </x:c>
      <x:c r="D885" s="32" t="str">
        <x:v>2026-09-22T18:23:56 · Tú
Mariqueras</x:v>
      </x:c>
      <x:c r="E885" s="22" t="str">
        <x:v>Conversación / sin asiento</x:v>
      </x:c>
      <x:c r="F885" s="22" t="str"/>
    </x:row>
    <x:row r="886" ht="70" customHeight="1">
      <x:c r="A886" s="22" t="str">
        <x:v>Chat</x:v>
      </x:c>
      <x:c r="B886" s="22" t="str">
        <x:v>M-0439</x:v>
      </x:c>
      <x:c r="C886" s="29" t="n">
        <x:v>46287</x:v>
      </x:c>
      <x:c r="D886" s="32" t="str">
        <x:v>2026-09-22T18:44:02 · Gregory
&lt;Mensaje de album&gt;</x:v>
      </x:c>
      <x:c r="E886" s="22" t="str">
        <x:v>Conversación / sin asiento</x:v>
      </x:c>
      <x:c r="F886" s="22" t="str"/>
    </x:row>
    <x:row r="887" ht="70" customHeight="1">
      <x:c r="A887" s="22" t="str">
        <x:v>Chat</x:v>
      </x:c>
      <x:c r="B887" s="22" t="str">
        <x:v>M-0440</x:v>
      </x:c>
      <x:c r="C887" s="29" t="n">
        <x:v>46287</x:v>
      </x:c>
      <x:c r="D887" s="32" t="str">
        <x:v>2026-09-22T18:44:03 · Gregory
&lt;imagen omitida&gt;</x:v>
      </x:c>
      <x:c r="E887" s="22" t="str">
        <x:v>Conversación / sin asiento</x:v>
      </x:c>
      <x:c r="F887" s="22" t="str"/>
    </x:row>
    <x:row r="888" ht="70" customHeight="1">
      <x:c r="A888" s="22" t="str">
        <x:v>Chat</x:v>
      </x:c>
      <x:c r="B888" s="22" t="str">
        <x:v>M-0441</x:v>
      </x:c>
      <x:c r="C888" s="29" t="n">
        <x:v>46287</x:v>
      </x:c>
      <x:c r="D888" s="32" t="str">
        <x:v>2026-09-22T18:44:03 · Gregory
&lt;imagen omitida&gt;</x:v>
      </x:c>
      <x:c r="E888" s="22" t="str">
        <x:v>Conversación / sin asiento</x:v>
      </x:c>
      <x:c r="F888" s="22" t="str"/>
    </x:row>
    <x:row r="889" ht="70" customHeight="1">
      <x:c r="A889" s="22" t="str">
        <x:v>Chat</x:v>
      </x:c>
      <x:c r="B889" s="22" t="str">
        <x:v>M-0442</x:v>
      </x:c>
      <x:c r="C889" s="29" t="n">
        <x:v>46288</x:v>
      </x:c>
      <x:c r="D889" s="32" t="str">
        <x:v>2026-09-23T16:17:14 · Gregory
Venta
Cliente:José 
Metodo de Pago: pm
Producto:Dior sauvage 
Fecha:23/09/2026
Cuotas2
Inicial:0
16 usdt</x:v>
      </x:c>
      <x:c r="E889" s="22" t="str">
        <x:v>Venta nueva del chat</x:v>
      </x:c>
      <x:c r="F889" s="22" t="str">
        <x:v>V-070</x:v>
      </x:c>
    </x:row>
    <x:row r="890" ht="70" customHeight="1">
      <x:c r="A890" s="22" t="str">
        <x:v>Chat</x:v>
      </x:c>
      <x:c r="B890" s="22" t="str">
        <x:v>M-0443</x:v>
      </x:c>
      <x:c r="C890" s="29" t="n">
        <x:v>46288</x:v>
      </x:c>
      <x:c r="D890" s="32" t="str">
        <x:v>2026-09-23T16:18:12 · Gregory
Venta
Cliente:vargas 
Metodo de Pago:efectivo 
Producto:9am dive
Fecha:23/09/2026
Cuotas 1
Inicial:
10 efectivo</x:v>
      </x:c>
      <x:c r="E890" s="22" t="str">
        <x:v>Venta nueva del chat</x:v>
      </x:c>
      <x:c r="F890" s="22" t="str">
        <x:v>V-071</x:v>
      </x:c>
    </x:row>
    <x:row r="891" ht="70" customHeight="1">
      <x:c r="A891" s="22" t="str">
        <x:v>Chat</x:v>
      </x:c>
      <x:c r="B891" s="22" t="str">
        <x:v>M-0444</x:v>
      </x:c>
      <x:c r="C891" s="29" t="n">
        <x:v>46288</x:v>
      </x:c>
      <x:c r="D891" s="32" t="str">
        <x:v>2026-09-23T16:18:59 · Gregory
Venta
Cliente:julio 
Metodo de Pago:pm
Producto:212 vip 
Fecha:23/09/2026
Cuotas 2
Inicial:
26 bcv</x:v>
      </x:c>
      <x:c r="E891" s="22" t="str">
        <x:v>Venta nueva del chat</x:v>
      </x:c>
      <x:c r="F891" s="22" t="str">
        <x:v>V-072</x:v>
      </x:c>
    </x:row>
    <x:row r="892" ht="70" customHeight="1">
      <x:c r="A892" s="22" t="str">
        <x:v>Chat</x:v>
      </x:c>
      <x:c r="B892" s="22" t="str">
        <x:v>M-0445</x:v>
      </x:c>
      <x:c r="C892" s="29" t="n">
        <x:v>46288</x:v>
      </x:c>
      <x:c r="D892" s="32" t="str">
        <x:v>2026-09-23T16:19:55 · Gregory
Venta
Cliente:Moises 
Metodo de Pago:pm
Producto:invictus clásico 
Fecha:23/09/2026
Cuotas 
Inicial:
26bcv</x:v>
      </x:c>
      <x:c r="E892" s="22" t="str">
        <x:v>Venta nueva del chat</x:v>
      </x:c>
      <x:c r="F892" s="22" t="str">
        <x:v>V-073</x:v>
      </x:c>
    </x:row>
    <x:row r="893" ht="70" customHeight="1">
      <x:c r="A893" s="22" t="str">
        <x:v>Chat</x:v>
      </x:c>
      <x:c r="B893" s="22" t="str">
        <x:v>M-0446</x:v>
      </x:c>
      <x:c r="C893" s="29" t="n">
        <x:v>46288</x:v>
      </x:c>
      <x:c r="D893" s="32" t="str">
        <x:v>2026-09-23T16:20:32 · Gregory
Venta
Cliente:Deiner 
Metodo de Pago:pm
Producto:phatom 
Fecha:23/09/2026
Cuotas 2
Inicial:
26bcv</x:v>
      </x:c>
      <x:c r="E893" s="22" t="str">
        <x:v>Venta nueva del chat</x:v>
      </x:c>
      <x:c r="F893" s="22" t="str">
        <x:v>V-074</x:v>
      </x:c>
    </x:row>
    <x:row r="894" ht="70" customHeight="1">
      <x:c r="A894" s="22" t="str">
        <x:v>Chat</x:v>
      </x:c>
      <x:c r="B894" s="22" t="str">
        <x:v>M-0447</x:v>
      </x:c>
      <x:c r="C894" s="29" t="n">
        <x:v>46288</x:v>
      </x:c>
      <x:c r="D894" s="32" t="str">
        <x:v>2026-09-23T16:21:46 · Gregory
Venta
Cliente:Rafael 
Metodo de Pago:pm
Producto:bharara king solei 
Fecha:23/09/2026
Cuotas 3
Inicial:
33 bcv</x:v>
      </x:c>
      <x:c r="E894" s="22" t="str">
        <x:v>Venta nueva del chat</x:v>
      </x:c>
      <x:c r="F894" s="22" t="str">
        <x:v>V-075</x:v>
      </x:c>
    </x:row>
    <x:row r="895" ht="70" customHeight="1">
      <x:c r="A895" s="22" t="str">
        <x:v>Chat</x:v>
      </x:c>
      <x:c r="B895" s="22" t="str">
        <x:v>M-0448</x:v>
      </x:c>
      <x:c r="C895" s="29" t="n">
        <x:v>46289</x:v>
      </x:c>
      <x:c r="D895" s="32" t="str">
        <x:v>2026-09-24T09:15:40 · Gregory
Pásame esto mano porfa</x:v>
      </x:c>
      <x:c r="E895" s="22" t="str">
        <x:v>Conversación / sin asiento</x:v>
      </x:c>
      <x:c r="F895" s="22" t="str"/>
    </x:row>
    <x:row r="896" ht="70" customHeight="1">
      <x:c r="A896" s="22" t="str">
        <x:v>Chat</x:v>
      </x:c>
      <x:c r="B896" s="22" t="str">
        <x:v>M-0449</x:v>
      </x:c>
      <x:c r="C896" s="29" t="n">
        <x:v>46289</x:v>
      </x:c>
      <x:c r="D896" s="32" t="str">
        <x:v>2026-09-24T09:15:40 · Gregory
Que no tengo bs</x:v>
      </x:c>
      <x:c r="E896" s="22" t="str">
        <x:v>Conversación / sin asiento</x:v>
      </x:c>
      <x:c r="F896" s="22" t="str"/>
    </x:row>
    <x:row r="897" ht="70" customHeight="1">
      <x:c r="A897" s="22" t="str">
        <x:v>Chat</x:v>
      </x:c>
      <x:c r="B897" s="22" t="str">
        <x:v>M-0450</x:v>
      </x:c>
      <x:c r="C897" s="29" t="n">
        <x:v>46289</x:v>
      </x:c>
      <x:c r="D897" s="32" t="str">
        <x:v>2026-09-24T09:43:36 · Gregor Escalona
Voy</x:v>
      </x:c>
      <x:c r="E897" s="22" t="str">
        <x:v>Conversación / sin asiento</x:v>
      </x:c>
      <x:c r="F897" s="22" t="str"/>
    </x:row>
    <x:row r="898" ht="70" customHeight="1">
      <x:c r="A898" s="22" t="str">
        <x:v>Chat</x:v>
      </x:c>
      <x:c r="B898" s="22" t="str">
        <x:v>M-0451</x:v>
      </x:c>
      <x:c r="C898" s="29" t="n">
        <x:v>46289</x:v>
      </x:c>
      <x:c r="D898" s="32" t="str">
        <x:v>2026-09-24T09:44:14 · Gregor Escalona
&lt;imagen omitida&gt; Gasto chichas</x:v>
      </x:c>
      <x:c r="E898" s="22" t="str">
        <x:v>Conversación / sin asiento</x:v>
      </x:c>
      <x:c r="F898" s="22" t="str"/>
    </x:row>
    <x:row r="899" ht="70" customHeight="1">
      <x:c r="A899" s="22" t="str">
        <x:v>Cruce ETL</x:v>
      </x:c>
      <x:c r="B899" s="22" t="str">
        <x:v>M-0003</x:v>
      </x:c>
      <x:c r="C899" s="29" t="str"/>
      <x:c r="D899" s="32" t="str">
        <x:v>Venta cruzada con Excel</x:v>
      </x:c>
      <x:c r="E899" s="22" t="str">
        <x:v>Chat</x:v>
      </x:c>
      <x:c r="F899" s="22" t="str">
        <x:v>V-008</x:v>
      </x:c>
    </x:row>
    <x:row r="900" ht="70" customHeight="1">
      <x:c r="A900" s="22" t="str">
        <x:v>Cruce ETL</x:v>
      </x:c>
      <x:c r="B900" s="22" t="str">
        <x:v>M-0004</x:v>
      </x:c>
      <x:c r="C900" s="29" t="str"/>
      <x:c r="D900" s="32" t="str">
        <x:v>Venta cruzada con Excel</x:v>
      </x:c>
      <x:c r="E900" s="22" t="str">
        <x:v>Chat</x:v>
      </x:c>
      <x:c r="F900" s="22" t="str">
        <x:v>V-009</x:v>
      </x:c>
    </x:row>
    <x:row r="901" ht="70" customHeight="1">
      <x:c r="A901" s="22" t="str">
        <x:v>Cruce ETL</x:v>
      </x:c>
      <x:c r="B901" s="22" t="str">
        <x:v>M-0006</x:v>
      </x:c>
      <x:c r="C901" s="29" t="str"/>
      <x:c r="D901" s="32" t="str">
        <x:v>Venta cruzada con Excel</x:v>
      </x:c>
      <x:c r="E901" s="22" t="str">
        <x:v>Chat</x:v>
      </x:c>
      <x:c r="F901" s="22" t="str">
        <x:v>V-010</x:v>
      </x:c>
    </x:row>
    <x:row r="902" ht="70" customHeight="1">
      <x:c r="A902" s="22" t="str">
        <x:v>Cruce ETL</x:v>
      </x:c>
      <x:c r="B902" s="22" t="str">
        <x:v>M-0007</x:v>
      </x:c>
      <x:c r="C902" s="29" t="str"/>
      <x:c r="D902" s="32" t="str">
        <x:v>Venta cruzada con Excel</x:v>
      </x:c>
      <x:c r="E902" s="22" t="str">
        <x:v>Chat</x:v>
      </x:c>
      <x:c r="F902" s="22" t="str">
        <x:v>V-011</x:v>
      </x:c>
    </x:row>
    <x:row r="903" ht="70" customHeight="1">
      <x:c r="A903" s="22" t="str">
        <x:v>Cruce ETL</x:v>
      </x:c>
      <x:c r="B903" s="22" t="str">
        <x:v>M-0013</x:v>
      </x:c>
      <x:c r="C903" s="29" t="str"/>
      <x:c r="D903" s="32" t="str">
        <x:v>Venta cruzada con Excel</x:v>
      </x:c>
      <x:c r="E903" s="22" t="str">
        <x:v>Chat</x:v>
      </x:c>
      <x:c r="F903" s="22" t="str">
        <x:v>V-013</x:v>
      </x:c>
    </x:row>
    <x:row r="904" ht="70" customHeight="1">
      <x:c r="A904" s="22" t="str">
        <x:v>Cruce ETL</x:v>
      </x:c>
      <x:c r="B904" s="22" t="str">
        <x:v>M-0014</x:v>
      </x:c>
      <x:c r="C904" s="29" t="str"/>
      <x:c r="D904" s="32" t="str">
        <x:v>Venta cruzada con Excel</x:v>
      </x:c>
      <x:c r="E904" s="22" t="str">
        <x:v>Chat</x:v>
      </x:c>
      <x:c r="F904" s="22" t="str">
        <x:v>V-012</x:v>
      </x:c>
    </x:row>
    <x:row r="905" ht="70" customHeight="1">
      <x:c r="A905" s="22" t="str">
        <x:v>Cruce ETL</x:v>
      </x:c>
      <x:c r="B905" s="22" t="str">
        <x:v>M-0019</x:v>
      </x:c>
      <x:c r="C905" s="29" t="str"/>
      <x:c r="D905" s="32" t="str">
        <x:v>Venta cruzada con Excel</x:v>
      </x:c>
      <x:c r="E905" s="22" t="str">
        <x:v>Chat</x:v>
      </x:c>
      <x:c r="F905" s="22" t="str">
        <x:v>V-015</x:v>
      </x:c>
    </x:row>
    <x:row r="906" ht="70" customHeight="1">
      <x:c r="A906" s="22" t="str">
        <x:v>Cruce ETL</x:v>
      </x:c>
      <x:c r="B906" s="22" t="str">
        <x:v>M-0034</x:v>
      </x:c>
      <x:c r="C906" s="29" t="str"/>
      <x:c r="D906" s="32" t="str">
        <x:v>Venta cruzada con Excel</x:v>
      </x:c>
      <x:c r="E906" s="22" t="str">
        <x:v>Chat</x:v>
      </x:c>
      <x:c r="F906" s="22" t="str">
        <x:v>V-004</x:v>
      </x:c>
    </x:row>
    <x:row r="907" ht="70" customHeight="1">
      <x:c r="A907" s="22" t="str">
        <x:v>Cruce ETL</x:v>
      </x:c>
      <x:c r="B907" s="22" t="str">
        <x:v>M-0081</x:v>
      </x:c>
      <x:c r="C907" s="29" t="str"/>
      <x:c r="D907" s="32" t="str">
        <x:v>Venta cruzada con Excel</x:v>
      </x:c>
      <x:c r="E907" s="22" t="str">
        <x:v>Chat</x:v>
      </x:c>
      <x:c r="F907" s="22" t="str">
        <x:v>V-016</x:v>
      </x:c>
    </x:row>
    <x:row r="908" ht="70" customHeight="1">
      <x:c r="A908" s="22" t="str">
        <x:v>Cruce ETL</x:v>
      </x:c>
      <x:c r="B908" s="22" t="str">
        <x:v>M-0082</x:v>
      </x:c>
      <x:c r="C908" s="29" t="str"/>
      <x:c r="D908" s="32" t="str">
        <x:v>Venta cruzada con Excel</x:v>
      </x:c>
      <x:c r="E908" s="22" t="str">
        <x:v>Chat</x:v>
      </x:c>
      <x:c r="F908" s="22" t="str">
        <x:v>V-017</x:v>
      </x:c>
    </x:row>
    <x:row r="909" ht="70" customHeight="1">
      <x:c r="A909" s="22" t="str">
        <x:v>Cruce ETL</x:v>
      </x:c>
      <x:c r="B909" s="22" t="str">
        <x:v>M-0109</x:v>
      </x:c>
      <x:c r="C909" s="29" t="str"/>
      <x:c r="D909" s="32" t="str">
        <x:v>Venta nueva del chat</x:v>
      </x:c>
      <x:c r="E909" s="22" t="str">
        <x:v>Chat</x:v>
      </x:c>
      <x:c r="F909" s="22" t="str">
        <x:v>V-063</x:v>
      </x:c>
    </x:row>
    <x:row r="910" ht="70" customHeight="1">
      <x:c r="A910" s="22" t="str">
        <x:v>Cruce ETL</x:v>
      </x:c>
      <x:c r="B910" s="22" t="str">
        <x:v>M-0119</x:v>
      </x:c>
      <x:c r="C910" s="29" t="str"/>
      <x:c r="D910" s="32" t="str">
        <x:v>Venta cruzada con Excel</x:v>
      </x:c>
      <x:c r="E910" s="22" t="str">
        <x:v>Chat</x:v>
      </x:c>
      <x:c r="F910" s="22" t="str">
        <x:v>V-018</x:v>
      </x:c>
    </x:row>
    <x:row r="911" ht="70" customHeight="1">
      <x:c r="A911" s="22" t="str">
        <x:v>Cruce ETL</x:v>
      </x:c>
      <x:c r="B911" s="22" t="str">
        <x:v>M-0120</x:v>
      </x:c>
      <x:c r="C911" s="29" t="str"/>
      <x:c r="D911" s="32" t="str">
        <x:v>Venta cruzada con Excel</x:v>
      </x:c>
      <x:c r="E911" s="22" t="str">
        <x:v>Chat</x:v>
      </x:c>
      <x:c r="F911" s="22" t="str">
        <x:v>V-019</x:v>
      </x:c>
    </x:row>
    <x:row r="912" ht="70" customHeight="1">
      <x:c r="A912" s="22" t="str">
        <x:v>Cruce ETL</x:v>
      </x:c>
      <x:c r="B912" s="22" t="str">
        <x:v>M-0125</x:v>
      </x:c>
      <x:c r="C912" s="29" t="str"/>
      <x:c r="D912" s="32" t="str">
        <x:v>Venta cruzada con Excel</x:v>
      </x:c>
      <x:c r="E912" s="22" t="str">
        <x:v>Chat</x:v>
      </x:c>
      <x:c r="F912" s="22" t="str">
        <x:v>V-020</x:v>
      </x:c>
    </x:row>
    <x:row r="913" ht="70" customHeight="1">
      <x:c r="A913" s="22" t="str">
        <x:v>Cruce ETL</x:v>
      </x:c>
      <x:c r="B913" s="22" t="str">
        <x:v>M-0128</x:v>
      </x:c>
      <x:c r="C913" s="29" t="str"/>
      <x:c r="D913" s="32" t="str">
        <x:v>Venta cruzada con Excel</x:v>
      </x:c>
      <x:c r="E913" s="22" t="str">
        <x:v>Chat</x:v>
      </x:c>
      <x:c r="F913" s="22" t="str">
        <x:v>V-021</x:v>
      </x:c>
    </x:row>
    <x:row r="914" ht="70" customHeight="1">
      <x:c r="A914" s="22" t="str">
        <x:v>Cruce ETL</x:v>
      </x:c>
      <x:c r="B914" s="22" t="str">
        <x:v>M-0129</x:v>
      </x:c>
      <x:c r="C914" s="29" t="str"/>
      <x:c r="D914" s="32" t="str">
        <x:v>Venta cruzada con Excel</x:v>
      </x:c>
      <x:c r="E914" s="22" t="str">
        <x:v>Chat</x:v>
      </x:c>
      <x:c r="F914" s="22" t="str">
        <x:v>V-022</x:v>
      </x:c>
    </x:row>
    <x:row r="915" ht="70" customHeight="1">
      <x:c r="A915" s="22" t="str">
        <x:v>Cruce ETL</x:v>
      </x:c>
      <x:c r="B915" s="22" t="str">
        <x:v>M-0153</x:v>
      </x:c>
      <x:c r="C915" s="29" t="str"/>
      <x:c r="D915" s="32" t="str">
        <x:v>Venta cruzada con Excel</x:v>
      </x:c>
      <x:c r="E915" s="22" t="str">
        <x:v>Chat</x:v>
      </x:c>
      <x:c r="F915" s="22" t="str">
        <x:v>V-023</x:v>
      </x:c>
    </x:row>
    <x:row r="916" ht="70" customHeight="1">
      <x:c r="A916" s="22" t="str">
        <x:v>Cruce ETL</x:v>
      </x:c>
      <x:c r="B916" s="22" t="str">
        <x:v>M-0154</x:v>
      </x:c>
      <x:c r="C916" s="29" t="str"/>
      <x:c r="D916" s="32" t="str">
        <x:v>Venta cruzada con Excel</x:v>
      </x:c>
      <x:c r="E916" s="22" t="str">
        <x:v>Chat</x:v>
      </x:c>
      <x:c r="F916" s="22" t="str">
        <x:v>V-024</x:v>
      </x:c>
    </x:row>
    <x:row r="917" ht="70" customHeight="1">
      <x:c r="A917" s="22" t="str">
        <x:v>Cruce ETL</x:v>
      </x:c>
      <x:c r="B917" s="22" t="str">
        <x:v>M-0155</x:v>
      </x:c>
      <x:c r="C917" s="29" t="str"/>
      <x:c r="D917" s="32" t="str">
        <x:v>Venta cruzada con Excel</x:v>
      </x:c>
      <x:c r="E917" s="22" t="str">
        <x:v>Chat</x:v>
      </x:c>
      <x:c r="F917" s="22" t="str">
        <x:v>V-025</x:v>
      </x:c>
    </x:row>
    <x:row r="918" ht="70" customHeight="1">
      <x:c r="A918" s="22" t="str">
        <x:v>Cruce ETL</x:v>
      </x:c>
      <x:c r="B918" s="22" t="str">
        <x:v>M-0156</x:v>
      </x:c>
      <x:c r="C918" s="29" t="str"/>
      <x:c r="D918" s="32" t="str">
        <x:v>Venta cruzada con Excel</x:v>
      </x:c>
      <x:c r="E918" s="22" t="str">
        <x:v>Chat</x:v>
      </x:c>
      <x:c r="F918" s="22" t="str">
        <x:v>V-026</x:v>
      </x:c>
    </x:row>
    <x:row r="919" ht="70" customHeight="1">
      <x:c r="A919" s="22" t="str">
        <x:v>Cruce ETL</x:v>
      </x:c>
      <x:c r="B919" s="22" t="str">
        <x:v>M-0159</x:v>
      </x:c>
      <x:c r="C919" s="29" t="str"/>
      <x:c r="D919" s="32" t="str">
        <x:v>Venta cruzada con Excel</x:v>
      </x:c>
      <x:c r="E919" s="22" t="str">
        <x:v>Chat</x:v>
      </x:c>
      <x:c r="F919" s="22" t="str">
        <x:v>V-027</x:v>
      </x:c>
    </x:row>
    <x:row r="920" ht="70" customHeight="1">
      <x:c r="A920" s="22" t="str">
        <x:v>Cruce ETL</x:v>
      </x:c>
      <x:c r="B920" s="22" t="str">
        <x:v>M-0160</x:v>
      </x:c>
      <x:c r="C920" s="29" t="str"/>
      <x:c r="D920" s="32" t="str">
        <x:v>Venta cruzada con Excel</x:v>
      </x:c>
      <x:c r="E920" s="22" t="str">
        <x:v>Chat</x:v>
      </x:c>
      <x:c r="F920" s="22" t="str">
        <x:v>V-028</x:v>
      </x:c>
    </x:row>
    <x:row r="921" ht="70" customHeight="1">
      <x:c r="A921" s="22" t="str">
        <x:v>Cruce ETL</x:v>
      </x:c>
      <x:c r="B921" s="22" t="str">
        <x:v>M-0161</x:v>
      </x:c>
      <x:c r="C921" s="29" t="str"/>
      <x:c r="D921" s="32" t="str">
        <x:v>Venta cruzada con Excel</x:v>
      </x:c>
      <x:c r="E921" s="22" t="str">
        <x:v>Chat</x:v>
      </x:c>
      <x:c r="F921" s="22" t="str">
        <x:v>V-029</x:v>
      </x:c>
    </x:row>
    <x:row r="922" ht="70" customHeight="1">
      <x:c r="A922" s="22" t="str">
        <x:v>Cruce ETL</x:v>
      </x:c>
      <x:c r="B922" s="22" t="str">
        <x:v>M-0162</x:v>
      </x:c>
      <x:c r="C922" s="29" t="str"/>
      <x:c r="D922" s="32" t="str">
        <x:v>Venta cruzada con Excel</x:v>
      </x:c>
      <x:c r="E922" s="22" t="str">
        <x:v>Chat</x:v>
      </x:c>
      <x:c r="F922" s="22" t="str">
        <x:v>V-030</x:v>
      </x:c>
    </x:row>
    <x:row r="923" ht="70" customHeight="1">
      <x:c r="A923" s="22" t="str">
        <x:v>Cruce ETL</x:v>
      </x:c>
      <x:c r="B923" s="22" t="str">
        <x:v>M-0170</x:v>
      </x:c>
      <x:c r="C923" s="29" t="str"/>
      <x:c r="D923" s="32" t="str">
        <x:v>Venta cruzada con Excel</x:v>
      </x:c>
      <x:c r="E923" s="22" t="str">
        <x:v>Chat</x:v>
      </x:c>
      <x:c r="F923" s="22" t="str">
        <x:v>V-040</x:v>
      </x:c>
    </x:row>
    <x:row r="924" ht="70" customHeight="1">
      <x:c r="A924" s="22" t="str">
        <x:v>Cruce ETL</x:v>
      </x:c>
      <x:c r="B924" s="22" t="str">
        <x:v>M-0171</x:v>
      </x:c>
      <x:c r="C924" s="29" t="str"/>
      <x:c r="D924" s="32" t="str">
        <x:v>Venta cruzada con Excel</x:v>
      </x:c>
      <x:c r="E924" s="22" t="str">
        <x:v>Chat</x:v>
      </x:c>
      <x:c r="F924" s="22" t="str">
        <x:v>V-031</x:v>
      </x:c>
    </x:row>
    <x:row r="925" ht="70" customHeight="1">
      <x:c r="A925" s="22" t="str">
        <x:v>Cruce ETL</x:v>
      </x:c>
      <x:c r="B925" s="22" t="str">
        <x:v>M-0172</x:v>
      </x:c>
      <x:c r="C925" s="29" t="str"/>
      <x:c r="D925" s="32" t="str">
        <x:v>Venta cruzada con Excel</x:v>
      </x:c>
      <x:c r="E925" s="22" t="str">
        <x:v>Chat</x:v>
      </x:c>
      <x:c r="F925" s="22" t="str">
        <x:v>V-032</x:v>
      </x:c>
    </x:row>
    <x:row r="926" ht="70" customHeight="1">
      <x:c r="A926" s="22" t="str">
        <x:v>Cruce ETL</x:v>
      </x:c>
      <x:c r="B926" s="22" t="str">
        <x:v>M-0179</x:v>
      </x:c>
      <x:c r="C926" s="29" t="str"/>
      <x:c r="D926" s="32" t="str">
        <x:v>Venta nueva del chat</x:v>
      </x:c>
      <x:c r="E926" s="22" t="str">
        <x:v>Chat</x:v>
      </x:c>
      <x:c r="F926" s="22" t="str">
        <x:v>V-064</x:v>
      </x:c>
    </x:row>
    <x:row r="927" ht="70" customHeight="1">
      <x:c r="A927" s="22" t="str">
        <x:v>Cruce ETL</x:v>
      </x:c>
      <x:c r="B927" s="22" t="str">
        <x:v>M-0180</x:v>
      </x:c>
      <x:c r="C927" s="29" t="str"/>
      <x:c r="D927" s="32" t="str">
        <x:v>Venta cruzada con Excel</x:v>
      </x:c>
      <x:c r="E927" s="22" t="str">
        <x:v>Chat</x:v>
      </x:c>
      <x:c r="F927" s="22" t="str">
        <x:v>V-033</x:v>
      </x:c>
    </x:row>
    <x:row r="928" ht="70" customHeight="1">
      <x:c r="A928" s="22" t="str">
        <x:v>Cruce ETL</x:v>
      </x:c>
      <x:c r="B928" s="22" t="str">
        <x:v>M-0181</x:v>
      </x:c>
      <x:c r="C928" s="29" t="str"/>
      <x:c r="D928" s="32" t="str">
        <x:v>Venta cruzada con Excel</x:v>
      </x:c>
      <x:c r="E928" s="22" t="str">
        <x:v>Chat</x:v>
      </x:c>
      <x:c r="F928" s="22" t="str">
        <x:v>V-034</x:v>
      </x:c>
    </x:row>
    <x:row r="929" ht="70" customHeight="1">
      <x:c r="A929" s="22" t="str">
        <x:v>Cruce ETL</x:v>
      </x:c>
      <x:c r="B929" s="22" t="str">
        <x:v>M-0208</x:v>
      </x:c>
      <x:c r="C929" s="29" t="str"/>
      <x:c r="D929" s="32" t="str">
        <x:v>Venta cruzada con Excel</x:v>
      </x:c>
      <x:c r="E929" s="22" t="str">
        <x:v>Chat</x:v>
      </x:c>
      <x:c r="F929" s="22" t="str">
        <x:v>V-036</x:v>
      </x:c>
    </x:row>
    <x:row r="930" ht="70" customHeight="1">
      <x:c r="A930" s="22" t="str">
        <x:v>Cruce ETL</x:v>
      </x:c>
      <x:c r="B930" s="22" t="str">
        <x:v>M-0209</x:v>
      </x:c>
      <x:c r="C930" s="29" t="str"/>
      <x:c r="D930" s="32" t="str">
        <x:v>Venta cruzada con Excel</x:v>
      </x:c>
      <x:c r="E930" s="22" t="str">
        <x:v>Chat</x:v>
      </x:c>
      <x:c r="F930" s="22" t="str">
        <x:v>V-035</x:v>
      </x:c>
    </x:row>
    <x:row r="931" ht="70" customHeight="1">
      <x:c r="A931" s="22" t="str">
        <x:v>Cruce ETL</x:v>
      </x:c>
      <x:c r="B931" s="22" t="str">
        <x:v>M-0213</x:v>
      </x:c>
      <x:c r="C931" s="29" t="str"/>
      <x:c r="D931" s="32" t="str">
        <x:v>Venta nueva del chat</x:v>
      </x:c>
      <x:c r="E931" s="22" t="str">
        <x:v>Chat</x:v>
      </x:c>
      <x:c r="F931" s="22" t="str">
        <x:v>V-065</x:v>
      </x:c>
    </x:row>
    <x:row r="932" ht="70" customHeight="1">
      <x:c r="A932" s="22" t="str">
        <x:v>Cruce ETL</x:v>
      </x:c>
      <x:c r="B932" s="22" t="str">
        <x:v>M-0214</x:v>
      </x:c>
      <x:c r="C932" s="29" t="str"/>
      <x:c r="D932" s="32" t="str">
        <x:v>Venta nueva del chat</x:v>
      </x:c>
      <x:c r="E932" s="22" t="str">
        <x:v>Chat</x:v>
      </x:c>
      <x:c r="F932" s="22" t="str">
        <x:v>V-066</x:v>
      </x:c>
    </x:row>
    <x:row r="933" ht="70" customHeight="1">
      <x:c r="A933" s="22" t="str">
        <x:v>Cruce ETL</x:v>
      </x:c>
      <x:c r="B933" s="22" t="str">
        <x:v>M-0220</x:v>
      </x:c>
      <x:c r="C933" s="29" t="str"/>
      <x:c r="D933" s="32" t="str">
        <x:v>Venta cruzada con Excel</x:v>
      </x:c>
      <x:c r="E933" s="22" t="str">
        <x:v>Chat</x:v>
      </x:c>
      <x:c r="F933" s="22" t="str">
        <x:v>V-037</x:v>
      </x:c>
    </x:row>
    <x:row r="934" ht="70" customHeight="1">
      <x:c r="A934" s="22" t="str">
        <x:v>Cruce ETL</x:v>
      </x:c>
      <x:c r="B934" s="22" t="str">
        <x:v>M-0221</x:v>
      </x:c>
      <x:c r="C934" s="29" t="str"/>
      <x:c r="D934" s="32" t="str">
        <x:v>Venta cruzada con Excel</x:v>
      </x:c>
      <x:c r="E934" s="22" t="str">
        <x:v>Chat</x:v>
      </x:c>
      <x:c r="F934" s="22" t="str">
        <x:v>V-038</x:v>
      </x:c>
    </x:row>
    <x:row r="935" ht="70" customHeight="1">
      <x:c r="A935" s="22" t="str">
        <x:v>Cruce ETL</x:v>
      </x:c>
      <x:c r="B935" s="22" t="str">
        <x:v>M-0222</x:v>
      </x:c>
      <x:c r="C935" s="29" t="str"/>
      <x:c r="D935" s="32" t="str">
        <x:v>Venta cruzada con Excel</x:v>
      </x:c>
      <x:c r="E935" s="22" t="str">
        <x:v>Chat</x:v>
      </x:c>
      <x:c r="F935" s="22" t="str">
        <x:v>V-039</x:v>
      </x:c>
    </x:row>
    <x:row r="936" ht="70" customHeight="1">
      <x:c r="A936" s="22" t="str">
        <x:v>Cruce ETL</x:v>
      </x:c>
      <x:c r="B936" s="22" t="str">
        <x:v>M-0230</x:v>
      </x:c>
      <x:c r="C936" s="29" t="str"/>
      <x:c r="D936" s="32" t="str">
        <x:v>Venta nueva del chat</x:v>
      </x:c>
      <x:c r="E936" s="22" t="str">
        <x:v>Chat</x:v>
      </x:c>
      <x:c r="F936" s="22" t="str">
        <x:v>V-067</x:v>
      </x:c>
    </x:row>
    <x:row r="937" ht="70" customHeight="1">
      <x:c r="A937" s="22" t="str">
        <x:v>Cruce ETL</x:v>
      </x:c>
      <x:c r="B937" s="22" t="str">
        <x:v>Excel VENTAS!fila 45 + M-0235</x:v>
      </x:c>
      <x:c r="C937" s="29" t="str"/>
      <x:c r="D937" s="32" t="str">
        <x:v>Fecha Excel 2026-09-15 -&gt; ficha de venta 2026-08-17</x:v>
      </x:c>
      <x:c r="E937" s="22" t="str">
        <x:v>Fecha</x:v>
      </x:c>
      <x:c r="F937" s="22" t="str">
        <x:v>V-042</x:v>
      </x:c>
    </x:row>
    <x:row r="938" ht="70" customHeight="1">
      <x:c r="A938" s="22" t="str">
        <x:v>Cruce ETL</x:v>
      </x:c>
      <x:c r="B938" s="22" t="str">
        <x:v>M-0235</x:v>
      </x:c>
      <x:c r="C938" s="29" t="str"/>
      <x:c r="D938" s="32" t="str">
        <x:v>Venta cruzada con Excel</x:v>
      </x:c>
      <x:c r="E938" s="22" t="str">
        <x:v>Chat</x:v>
      </x:c>
      <x:c r="F938" s="22" t="str">
        <x:v>V-042</x:v>
      </x:c>
    </x:row>
    <x:row r="939" ht="70" customHeight="1">
      <x:c r="A939" s="22" t="str">
        <x:v>Cruce ETL</x:v>
      </x:c>
      <x:c r="B939" s="22" t="str">
        <x:v>M-0237</x:v>
      </x:c>
      <x:c r="C939" s="29" t="str"/>
      <x:c r="D939" s="32" t="str">
        <x:v>Venta cruzada con Excel</x:v>
      </x:c>
      <x:c r="E939" s="22" t="str">
        <x:v>Chat</x:v>
      </x:c>
      <x:c r="F939" s="22" t="str">
        <x:v>V-043</x:v>
      </x:c>
    </x:row>
    <x:row r="940" ht="70" customHeight="1">
      <x:c r="A940" s="22" t="str">
        <x:v>Cruce ETL</x:v>
      </x:c>
      <x:c r="B940" s="22" t="str">
        <x:v>M-0238</x:v>
      </x:c>
      <x:c r="C940" s="29" t="str"/>
      <x:c r="D940" s="32" t="str">
        <x:v>Venta cruzada con Excel</x:v>
      </x:c>
      <x:c r="E940" s="22" t="str">
        <x:v>Chat</x:v>
      </x:c>
      <x:c r="F940" s="22" t="str">
        <x:v>V-044</x:v>
      </x:c>
    </x:row>
    <x:row r="941" ht="70" customHeight="1">
      <x:c r="A941" s="22" t="str">
        <x:v>Cruce ETL</x:v>
      </x:c>
      <x:c r="B941" s="22" t="str">
        <x:v>M-0243</x:v>
      </x:c>
      <x:c r="C941" s="29" t="str"/>
      <x:c r="D941" s="32" t="str">
        <x:v>Venta cruzada con Excel</x:v>
      </x:c>
      <x:c r="E941" s="22" t="str">
        <x:v>Chat</x:v>
      </x:c>
      <x:c r="F941" s="22" t="str">
        <x:v>V-045</x:v>
      </x:c>
    </x:row>
    <x:row r="942" ht="70" customHeight="1">
      <x:c r="A942" s="22" t="str">
        <x:v>Cruce ETL</x:v>
      </x:c>
      <x:c r="B942" s="22" t="str">
        <x:v>M-0269</x:v>
      </x:c>
      <x:c r="C942" s="29" t="str"/>
      <x:c r="D942" s="32" t="str">
        <x:v>Venta cruzada con Excel</x:v>
      </x:c>
      <x:c r="E942" s="22" t="str">
        <x:v>Chat</x:v>
      </x:c>
      <x:c r="F942" s="22" t="str">
        <x:v>V-046</x:v>
      </x:c>
    </x:row>
    <x:row r="943" ht="70" customHeight="1">
      <x:c r="A943" s="22" t="str">
        <x:v>Cruce ETL</x:v>
      </x:c>
      <x:c r="B943" s="22" t="str">
        <x:v>M-0270</x:v>
      </x:c>
      <x:c r="C943" s="29" t="str"/>
      <x:c r="D943" s="32" t="str">
        <x:v>Venta cruzada con Excel</x:v>
      </x:c>
      <x:c r="E943" s="22" t="str">
        <x:v>Chat</x:v>
      </x:c>
      <x:c r="F943" s="22" t="str">
        <x:v>V-047</x:v>
      </x:c>
    </x:row>
    <x:row r="944" ht="70" customHeight="1">
      <x:c r="A944" s="22" t="str">
        <x:v>Cruce ETL</x:v>
      </x:c>
      <x:c r="B944" s="22" t="str">
        <x:v>M-0271</x:v>
      </x:c>
      <x:c r="C944" s="29" t="str"/>
      <x:c r="D944" s="32" t="str">
        <x:v>Venta cruzada con Excel</x:v>
      </x:c>
      <x:c r="E944" s="22" t="str">
        <x:v>Chat</x:v>
      </x:c>
      <x:c r="F944" s="22" t="str">
        <x:v>V-048</x:v>
      </x:c>
    </x:row>
    <x:row r="945" ht="70" customHeight="1">
      <x:c r="A945" s="22" t="str">
        <x:v>Cruce ETL</x:v>
      </x:c>
      <x:c r="B945" s="22" t="str">
        <x:v>M-0278</x:v>
      </x:c>
      <x:c r="C945" s="29" t="str"/>
      <x:c r="D945" s="32" t="str">
        <x:v>Venta cruzada con Excel</x:v>
      </x:c>
      <x:c r="E945" s="22" t="str">
        <x:v>Chat</x:v>
      </x:c>
      <x:c r="F945" s="22" t="str">
        <x:v>V-049</x:v>
      </x:c>
    </x:row>
    <x:row r="946" ht="70" customHeight="1">
      <x:c r="A946" s="22" t="str">
        <x:v>Cruce ETL</x:v>
      </x:c>
      <x:c r="B946" s="22" t="str">
        <x:v>M-0292</x:v>
      </x:c>
      <x:c r="C946" s="29" t="str"/>
      <x:c r="D946" s="32" t="str">
        <x:v>Venta cruzada con Excel</x:v>
      </x:c>
      <x:c r="E946" s="22" t="str">
        <x:v>Chat</x:v>
      </x:c>
      <x:c r="F946" s="22" t="str">
        <x:v>V-050</x:v>
      </x:c>
    </x:row>
    <x:row r="947" ht="70" customHeight="1">
      <x:c r="A947" s="22" t="str">
        <x:v>Cruce ETL</x:v>
      </x:c>
      <x:c r="B947" s="22" t="str">
        <x:v>M-0293</x:v>
      </x:c>
      <x:c r="C947" s="29" t="str"/>
      <x:c r="D947" s="32" t="str">
        <x:v>Venta cruzada con Excel</x:v>
      </x:c>
      <x:c r="E947" s="22" t="str">
        <x:v>Chat</x:v>
      </x:c>
      <x:c r="F947" s="22" t="str">
        <x:v>V-051</x:v>
      </x:c>
    </x:row>
    <x:row r="948" ht="70" customHeight="1">
      <x:c r="A948" s="22" t="str">
        <x:v>Cruce ETL</x:v>
      </x:c>
      <x:c r="B948" s="22" t="str">
        <x:v>M-0301</x:v>
      </x:c>
      <x:c r="C948" s="29" t="str"/>
      <x:c r="D948" s="32" t="str">
        <x:v>Venta cruzada con Excel</x:v>
      </x:c>
      <x:c r="E948" s="22" t="str">
        <x:v>Chat</x:v>
      </x:c>
      <x:c r="F948" s="22" t="str">
        <x:v>V-053</x:v>
      </x:c>
    </x:row>
    <x:row r="949" ht="70" customHeight="1">
      <x:c r="A949" s="22" t="str">
        <x:v>Cruce ETL</x:v>
      </x:c>
      <x:c r="B949" s="22" t="str">
        <x:v>Excel VENTAS!fila 55 + M-0302</x:v>
      </x:c>
      <x:c r="C949" s="29" t="str"/>
      <x:c r="D949" s="32" t="str">
        <x:v>Fecha Excel  -&gt; ficha de venta 2026-08-26</x:v>
      </x:c>
      <x:c r="E949" s="22" t="str">
        <x:v>Fecha</x:v>
      </x:c>
      <x:c r="F949" s="22" t="str">
        <x:v>V-052</x:v>
      </x:c>
    </x:row>
    <x:row r="950" ht="70" customHeight="1">
      <x:c r="A950" s="22" t="str">
        <x:v>Cruce ETL</x:v>
      </x:c>
      <x:c r="B950" s="22" t="str">
        <x:v>M-0302</x:v>
      </x:c>
      <x:c r="C950" s="29" t="str"/>
      <x:c r="D950" s="32" t="str">
        <x:v>Venta cruzada con Excel</x:v>
      </x:c>
      <x:c r="E950" s="22" t="str">
        <x:v>Chat</x:v>
      </x:c>
      <x:c r="F950" s="22" t="str">
        <x:v>V-052</x:v>
      </x:c>
    </x:row>
    <x:row r="951" ht="70" customHeight="1">
      <x:c r="A951" s="22" t="str">
        <x:v>Cruce ETL</x:v>
      </x:c>
      <x:c r="B951" s="22" t="str">
        <x:v>M-0303</x:v>
      </x:c>
      <x:c r="C951" s="29" t="str"/>
      <x:c r="D951" s="32" t="str">
        <x:v>Venta cruzada con Excel</x:v>
      </x:c>
      <x:c r="E951" s="22" t="str">
        <x:v>Chat</x:v>
      </x:c>
      <x:c r="F951" s="22" t="str">
        <x:v>V-054</x:v>
      </x:c>
    </x:row>
    <x:row r="952" ht="70" customHeight="1">
      <x:c r="A952" s="22" t="str">
        <x:v>Cruce ETL</x:v>
      </x:c>
      <x:c r="B952" s="22" t="str">
        <x:v>M-0310</x:v>
      </x:c>
      <x:c r="C952" s="29" t="str"/>
      <x:c r="D952" s="32" t="str">
        <x:v>Venta nueva del chat</x:v>
      </x:c>
      <x:c r="E952" s="22" t="str">
        <x:v>Chat</x:v>
      </x:c>
      <x:c r="F952" s="22" t="str">
        <x:v>V-068</x:v>
      </x:c>
    </x:row>
    <x:row r="953" ht="70" customHeight="1">
      <x:c r="A953" s="22" t="str">
        <x:v>Cruce ETL</x:v>
      </x:c>
      <x:c r="B953" s="22" t="str">
        <x:v>M-0321</x:v>
      </x:c>
      <x:c r="C953" s="29" t="str"/>
      <x:c r="D953" s="32" t="str">
        <x:v>Venta cruzada con Excel</x:v>
      </x:c>
      <x:c r="E953" s="22" t="str">
        <x:v>Chat</x:v>
      </x:c>
      <x:c r="F953" s="22" t="str">
        <x:v>V-055</x:v>
      </x:c>
    </x:row>
    <x:row r="954" ht="70" customHeight="1">
      <x:c r="A954" s="22" t="str">
        <x:v>Cruce ETL</x:v>
      </x:c>
      <x:c r="B954" s="22" t="str">
        <x:v>Excel VENTAS!fila 59 + M-0322</x:v>
      </x:c>
      <x:c r="C954" s="29" t="str"/>
      <x:c r="D954" s="32" t="str">
        <x:v>Fecha Excel 2026-09-11 -&gt; ficha de venta 2026-09-10</x:v>
      </x:c>
      <x:c r="E954" s="22" t="str">
        <x:v>Fecha</x:v>
      </x:c>
      <x:c r="F954" s="22" t="str">
        <x:v>V-056</x:v>
      </x:c>
    </x:row>
    <x:row r="955" ht="70" customHeight="1">
      <x:c r="A955" s="22" t="str">
        <x:v>Cruce ETL</x:v>
      </x:c>
      <x:c r="B955" s="22" t="str">
        <x:v>M-0322</x:v>
      </x:c>
      <x:c r="C955" s="29" t="str"/>
      <x:c r="D955" s="32" t="str">
        <x:v>Venta cruzada con Excel</x:v>
      </x:c>
      <x:c r="E955" s="22" t="str">
        <x:v>Chat</x:v>
      </x:c>
      <x:c r="F955" s="22" t="str">
        <x:v>V-056</x:v>
      </x:c>
    </x:row>
    <x:row r="956" ht="70" customHeight="1">
      <x:c r="A956" s="22" t="str">
        <x:v>Cruce ETL</x:v>
      </x:c>
      <x:c r="B956" s="22" t="str">
        <x:v>M-0323</x:v>
      </x:c>
      <x:c r="C956" s="29" t="str"/>
      <x:c r="D956" s="32" t="str">
        <x:v>Venta cruzada con Excel</x:v>
      </x:c>
      <x:c r="E956" s="22" t="str">
        <x:v>Chat</x:v>
      </x:c>
      <x:c r="F956" s="22" t="str">
        <x:v>V-057</x:v>
      </x:c>
    </x:row>
    <x:row r="957" ht="70" customHeight="1">
      <x:c r="A957" s="22" t="str">
        <x:v>Cruce ETL</x:v>
      </x:c>
      <x:c r="B957" s="22" t="str">
        <x:v>M-0324</x:v>
      </x:c>
      <x:c r="C957" s="29" t="str"/>
      <x:c r="D957" s="32" t="str">
        <x:v>Venta cruzada con Excel</x:v>
      </x:c>
      <x:c r="E957" s="22" t="str">
        <x:v>Chat</x:v>
      </x:c>
      <x:c r="F957" s="22" t="str">
        <x:v>V-058</x:v>
      </x:c>
    </x:row>
    <x:row r="958" ht="70" customHeight="1">
      <x:c r="A958" s="22" t="str">
        <x:v>Cruce ETL</x:v>
      </x:c>
      <x:c r="B958" s="22" t="str">
        <x:v>M-0325</x:v>
      </x:c>
      <x:c r="C958" s="29" t="str"/>
      <x:c r="D958" s="32" t="str">
        <x:v>Venta cruzada con Excel</x:v>
      </x:c>
      <x:c r="E958" s="22" t="str">
        <x:v>Chat</x:v>
      </x:c>
      <x:c r="F958" s="22" t="str">
        <x:v>V-059</x:v>
      </x:c>
    </x:row>
    <x:row r="959" ht="70" customHeight="1">
      <x:c r="A959" s="22" t="str">
        <x:v>Cruce ETL</x:v>
      </x:c>
      <x:c r="B959" s="22" t="str">
        <x:v>M-0339</x:v>
      </x:c>
      <x:c r="C959" s="29" t="str"/>
      <x:c r="D959" s="32" t="str">
        <x:v>Venta cruzada con Excel</x:v>
      </x:c>
      <x:c r="E959" s="22" t="str">
        <x:v>Chat</x:v>
      </x:c>
      <x:c r="F959" s="22" t="str">
        <x:v>V-060</x:v>
      </x:c>
    </x:row>
    <x:row r="960" ht="70" customHeight="1">
      <x:c r="A960" s="22" t="str">
        <x:v>Cruce ETL</x:v>
      </x:c>
      <x:c r="B960" s="22" t="str">
        <x:v>M-0340</x:v>
      </x:c>
      <x:c r="C960" s="29" t="str"/>
      <x:c r="D960" s="32" t="str">
        <x:v>Venta cruzada con Excel</x:v>
      </x:c>
      <x:c r="E960" s="22" t="str">
        <x:v>Chat</x:v>
      </x:c>
      <x:c r="F960" s="22" t="str">
        <x:v>V-061</x:v>
      </x:c>
    </x:row>
    <x:row r="961" ht="70" customHeight="1">
      <x:c r="A961" s="22" t="str">
        <x:v>Cruce ETL</x:v>
      </x:c>
      <x:c r="B961" s="22" t="str">
        <x:v>M-0341</x:v>
      </x:c>
      <x:c r="C961" s="29" t="str"/>
      <x:c r="D961" s="32" t="str">
        <x:v>Venta cruzada con Excel</x:v>
      </x:c>
      <x:c r="E961" s="22" t="str">
        <x:v>Chat</x:v>
      </x:c>
      <x:c r="F961" s="22" t="str">
        <x:v>V-062</x:v>
      </x:c>
    </x:row>
    <x:row r="962" ht="70" customHeight="1">
      <x:c r="A962" s="22" t="str">
        <x:v>Cruce ETL</x:v>
      </x:c>
      <x:c r="B962" s="22" t="str">
        <x:v>M-0418</x:v>
      </x:c>
      <x:c r="C962" s="29" t="str"/>
      <x:c r="D962" s="32" t="str">
        <x:v>Venta nueva del chat</x:v>
      </x:c>
      <x:c r="E962" s="22" t="str">
        <x:v>Chat</x:v>
      </x:c>
      <x:c r="F962" s="22" t="str">
        <x:v>V-069</x:v>
      </x:c>
    </x:row>
    <x:row r="963" ht="70" customHeight="1">
      <x:c r="A963" s="22" t="str">
        <x:v>Cruce ETL</x:v>
      </x:c>
      <x:c r="B963" s="22" t="str">
        <x:v>M-0442</x:v>
      </x:c>
      <x:c r="C963" s="29" t="str"/>
      <x:c r="D963" s="32" t="str">
        <x:v>Venta nueva del chat</x:v>
      </x:c>
      <x:c r="E963" s="22" t="str">
        <x:v>Chat</x:v>
      </x:c>
      <x:c r="F963" s="22" t="str">
        <x:v>V-070</x:v>
      </x:c>
    </x:row>
    <x:row r="964" ht="70" customHeight="1">
      <x:c r="A964" s="22" t="str">
        <x:v>Cruce ETL</x:v>
      </x:c>
      <x:c r="B964" s="22" t="str">
        <x:v>M-0443</x:v>
      </x:c>
      <x:c r="C964" s="29" t="str"/>
      <x:c r="D964" s="32" t="str">
        <x:v>Venta nueva del chat</x:v>
      </x:c>
      <x:c r="E964" s="22" t="str">
        <x:v>Chat</x:v>
      </x:c>
      <x:c r="F964" s="22" t="str">
        <x:v>V-071</x:v>
      </x:c>
    </x:row>
    <x:row r="965" ht="70" customHeight="1">
      <x:c r="A965" s="22" t="str">
        <x:v>Cruce ETL</x:v>
      </x:c>
      <x:c r="B965" s="22" t="str">
        <x:v>M-0444</x:v>
      </x:c>
      <x:c r="C965" s="29" t="str"/>
      <x:c r="D965" s="32" t="str">
        <x:v>Venta nueva del chat</x:v>
      </x:c>
      <x:c r="E965" s="22" t="str">
        <x:v>Chat</x:v>
      </x:c>
      <x:c r="F965" s="22" t="str">
        <x:v>V-072</x:v>
      </x:c>
    </x:row>
    <x:row r="966" ht="70" customHeight="1">
      <x:c r="A966" s="22" t="str">
        <x:v>Cruce ETL</x:v>
      </x:c>
      <x:c r="B966" s="22" t="str">
        <x:v>M-0445</x:v>
      </x:c>
      <x:c r="C966" s="29" t="str"/>
      <x:c r="D966" s="32" t="str">
        <x:v>Venta nueva del chat</x:v>
      </x:c>
      <x:c r="E966" s="22" t="str">
        <x:v>Chat</x:v>
      </x:c>
      <x:c r="F966" s="22" t="str">
        <x:v>V-073</x:v>
      </x:c>
    </x:row>
    <x:row r="967" ht="70" customHeight="1">
      <x:c r="A967" s="22" t="str">
        <x:v>Cruce ETL</x:v>
      </x:c>
      <x:c r="B967" s="22" t="str">
        <x:v>M-0446</x:v>
      </x:c>
      <x:c r="C967" s="29" t="str"/>
      <x:c r="D967" s="32" t="str">
        <x:v>Venta nueva del chat</x:v>
      </x:c>
      <x:c r="E967" s="22" t="str">
        <x:v>Chat</x:v>
      </x:c>
      <x:c r="F967" s="22" t="str">
        <x:v>V-074</x:v>
      </x:c>
    </x:row>
    <x:row r="968" ht="70" customHeight="1">
      <x:c r="A968" s="22" t="str">
        <x:v>Cruce ETL</x:v>
      </x:c>
      <x:c r="B968" s="22" t="str">
        <x:v>M-0447</x:v>
      </x:c>
      <x:c r="C968" s="29" t="str"/>
      <x:c r="D968" s="32" t="str">
        <x:v>Venta nueva del chat</x:v>
      </x:c>
      <x:c r="E968" s="22" t="str">
        <x:v>Chat</x:v>
      </x:c>
      <x:c r="F968" s="22" t="str">
        <x:v>V-075</x:v>
      </x:c>
    </x:row>
    <x:row r="969" ht="70" customHeight="1">
      <x:c r="A969" s="22" t="str">
        <x:v>Cruce ETL</x:v>
      </x:c>
      <x:c r="B969" s="22" t="str">
        <x:v>M-0017</x:v>
      </x:c>
      <x:c r="C969" s="29" t="str"/>
      <x:c r="D969" s="32" t="str">
        <x:v>Pago cruzado / deduplicado</x:v>
      </x:c>
      <x:c r="E969" s="22" t="str">
        <x:v>Chat</x:v>
      </x:c>
      <x:c r="F969" s="22" t="str">
        <x:v>P-010</x:v>
      </x:c>
    </x:row>
    <x:row r="970" ht="70" customHeight="1">
      <x:c r="A970" s="22" t="str">
        <x:v>Cruce ETL</x:v>
      </x:c>
      <x:c r="B970" s="22" t="str">
        <x:v>M-0022</x:v>
      </x:c>
      <x:c r="C970" s="29" t="str"/>
      <x:c r="D970" s="32" t="str">
        <x:v>Pago cruzado / deduplicado</x:v>
      </x:c>
      <x:c r="E970" s="22" t="str">
        <x:v>Chat</x:v>
      </x:c>
      <x:c r="F970" s="22" t="str">
        <x:v>P-012</x:v>
      </x:c>
    </x:row>
    <x:row r="971" ht="70" customHeight="1">
      <x:c r="A971" s="22" t="str">
        <x:v>Cruce ETL</x:v>
      </x:c>
      <x:c r="B971" s="22" t="str">
        <x:v>M-0027</x:v>
      </x:c>
      <x:c r="C971" s="29" t="str"/>
      <x:c r="D971" s="32" t="str">
        <x:v>Pago cruzado / deduplicado</x:v>
      </x:c>
      <x:c r="E971" s="22" t="str">
        <x:v>Chat</x:v>
      </x:c>
      <x:c r="F971" s="22" t="str">
        <x:v>P-015</x:v>
      </x:c>
    </x:row>
    <x:row r="972" ht="70" customHeight="1">
      <x:c r="A972" s="22" t="str">
        <x:v>Cruce ETL</x:v>
      </x:c>
      <x:c r="B972" s="22" t="str">
        <x:v>M-0032</x:v>
      </x:c>
      <x:c r="C972" s="29" t="str"/>
      <x:c r="D972" s="32" t="str">
        <x:v>Pago cruzado / deduplicado</x:v>
      </x:c>
      <x:c r="E972" s="22" t="str">
        <x:v>Chat</x:v>
      </x:c>
      <x:c r="F972" s="22" t="str">
        <x:v>P-017</x:v>
      </x:c>
    </x:row>
    <x:row r="973" ht="70" customHeight="1">
      <x:c r="A973" s="22" t="str">
        <x:v>Cruce ETL</x:v>
      </x:c>
      <x:c r="B973" s="22" t="str">
        <x:v>M-0033</x:v>
      </x:c>
      <x:c r="C973" s="29" t="str"/>
      <x:c r="D973" s="32" t="str">
        <x:v>Pago cruzado / deduplicado</x:v>
      </x:c>
      <x:c r="E973" s="22" t="str">
        <x:v>Chat</x:v>
      </x:c>
      <x:c r="F973" s="22" t="str">
        <x:v>P-002</x:v>
      </x:c>
    </x:row>
    <x:row r="974" ht="70" customHeight="1">
      <x:c r="A974" s="22" t="str">
        <x:v>Cruce ETL</x:v>
      </x:c>
      <x:c r="B974" s="22" t="str">
        <x:v>M-0035</x:v>
      </x:c>
      <x:c r="C974" s="29" t="str"/>
      <x:c r="D974" s="32" t="str">
        <x:v>Pago cruzado / deduplicado</x:v>
      </x:c>
      <x:c r="E974" s="22" t="str">
        <x:v>Chat</x:v>
      </x:c>
      <x:c r="F974" s="22" t="str">
        <x:v>P-007</x:v>
      </x:c>
    </x:row>
    <x:row r="975" ht="70" customHeight="1">
      <x:c r="A975" s="22" t="str">
        <x:v>Cruce ETL</x:v>
      </x:c>
      <x:c r="B975" s="22" t="str">
        <x:v>M-0047</x:v>
      </x:c>
      <x:c r="C975" s="29" t="str"/>
      <x:c r="D975" s="32" t="str">
        <x:v>Pago cruzado / deduplicado</x:v>
      </x:c>
      <x:c r="E975" s="22" t="str">
        <x:v>Chat</x:v>
      </x:c>
      <x:c r="F975" s="22" t="str">
        <x:v>P-025</x:v>
      </x:c>
    </x:row>
    <x:row r="976" ht="70" customHeight="1">
      <x:c r="A976" s="22" t="str">
        <x:v>Cruce ETL</x:v>
      </x:c>
      <x:c r="B976" s="22" t="str">
        <x:v>M-0053</x:v>
      </x:c>
      <x:c r="C976" s="29" t="str"/>
      <x:c r="D976" s="32" t="str">
        <x:v>Pago cruzado / deduplicado</x:v>
      </x:c>
      <x:c r="E976" s="22" t="str">
        <x:v>Chat</x:v>
      </x:c>
      <x:c r="F976" s="22" t="str">
        <x:v>P-019</x:v>
      </x:c>
    </x:row>
    <x:row r="977" ht="70" customHeight="1">
      <x:c r="A977" s="22" t="str">
        <x:v>Cruce ETL</x:v>
      </x:c>
      <x:c r="B977" s="22" t="str">
        <x:v>M-0054</x:v>
      </x:c>
      <x:c r="C977" s="29" t="str"/>
      <x:c r="D977" s="32" t="str">
        <x:v>Pago cruzado / deduplicado</x:v>
      </x:c>
      <x:c r="E977" s="22" t="str">
        <x:v>Chat</x:v>
      </x:c>
      <x:c r="F977" s="22" t="str">
        <x:v>P-004</x:v>
      </x:c>
    </x:row>
    <x:row r="978" ht="70" customHeight="1">
      <x:c r="A978" s="22" t="str">
        <x:v>Cruce ETL</x:v>
      </x:c>
      <x:c r="B978" s="22" t="str">
        <x:v>M-0064</x:v>
      </x:c>
      <x:c r="C978" s="29" t="str"/>
      <x:c r="D978" s="32" t="str">
        <x:v>Pago cruzado / deduplicado</x:v>
      </x:c>
      <x:c r="E978" s="22" t="str">
        <x:v>Chat</x:v>
      </x:c>
      <x:c r="F978" s="22" t="str">
        <x:v>P-021</x:v>
      </x:c>
    </x:row>
    <x:row r="979" ht="70" customHeight="1">
      <x:c r="A979" s="22" t="str">
        <x:v>Cruce ETL</x:v>
      </x:c>
      <x:c r="B979" s="22" t="str">
        <x:v>M-0065</x:v>
      </x:c>
      <x:c r="C979" s="29" t="str"/>
      <x:c r="D979" s="32" t="str">
        <x:v>Pago cruzado / deduplicado</x:v>
      </x:c>
      <x:c r="E979" s="22" t="str">
        <x:v>Chat</x:v>
      </x:c>
      <x:c r="F979" s="22" t="str">
        <x:v>P-011</x:v>
      </x:c>
    </x:row>
    <x:row r="980" ht="70" customHeight="1">
      <x:c r="A980" s="22" t="str">
        <x:v>Cruce ETL</x:v>
      </x:c>
      <x:c r="B980" s="22" t="str">
        <x:v>M-0070</x:v>
      </x:c>
      <x:c r="C980" s="29" t="str"/>
      <x:c r="D980" s="32" t="str">
        <x:v>Pago cruzado / deduplicado</x:v>
      </x:c>
      <x:c r="E980" s="22" t="str">
        <x:v>Chat</x:v>
      </x:c>
      <x:c r="F980" s="22" t="str">
        <x:v>P-022</x:v>
      </x:c>
    </x:row>
    <x:row r="981" ht="70" customHeight="1">
      <x:c r="A981" s="22" t="str">
        <x:v>Cruce ETL</x:v>
      </x:c>
      <x:c r="B981" s="22" t="str">
        <x:v>M-0071</x:v>
      </x:c>
      <x:c r="C981" s="29" t="str"/>
      <x:c r="D981" s="32" t="str">
        <x:v>Pago cruzado / deduplicado</x:v>
      </x:c>
      <x:c r="E981" s="22" t="str">
        <x:v>Chat</x:v>
      </x:c>
      <x:c r="F981" s="22" t="str">
        <x:v>P-013</x:v>
      </x:c>
    </x:row>
    <x:row r="982" ht="70" customHeight="1">
      <x:c r="A982" s="22" t="str">
        <x:v>Cruce ETL</x:v>
      </x:c>
      <x:c r="B982" s="22" t="str">
        <x:v>M-0078</x:v>
      </x:c>
      <x:c r="C982" s="29" t="str"/>
      <x:c r="D982" s="32" t="str">
        <x:v>Pago cruzado / deduplicado</x:v>
      </x:c>
      <x:c r="E982" s="22" t="str">
        <x:v>Chat</x:v>
      </x:c>
      <x:c r="F982" s="22" t="str">
        <x:v>P-008</x:v>
      </x:c>
    </x:row>
    <x:row r="983" ht="70" customHeight="1">
      <x:c r="A983" s="22" t="str">
        <x:v>Cruce ETL</x:v>
      </x:c>
      <x:c r="B983" s="22" t="str">
        <x:v>M-0079</x:v>
      </x:c>
      <x:c r="C983" s="29" t="str"/>
      <x:c r="D983" s="32" t="str">
        <x:v>Pago cruzado / deduplicado</x:v>
      </x:c>
      <x:c r="E983" s="22" t="str">
        <x:v>Chat</x:v>
      </x:c>
      <x:c r="F983" s="22" t="str">
        <x:v>P-023</x:v>
      </x:c>
    </x:row>
    <x:row r="984" ht="70" customHeight="1">
      <x:c r="A984" s="22" t="str">
        <x:v>Cruce ETL</x:v>
      </x:c>
      <x:c r="B984" s="22" t="str">
        <x:v>M-0080</x:v>
      </x:c>
      <x:c r="C984" s="29" t="str"/>
      <x:c r="D984" s="32" t="str">
        <x:v>Pago cruzado / deduplicado</x:v>
      </x:c>
      <x:c r="E984" s="22" t="str">
        <x:v>Chat</x:v>
      </x:c>
      <x:c r="F984" s="22" t="str">
        <x:v>P-026</x:v>
      </x:c>
    </x:row>
    <x:row r="985" ht="70" customHeight="1">
      <x:c r="A985" s="22" t="str">
        <x:v>Cruce ETL</x:v>
      </x:c>
      <x:c r="B985" s="22" t="str">
        <x:v>M-0106</x:v>
      </x:c>
      <x:c r="C985" s="29" t="str"/>
      <x:c r="D985" s="32" t="str">
        <x:v>Pago cruzado / deduplicado</x:v>
      </x:c>
      <x:c r="E985" s="22" t="str">
        <x:v>Chat</x:v>
      </x:c>
      <x:c r="F985" s="22" t="str">
        <x:v>P-027</x:v>
      </x:c>
    </x:row>
    <x:row r="986" ht="70" customHeight="1">
      <x:c r="A986" s="22" t="str">
        <x:v>Cruce ETL</x:v>
      </x:c>
      <x:c r="B986" s="22" t="str">
        <x:v>M-0107</x:v>
      </x:c>
      <x:c r="C986" s="29" t="str"/>
      <x:c r="D986" s="32" t="str">
        <x:v>Pago cruzado / deduplicado</x:v>
      </x:c>
      <x:c r="E986" s="22" t="str">
        <x:v>Chat</x:v>
      </x:c>
      <x:c r="F986" s="22" t="str">
        <x:v>P-016</x:v>
      </x:c>
    </x:row>
    <x:row r="987" ht="70" customHeight="1">
      <x:c r="A987" s="22" t="str">
        <x:v>Cruce ETL</x:v>
      </x:c>
      <x:c r="B987" s="22" t="str">
        <x:v>M-0108</x:v>
      </x:c>
      <x:c r="C987" s="29" t="str"/>
      <x:c r="D987" s="32" t="str">
        <x:v>Pago cruzado / deduplicado</x:v>
      </x:c>
      <x:c r="E987" s="22" t="str">
        <x:v>Chat</x:v>
      </x:c>
      <x:c r="F987" s="22" t="str">
        <x:v>P-018</x:v>
      </x:c>
    </x:row>
    <x:row r="988" ht="70" customHeight="1">
      <x:c r="A988" s="22" t="str">
        <x:v>Cruce ETL</x:v>
      </x:c>
      <x:c r="B988" s="22" t="str">
        <x:v>M-0121</x:v>
      </x:c>
      <x:c r="C988" s="29" t="str"/>
      <x:c r="D988" s="32" t="str">
        <x:v>Pago cruzado / deduplicado</x:v>
      </x:c>
      <x:c r="E988" s="22" t="str">
        <x:v>Chat</x:v>
      </x:c>
      <x:c r="F988" s="22" t="str">
        <x:v>P-014</x:v>
      </x:c>
    </x:row>
    <x:row r="989" ht="70" customHeight="1">
      <x:c r="A989" s="22" t="str">
        <x:v>Cruce ETL</x:v>
      </x:c>
      <x:c r="B989" s="22" t="str">
        <x:v>M-0122</x:v>
      </x:c>
      <x:c r="C989" s="29" t="str"/>
      <x:c r="D989" s="32" t="str">
        <x:v>Pago cruzado / deduplicado</x:v>
      </x:c>
      <x:c r="E989" s="22" t="str">
        <x:v>Chat</x:v>
      </x:c>
      <x:c r="F989" s="22" t="str">
        <x:v>P-029</x:v>
      </x:c>
    </x:row>
    <x:row r="990" ht="70" customHeight="1">
      <x:c r="A990" s="22" t="str">
        <x:v>Cruce ETL</x:v>
      </x:c>
      <x:c r="B990" s="22" t="str">
        <x:v>M-0130</x:v>
      </x:c>
      <x:c r="C990" s="29" t="str"/>
      <x:c r="D990" s="32" t="str">
        <x:v>Pago cruzado / deduplicado</x:v>
      </x:c>
      <x:c r="E990" s="22" t="str">
        <x:v>Chat</x:v>
      </x:c>
      <x:c r="F990" s="22" t="str">
        <x:v>P-006</x:v>
      </x:c>
    </x:row>
    <x:row r="991" ht="70" customHeight="1">
      <x:c r="A991" s="22" t="str">
        <x:v>Cruce ETL</x:v>
      </x:c>
      <x:c r="B991" s="22" t="str">
        <x:v>M-0135</x:v>
      </x:c>
      <x:c r="C991" s="29" t="str"/>
      <x:c r="D991" s="32" t="str">
        <x:v>Pago cruzado / deduplicado</x:v>
      </x:c>
      <x:c r="E991" s="22" t="str">
        <x:v>Chat</x:v>
      </x:c>
      <x:c r="F991" s="22" t="str">
        <x:v>P-024</x:v>
      </x:c>
    </x:row>
    <x:row r="992" ht="70" customHeight="1">
      <x:c r="A992" s="22" t="str">
        <x:v>Cruce ETL</x:v>
      </x:c>
      <x:c r="B992" s="22" t="str">
        <x:v>M-0136</x:v>
      </x:c>
      <x:c r="C992" s="29" t="str"/>
      <x:c r="D992" s="32" t="str">
        <x:v>Pago cruzado / deduplicado</x:v>
      </x:c>
      <x:c r="E992" s="22" t="str">
        <x:v>Chat</x:v>
      </x:c>
      <x:c r="F992" s="22" t="str">
        <x:v>P-020</x:v>
      </x:c>
    </x:row>
    <x:row r="993" ht="70" customHeight="1">
      <x:c r="A993" s="22" t="str">
        <x:v>Cruce ETL</x:v>
      </x:c>
      <x:c r="B993" s="22" t="str">
        <x:v>M-0141</x:v>
      </x:c>
      <x:c r="C993" s="29" t="str"/>
      <x:c r="D993" s="32" t="str">
        <x:v>Pago nuevo</x:v>
      </x:c>
      <x:c r="E993" s="22" t="str">
        <x:v>Chat</x:v>
      </x:c>
      <x:c r="F993" s="22" t="str">
        <x:v>P-037</x:v>
      </x:c>
    </x:row>
    <x:row r="994" ht="70" customHeight="1">
      <x:c r="A994" s="22" t="str">
        <x:v>Cruce ETL</x:v>
      </x:c>
      <x:c r="B994" s="22" t="str">
        <x:v>M-0142</x:v>
      </x:c>
      <x:c r="C994" s="29" t="str"/>
      <x:c r="D994" s="32" t="str">
        <x:v>Pago nuevo</x:v>
      </x:c>
      <x:c r="E994" s="22" t="str">
        <x:v>Chat</x:v>
      </x:c>
      <x:c r="F994" s="22" t="str">
        <x:v>P-038</x:v>
      </x:c>
    </x:row>
    <x:row r="995" ht="70" customHeight="1">
      <x:c r="A995" s="22" t="str">
        <x:v>Cruce ETL</x:v>
      </x:c>
      <x:c r="B995" s="22" t="str">
        <x:v>M-0143</x:v>
      </x:c>
      <x:c r="C995" s="29" t="str"/>
      <x:c r="D995" s="32" t="str">
        <x:v>Pago cruzado / deduplicado</x:v>
      </x:c>
      <x:c r="E995" s="22" t="str">
        <x:v>Chat</x:v>
      </x:c>
      <x:c r="F995" s="22" t="str">
        <x:v>P-032</x:v>
      </x:c>
    </x:row>
    <x:row r="996" ht="70" customHeight="1">
      <x:c r="A996" s="22" t="str">
        <x:v>Cruce ETL</x:v>
      </x:c>
      <x:c r="B996" s="22" t="str">
        <x:v>M-0144</x:v>
      </x:c>
      <x:c r="C996" s="29" t="str"/>
      <x:c r="D996" s="32" t="str">
        <x:v>Pago cruzado / deduplicado</x:v>
      </x:c>
      <x:c r="E996" s="22" t="str">
        <x:v>Chat</x:v>
      </x:c>
      <x:c r="F996" s="22" t="str">
        <x:v>P-033</x:v>
      </x:c>
    </x:row>
    <x:row r="997" ht="70" customHeight="1">
      <x:c r="A997" s="22" t="str">
        <x:v>Cruce ETL</x:v>
      </x:c>
      <x:c r="B997" s="22" t="str">
        <x:v>M-0149</x:v>
      </x:c>
      <x:c r="C997" s="29" t="str"/>
      <x:c r="D997" s="32" t="str">
        <x:v>Pago cruzado / deduplicado</x:v>
      </x:c>
      <x:c r="E997" s="22" t="str">
        <x:v>Chat</x:v>
      </x:c>
      <x:c r="F997" s="22" t="str">
        <x:v>P-030</x:v>
      </x:c>
    </x:row>
    <x:row r="998" ht="70" customHeight="1">
      <x:c r="A998" s="22" t="str">
        <x:v>Cruce ETL</x:v>
      </x:c>
      <x:c r="B998" s="22" t="str">
        <x:v>M-0150</x:v>
      </x:c>
      <x:c r="C998" s="29" t="str"/>
      <x:c r="D998" s="32" t="str">
        <x:v>Pago cruzado / deduplicado</x:v>
      </x:c>
      <x:c r="E998" s="22" t="str">
        <x:v>Chat</x:v>
      </x:c>
      <x:c r="F998" s="22" t="str">
        <x:v>P-009</x:v>
      </x:c>
    </x:row>
    <x:row r="999" ht="70" customHeight="1">
      <x:c r="A999" s="22" t="str">
        <x:v>Cruce ETL</x:v>
      </x:c>
      <x:c r="B999" s="22" t="str">
        <x:v>M-0157</x:v>
      </x:c>
      <x:c r="C999" s="29" t="str"/>
      <x:c r="D999" s="32" t="str">
        <x:v>Pago cruzado / deduplicado</x:v>
      </x:c>
      <x:c r="E999" s="22" t="str">
        <x:v>Chat</x:v>
      </x:c>
      <x:c r="F999" s="22" t="str">
        <x:v>P-009</x:v>
      </x:c>
    </x:row>
    <x:row r="1000" ht="70" customHeight="1">
      <x:c r="A1000" s="22" t="str">
        <x:v>Cruce ETL</x:v>
      </x:c>
      <x:c r="B1000" s="22" t="str">
        <x:v>M-0163</x:v>
      </x:c>
      <x:c r="C1000" s="29" t="str"/>
      <x:c r="D1000" s="32" t="str">
        <x:v>Pago cruzado / deduplicado</x:v>
      </x:c>
      <x:c r="E1000" s="22" t="str">
        <x:v>Chat</x:v>
      </x:c>
      <x:c r="F1000" s="22" t="str">
        <x:v>P-028</x:v>
      </x:c>
    </x:row>
    <x:row r="1001" ht="70" customHeight="1">
      <x:c r="A1001" s="22" t="str">
        <x:v>Cruce ETL</x:v>
      </x:c>
      <x:c r="B1001" s="22" t="str">
        <x:v>M-0210</x:v>
      </x:c>
      <x:c r="C1001" s="29" t="str"/>
      <x:c r="D1001" s="32" t="str">
        <x:v>Pago cruzado / deduplicado</x:v>
      </x:c>
      <x:c r="E1001" s="22" t="str">
        <x:v>Chat</x:v>
      </x:c>
      <x:c r="F1001" s="22" t="str">
        <x:v>P-036</x:v>
      </x:c>
    </x:row>
    <x:row r="1002" ht="70" customHeight="1">
      <x:c r="A1002" s="22" t="str">
        <x:v>Cruce ETL</x:v>
      </x:c>
      <x:c r="B1002" s="22" t="str">
        <x:v>M-0225</x:v>
      </x:c>
      <x:c r="C1002" s="29" t="str"/>
      <x:c r="D1002" s="32" t="str">
        <x:v>Pago cruzado / deduplicado</x:v>
      </x:c>
      <x:c r="E1002" s="22" t="str">
        <x:v>Chat</x:v>
      </x:c>
      <x:c r="F1002" s="22" t="str">
        <x:v>P-034</x:v>
      </x:c>
    </x:row>
    <x:row r="1003" ht="70" customHeight="1">
      <x:c r="A1003" s="22" t="str">
        <x:v>Cruce ETL</x:v>
      </x:c>
      <x:c r="B1003" s="22" t="str">
        <x:v>M-0226</x:v>
      </x:c>
      <x:c r="C1003" s="29" t="str"/>
      <x:c r="D1003" s="32" t="str">
        <x:v>Pago cruzado / deduplicado</x:v>
      </x:c>
      <x:c r="E1003" s="22" t="str">
        <x:v>Chat</x:v>
      </x:c>
      <x:c r="F1003" s="22" t="str">
        <x:v>P-035</x:v>
      </x:c>
    </x:row>
    <x:row r="1004" ht="70" customHeight="1">
      <x:c r="A1004" s="22" t="str">
        <x:v>Cruce ETL</x:v>
      </x:c>
      <x:c r="B1004" s="22" t="str">
        <x:v>M-0227</x:v>
      </x:c>
      <x:c r="C1004" s="29" t="str"/>
      <x:c r="D1004" s="32" t="str">
        <x:v>Pago cruzado / deduplicado</x:v>
      </x:c>
      <x:c r="E1004" s="22" t="str">
        <x:v>Chat</x:v>
      </x:c>
      <x:c r="F1004" s="22" t="str">
        <x:v>P-031</x:v>
      </x:c>
    </x:row>
    <x:row r="1005" ht="70" customHeight="1">
      <x:c r="A1005" s="22" t="str">
        <x:v>Cruce ETL</x:v>
      </x:c>
      <x:c r="B1005" s="22" t="str">
        <x:v>M-0236</x:v>
      </x:c>
      <x:c r="C1005" s="29" t="str"/>
      <x:c r="D1005" s="32" t="str">
        <x:v>Pago nuevo</x:v>
      </x:c>
      <x:c r="E1005" s="22" t="str">
        <x:v>Chat</x:v>
      </x:c>
      <x:c r="F1005" s="22" t="str">
        <x:v>P-039</x:v>
      </x:c>
    </x:row>
    <x:row r="1006" ht="70" customHeight="1">
      <x:c r="A1006" s="22" t="str">
        <x:v>Cruce ETL</x:v>
      </x:c>
      <x:c r="B1006" s="22" t="str">
        <x:v>M-0246</x:v>
      </x:c>
      <x:c r="C1006" s="29" t="str"/>
      <x:c r="D1006" s="32" t="str">
        <x:v>Pago nuevo</x:v>
      </x:c>
      <x:c r="E1006" s="22" t="str">
        <x:v>Chat</x:v>
      </x:c>
      <x:c r="F1006" s="22" t="str">
        <x:v>P-040</x:v>
      </x:c>
    </x:row>
    <x:row r="1007" ht="70" customHeight="1">
      <x:c r="A1007" s="22" t="str">
        <x:v>Cruce ETL</x:v>
      </x:c>
      <x:c r="B1007" s="22" t="str">
        <x:v>M-0247</x:v>
      </x:c>
      <x:c r="C1007" s="29" t="str"/>
      <x:c r="D1007" s="32" t="str">
        <x:v>Pago nuevo</x:v>
      </x:c>
      <x:c r="E1007" s="22" t="str">
        <x:v>Chat</x:v>
      </x:c>
      <x:c r="F1007" s="22" t="str">
        <x:v>P-041</x:v>
      </x:c>
    </x:row>
    <x:row r="1008" ht="70" customHeight="1">
      <x:c r="A1008" s="22" t="str">
        <x:v>Cruce ETL</x:v>
      </x:c>
      <x:c r="B1008" s="22" t="str">
        <x:v>M-0248</x:v>
      </x:c>
      <x:c r="C1008" s="29" t="str"/>
      <x:c r="D1008" s="32" t="str">
        <x:v>Pago nuevo</x:v>
      </x:c>
      <x:c r="E1008" s="22" t="str">
        <x:v>Chat</x:v>
      </x:c>
      <x:c r="F1008" s="22" t="str">
        <x:v>P-042</x:v>
      </x:c>
    </x:row>
    <x:row r="1009" ht="70" customHeight="1">
      <x:c r="A1009" s="22" t="str">
        <x:v>Cruce ETL</x:v>
      </x:c>
      <x:c r="B1009" s="22" t="str">
        <x:v>M-0251</x:v>
      </x:c>
      <x:c r="C1009" s="29" t="str"/>
      <x:c r="D1009" s="32" t="str">
        <x:v>Pago nuevo</x:v>
      </x:c>
      <x:c r="E1009" s="22" t="str">
        <x:v>Chat</x:v>
      </x:c>
      <x:c r="F1009" s="22" t="str">
        <x:v>P-043</x:v>
      </x:c>
    </x:row>
    <x:row r="1010" ht="70" customHeight="1">
      <x:c r="A1010" s="22" t="str">
        <x:v>Cruce ETL</x:v>
      </x:c>
      <x:c r="B1010" s="22" t="str">
        <x:v>M-0266</x:v>
      </x:c>
      <x:c r="C1010" s="29" t="str"/>
      <x:c r="D1010" s="32" t="str">
        <x:v>Pago nuevo</x:v>
      </x:c>
      <x:c r="E1010" s="22" t="str">
        <x:v>Chat</x:v>
      </x:c>
      <x:c r="F1010" s="22" t="str">
        <x:v>P-044</x:v>
      </x:c>
    </x:row>
    <x:row r="1011" ht="70" customHeight="1">
      <x:c r="A1011" s="22" t="str">
        <x:v>Cruce ETL</x:v>
      </x:c>
      <x:c r="B1011" s="22" t="str">
        <x:v>M-0267</x:v>
      </x:c>
      <x:c r="C1011" s="29" t="str"/>
      <x:c r="D1011" s="32" t="str">
        <x:v>Pago nuevo</x:v>
      </x:c>
      <x:c r="E1011" s="22" t="str">
        <x:v>Chat</x:v>
      </x:c>
      <x:c r="F1011" s="22" t="str">
        <x:v>P-045</x:v>
      </x:c>
    </x:row>
    <x:row r="1012" ht="70" customHeight="1">
      <x:c r="A1012" s="22" t="str">
        <x:v>Cruce ETL</x:v>
      </x:c>
      <x:c r="B1012" s="22" t="str">
        <x:v>M-0288</x:v>
      </x:c>
      <x:c r="C1012" s="29" t="str"/>
      <x:c r="D1012" s="32" t="str">
        <x:v>Pago nuevo</x:v>
      </x:c>
      <x:c r="E1012" s="22" t="str">
        <x:v>Chat</x:v>
      </x:c>
      <x:c r="F1012" s="22" t="str">
        <x:v>P-046</x:v>
      </x:c>
    </x:row>
    <x:row r="1013" ht="70" customHeight="1">
      <x:c r="A1013" s="22" t="str">
        <x:v>Cruce ETL</x:v>
      </x:c>
      <x:c r="B1013" s="22" t="str">
        <x:v>M-0289</x:v>
      </x:c>
      <x:c r="C1013" s="29" t="str"/>
      <x:c r="D1013" s="32" t="str">
        <x:v>Pago nuevo</x:v>
      </x:c>
      <x:c r="E1013" s="22" t="str">
        <x:v>Chat</x:v>
      </x:c>
      <x:c r="F1013" s="22" t="str">
        <x:v>P-047</x:v>
      </x:c>
    </x:row>
    <x:row r="1014" ht="70" customHeight="1">
      <x:c r="A1014" s="22" t="str">
        <x:v>Cruce ETL</x:v>
      </x:c>
      <x:c r="B1014" s="22" t="str">
        <x:v>M-0290</x:v>
      </x:c>
      <x:c r="C1014" s="29" t="str"/>
      <x:c r="D1014" s="32" t="str">
        <x:v>Pago nuevo</x:v>
      </x:c>
      <x:c r="E1014" s="22" t="str">
        <x:v>Chat</x:v>
      </x:c>
      <x:c r="F1014" s="22" t="str">
        <x:v>P-048</x:v>
      </x:c>
    </x:row>
    <x:row r="1015" ht="70" customHeight="1">
      <x:c r="A1015" s="22" t="str">
        <x:v>Cruce ETL</x:v>
      </x:c>
      <x:c r="B1015" s="22" t="str">
        <x:v>M-0291</x:v>
      </x:c>
      <x:c r="C1015" s="29" t="str"/>
      <x:c r="D1015" s="32" t="str">
        <x:v>Pago nuevo</x:v>
      </x:c>
      <x:c r="E1015" s="22" t="str">
        <x:v>Chat</x:v>
      </x:c>
      <x:c r="F1015" s="22" t="str">
        <x:v>P-049</x:v>
      </x:c>
    </x:row>
    <x:row r="1016" ht="70" customHeight="1">
      <x:c r="A1016" s="22" t="str">
        <x:v>Cruce ETL</x:v>
      </x:c>
      <x:c r="B1016" s="22" t="str">
        <x:v>M-0304</x:v>
      </x:c>
      <x:c r="C1016" s="29" t="str"/>
      <x:c r="D1016" s="32" t="str">
        <x:v>Pago nuevo</x:v>
      </x:c>
      <x:c r="E1016" s="22" t="str">
        <x:v>Chat</x:v>
      </x:c>
      <x:c r="F1016" s="22" t="str">
        <x:v>P-050</x:v>
      </x:c>
    </x:row>
    <x:row r="1017" ht="70" customHeight="1">
      <x:c r="A1017" s="22" t="str">
        <x:v>Cruce ETL</x:v>
      </x:c>
      <x:c r="B1017" s="22" t="str">
        <x:v>M-0315</x:v>
      </x:c>
      <x:c r="C1017" s="29" t="str"/>
      <x:c r="D1017" s="32" t="str">
        <x:v>Pago nuevo</x:v>
      </x:c>
      <x:c r="E1017" s="22" t="str">
        <x:v>Chat</x:v>
      </x:c>
      <x:c r="F1017" s="22" t="str">
        <x:v>P-051</x:v>
      </x:c>
    </x:row>
    <x:row r="1018" ht="70" customHeight="1">
      <x:c r="A1018" s="22" t="str">
        <x:v>Cruce ETL</x:v>
      </x:c>
      <x:c r="B1018" s="22" t="str">
        <x:v>M-0316</x:v>
      </x:c>
      <x:c r="C1018" s="29" t="str"/>
      <x:c r="D1018" s="32" t="str">
        <x:v>Pago nuevo</x:v>
      </x:c>
      <x:c r="E1018" s="22" t="str">
        <x:v>Chat</x:v>
      </x:c>
      <x:c r="F1018" s="22" t="str">
        <x:v>P-052</x:v>
      </x:c>
    </x:row>
    <x:row r="1019" ht="70" customHeight="1">
      <x:c r="A1019" s="22" t="str">
        <x:v>Cruce ETL</x:v>
      </x:c>
      <x:c r="B1019" s="22" t="str">
        <x:v>M-0320</x:v>
      </x:c>
      <x:c r="C1019" s="29" t="str"/>
      <x:c r="D1019" s="32" t="str">
        <x:v>Pago nuevo</x:v>
      </x:c>
      <x:c r="E1019" s="22" t="str">
        <x:v>Chat</x:v>
      </x:c>
      <x:c r="F1019" s="22" t="str">
        <x:v>P-053</x:v>
      </x:c>
    </x:row>
    <x:row r="1020" ht="70" customHeight="1">
      <x:c r="A1020" s="22" t="str">
        <x:v>Cruce ETL</x:v>
      </x:c>
      <x:c r="B1020" s="22" t="str">
        <x:v>M-0334</x:v>
      </x:c>
      <x:c r="C1020" s="29" t="str"/>
      <x:c r="D1020" s="32" t="str">
        <x:v>Pago nuevo</x:v>
      </x:c>
      <x:c r="E1020" s="22" t="str">
        <x:v>Chat</x:v>
      </x:c>
      <x:c r="F1020" s="22" t="str">
        <x:v>P-054</x:v>
      </x:c>
    </x:row>
    <x:row r="1021" ht="70" customHeight="1">
      <x:c r="A1021" s="22" t="str">
        <x:v>Cruce ETL</x:v>
      </x:c>
      <x:c r="B1021" s="22" t="str">
        <x:v>M-0335</x:v>
      </x:c>
      <x:c r="C1021" s="29" t="str"/>
      <x:c r="D1021" s="32" t="str">
        <x:v>Pago nuevo</x:v>
      </x:c>
      <x:c r="E1021" s="22" t="str">
        <x:v>Chat</x:v>
      </x:c>
      <x:c r="F1021" s="22" t="str">
        <x:v>P-055</x:v>
      </x:c>
    </x:row>
    <x:row r="1022" ht="70" customHeight="1">
      <x:c r="A1022" s="22" t="str">
        <x:v>Cruce ETL</x:v>
      </x:c>
      <x:c r="B1022" s="22" t="str">
        <x:v>M-0336</x:v>
      </x:c>
      <x:c r="C1022" s="29" t="str"/>
      <x:c r="D1022" s="32" t="str">
        <x:v>Pago nuevo</x:v>
      </x:c>
      <x:c r="E1022" s="22" t="str">
        <x:v>Chat</x:v>
      </x:c>
      <x:c r="F1022" s="22" t="str">
        <x:v>P-056</x:v>
      </x:c>
    </x:row>
    <x:row r="1023" ht="70" customHeight="1">
      <x:c r="A1023" s="22" t="str">
        <x:v>Cruce ETL</x:v>
      </x:c>
      <x:c r="B1023" s="22" t="str">
        <x:v>M-0337</x:v>
      </x:c>
      <x:c r="C1023" s="29" t="str"/>
      <x:c r="D1023" s="32" t="str">
        <x:v>Pago nuevo</x:v>
      </x:c>
      <x:c r="E1023" s="22" t="str">
        <x:v>Chat</x:v>
      </x:c>
      <x:c r="F1023" s="22" t="str">
        <x:v>P-057</x:v>
      </x:c>
    </x:row>
    <x:row r="1024" ht="70" customHeight="1">
      <x:c r="A1024" s="22" t="str">
        <x:v>Cruce ETL</x:v>
      </x:c>
      <x:c r="B1024" s="22" t="str">
        <x:v>M-0338</x:v>
      </x:c>
      <x:c r="C1024" s="29" t="str"/>
      <x:c r="D1024" s="32" t="str">
        <x:v>Pago nuevo</x:v>
      </x:c>
      <x:c r="E1024" s="22" t="str">
        <x:v>Chat</x:v>
      </x:c>
      <x:c r="F1024" s="22" t="str">
        <x:v>P-058</x:v>
      </x:c>
    </x:row>
    <x:row r="1025" ht="70" customHeight="1">
      <x:c r="A1025" s="22" t="str">
        <x:v>Cruce ETL</x:v>
      </x:c>
      <x:c r="B1025" s="22" t="str">
        <x:v>M-0344</x:v>
      </x:c>
      <x:c r="C1025" s="29" t="str"/>
      <x:c r="D1025" s="32" t="str">
        <x:v>Pago nuevo</x:v>
      </x:c>
      <x:c r="E1025" s="22" t="str">
        <x:v>Chat</x:v>
      </x:c>
      <x:c r="F1025" s="22" t="str">
        <x:v>P-059</x:v>
      </x:c>
    </x:row>
    <x:row r="1026" ht="70" customHeight="1">
      <x:c r="A1026" s="22" t="str">
        <x:v>Cruce ETL</x:v>
      </x:c>
      <x:c r="B1026" s="22" t="str">
        <x:v>M-0349</x:v>
      </x:c>
      <x:c r="C1026" s="29" t="str"/>
      <x:c r="D1026" s="32" t="str">
        <x:v>Pago nuevo</x:v>
      </x:c>
      <x:c r="E1026" s="22" t="str">
        <x:v>Chat</x:v>
      </x:c>
      <x:c r="F1026" s="22" t="str">
        <x:v>P-060</x:v>
      </x:c>
    </x:row>
    <x:row r="1027" ht="70" customHeight="1">
      <x:c r="A1027" s="22" t="str">
        <x:v>Cruce ETL</x:v>
      </x:c>
      <x:c r="B1027" s="22" t="str">
        <x:v>M-0350</x:v>
      </x:c>
      <x:c r="C1027" s="29" t="str"/>
      <x:c r="D1027" s="32" t="str">
        <x:v>Pago nuevo</x:v>
      </x:c>
      <x:c r="E1027" s="22" t="str">
        <x:v>Chat</x:v>
      </x:c>
      <x:c r="F1027" s="22" t="str">
        <x:v>P-061</x:v>
      </x:c>
    </x:row>
    <x:row r="1028" ht="70" customHeight="1">
      <x:c r="A1028" s="22" t="str">
        <x:v>Cruce ETL</x:v>
      </x:c>
      <x:c r="B1028" s="22" t="str">
        <x:v>M-0353</x:v>
      </x:c>
      <x:c r="C1028" s="29" t="str"/>
      <x:c r="D1028" s="32" t="str">
        <x:v>Pago nuevo</x:v>
      </x:c>
      <x:c r="E1028" s="22" t="str">
        <x:v>Chat</x:v>
      </x:c>
      <x:c r="F1028" s="22" t="str">
        <x:v>P-062</x:v>
      </x:c>
    </x:row>
    <x:row r="1029" ht="70" customHeight="1">
      <x:c r="A1029" s="22" t="str">
        <x:v>Cruce ETL</x:v>
      </x:c>
      <x:c r="B1029" s="22" t="str">
        <x:v>M-0356</x:v>
      </x:c>
      <x:c r="C1029" s="29" t="str"/>
      <x:c r="D1029" s="32" t="str">
        <x:v>Pago nuevo</x:v>
      </x:c>
      <x:c r="E1029" s="22" t="str">
        <x:v>Chat</x:v>
      </x:c>
      <x:c r="F1029" s="22" t="str">
        <x:v>P-063</x:v>
      </x:c>
    </x:row>
    <x:row r="1030" ht="70" customHeight="1">
      <x:c r="A1030" s="22" t="str">
        <x:v>Cruce ETL</x:v>
      </x:c>
      <x:c r="B1030" s="22" t="str">
        <x:v>M-0361</x:v>
      </x:c>
      <x:c r="C1030" s="29" t="str"/>
      <x:c r="D1030" s="32" t="str">
        <x:v>Pago nuevo</x:v>
      </x:c>
      <x:c r="E1030" s="22" t="str">
        <x:v>Chat</x:v>
      </x:c>
      <x:c r="F1030" s="22" t="str">
        <x:v>P-064</x:v>
      </x:c>
    </x:row>
    <x:row r="1031" ht="70" customHeight="1">
      <x:c r="A1031" s="22" t="str">
        <x:v>Cruce ETL</x:v>
      </x:c>
      <x:c r="B1031" s="22" t="str">
        <x:v>M-0371</x:v>
      </x:c>
      <x:c r="C1031" s="29" t="str"/>
      <x:c r="D1031" s="32" t="str">
        <x:v>Pago nuevo</x:v>
      </x:c>
      <x:c r="E1031" s="22" t="str">
        <x:v>Chat</x:v>
      </x:c>
      <x:c r="F1031" s="22" t="str">
        <x:v>P-065</x:v>
      </x:c>
    </x:row>
    <x:row r="1032" ht="70" customHeight="1">
      <x:c r="A1032" s="22" t="str">
        <x:v>Cruce ETL</x:v>
      </x:c>
      <x:c r="B1032" s="22" t="str">
        <x:v>M-0372</x:v>
      </x:c>
      <x:c r="C1032" s="29" t="str"/>
      <x:c r="D1032" s="32" t="str">
        <x:v>Pago nuevo</x:v>
      </x:c>
      <x:c r="E1032" s="22" t="str">
        <x:v>Chat</x:v>
      </x:c>
      <x:c r="F1032" s="22" t="str">
        <x:v>P-066</x:v>
      </x:c>
    </x:row>
    <x:row r="1033" ht="70" customHeight="1">
      <x:c r="A1033" s="22" t="str">
        <x:v>Cruce ETL</x:v>
      </x:c>
      <x:c r="B1033" s="22" t="str">
        <x:v>M-0380</x:v>
      </x:c>
      <x:c r="C1033" s="29" t="str"/>
      <x:c r="D1033" s="32" t="str">
        <x:v>Pago nuevo</x:v>
      </x:c>
      <x:c r="E1033" s="22" t="str">
        <x:v>Chat</x:v>
      </x:c>
      <x:c r="F1033" s="22" t="str">
        <x:v>P-067</x:v>
      </x:c>
    </x:row>
    <x:row r="1034" ht="70" customHeight="1">
      <x:c r="A1034" s="22" t="str">
        <x:v>Cruce ETL</x:v>
      </x:c>
      <x:c r="B1034" s="22" t="str">
        <x:v>M-0381</x:v>
      </x:c>
      <x:c r="C1034" s="29" t="str"/>
      <x:c r="D1034" s="32" t="str">
        <x:v>Pago nuevo</x:v>
      </x:c>
      <x:c r="E1034" s="22" t="str">
        <x:v>Chat</x:v>
      </x:c>
      <x:c r="F1034" s="22" t="str">
        <x:v>P-068</x:v>
      </x:c>
    </x:row>
    <x:row r="1035" ht="70" customHeight="1">
      <x:c r="A1035" s="22" t="str">
        <x:v>Cruce ETL</x:v>
      </x:c>
      <x:c r="B1035" s="22" t="str">
        <x:v>M-0382</x:v>
      </x:c>
      <x:c r="C1035" s="29" t="str"/>
      <x:c r="D1035" s="32" t="str">
        <x:v>Pago nuevo</x:v>
      </x:c>
      <x:c r="E1035" s="22" t="str">
        <x:v>Chat</x:v>
      </x:c>
      <x:c r="F1035" s="22" t="str">
        <x:v>P-069</x:v>
      </x:c>
    </x:row>
    <x:row r="1036" ht="70" customHeight="1">
      <x:c r="A1036" s="22" t="str">
        <x:v>Cruce ETL</x:v>
      </x:c>
      <x:c r="B1036" s="22" t="str">
        <x:v>M-0383</x:v>
      </x:c>
      <x:c r="C1036" s="29" t="str"/>
      <x:c r="D1036" s="32" t="str">
        <x:v>Pago nuevo</x:v>
      </x:c>
      <x:c r="E1036" s="22" t="str">
        <x:v>Chat</x:v>
      </x:c>
      <x:c r="F1036" s="22" t="str">
        <x:v>P-070</x:v>
      </x:c>
    </x:row>
    <x:row r="1037" ht="70" customHeight="1">
      <x:c r="A1037" s="22" t="str">
        <x:v>Cruce ETL</x:v>
      </x:c>
      <x:c r="B1037" s="22" t="str">
        <x:v>M-0419</x:v>
      </x:c>
      <x:c r="C1037" s="29" t="str"/>
      <x:c r="D1037" s="32" t="str">
        <x:v>Pago nuevo</x:v>
      </x:c>
      <x:c r="E1037" s="22" t="str">
        <x:v>Chat</x:v>
      </x:c>
      <x:c r="F1037" s="22" t="str">
        <x:v>P-071</x:v>
      </x:c>
    </x:row>
    <x:row r="1038" ht="70" customHeight="1">
      <x:c r="A1038" s="22" t="str">
        <x:v>Cruce ETL</x:v>
      </x:c>
      <x:c r="B1038" s="22" t="str">
        <x:v>M-0050</x:v>
      </x:c>
      <x:c r="C1038" s="29" t="str"/>
      <x:c r="D1038" s="32" t="str">
        <x:v>Aviso de monto unido a ficha, sin nuevo cobro</x:v>
      </x:c>
      <x:c r="E1038" s="22" t="str">
        <x:v>Chat</x:v>
      </x:c>
      <x:c r="F1038" s="22" t="str">
        <x:v>P-019</x:v>
      </x:c>
    </x:row>
    <x:row r="1039" ht="70" customHeight="1">
      <x:c r="A1039" s="22" t="str">
        <x:v>Cruce ETL</x:v>
      </x:c>
      <x:c r="B1039" s="22" t="str">
        <x:v>M-0052</x:v>
      </x:c>
      <x:c r="C1039" s="29" t="str"/>
      <x:c r="D1039" s="32" t="str">
        <x:v>Aviso de monto unido a ficha, sin nuevo cobro</x:v>
      </x:c>
      <x:c r="E1039" s="22" t="str">
        <x:v>Chat</x:v>
      </x:c>
      <x:c r="F1039" s="22" t="str">
        <x:v>P-004</x:v>
      </x:c>
    </x:row>
    <x:row r="1040" ht="70" customHeight="1">
      <x:c r="A1040" s="22" t="str">
        <x:v>Cruce ETL</x:v>
      </x:c>
      <x:c r="B1040" s="22" t="str">
        <x:v>M-0056</x:v>
      </x:c>
      <x:c r="C1040" s="29" t="str"/>
      <x:c r="D1040" s="32" t="str">
        <x:v>Aviso de monto unido a ficha, sin nuevo cobro</x:v>
      </x:c>
      <x:c r="E1040" s="22" t="str">
        <x:v>Chat</x:v>
      </x:c>
      <x:c r="F1040" s="22" t="str">
        <x:v>P-021</x:v>
      </x:c>
    </x:row>
    <x:row r="1041" ht="70" customHeight="1">
      <x:c r="A1041" s="22" t="str">
        <x:v>Cruce ETL</x:v>
      </x:c>
      <x:c r="B1041" s="22" t="str">
        <x:v>M-0063</x:v>
      </x:c>
      <x:c r="C1041" s="29" t="str"/>
      <x:c r="D1041" s="32" t="str">
        <x:v>Aviso de monto unido a ficha, sin nuevo cobro</x:v>
      </x:c>
      <x:c r="E1041" s="22" t="str">
        <x:v>Chat</x:v>
      </x:c>
      <x:c r="F1041" s="22" t="str">
        <x:v>P-011</x:v>
      </x:c>
    </x:row>
    <x:row r="1042" ht="70" customHeight="1">
      <x:c r="A1042" s="22" t="str">
        <x:v>Cruce ETL</x:v>
      </x:c>
      <x:c r="B1042" s="22" t="str">
        <x:v>M-0067</x:v>
      </x:c>
      <x:c r="C1042" s="29" t="str"/>
      <x:c r="D1042" s="32" t="str">
        <x:v>Aviso de monto unido a ficha, sin nuevo cobro</x:v>
      </x:c>
      <x:c r="E1042" s="22" t="str">
        <x:v>Chat</x:v>
      </x:c>
      <x:c r="F1042" s="22" t="str">
        <x:v>P-022</x:v>
      </x:c>
    </x:row>
    <x:row r="1043" ht="70" customHeight="1">
      <x:c r="A1043" s="22" t="str">
        <x:v>Cruce ETL</x:v>
      </x:c>
      <x:c r="B1043" s="22" t="str">
        <x:v>M-0069</x:v>
      </x:c>
      <x:c r="C1043" s="29" t="str"/>
      <x:c r="D1043" s="32" t="str">
        <x:v>Aviso de monto unido a ficha, sin nuevo cobro</x:v>
      </x:c>
      <x:c r="E1043" s="22" t="str">
        <x:v>Chat</x:v>
      </x:c>
      <x:c r="F1043" s="22" t="str">
        <x:v>P-013</x:v>
      </x:c>
    </x:row>
    <x:row r="1044" ht="70" customHeight="1">
      <x:c r="A1044" s="22" t="str">
        <x:v>Cruce ETL</x:v>
      </x:c>
      <x:c r="B1044" s="22" t="str">
        <x:v>M-0073</x:v>
      </x:c>
      <x:c r="C1044" s="29" t="str"/>
      <x:c r="D1044" s="32" t="str">
        <x:v>Aviso de monto unido a ficha, sin nuevo cobro</x:v>
      </x:c>
      <x:c r="E1044" s="22" t="str">
        <x:v>Chat</x:v>
      </x:c>
      <x:c r="F1044" s="22" t="str">
        <x:v>P-008</x:v>
      </x:c>
    </x:row>
    <x:row r="1045" ht="70" customHeight="1">
      <x:c r="A1045" s="22" t="str">
        <x:v>Cruce ETL</x:v>
      </x:c>
      <x:c r="B1045" s="22" t="str">
        <x:v>M-0075</x:v>
      </x:c>
      <x:c r="C1045" s="29" t="str"/>
      <x:c r="D1045" s="32" t="str">
        <x:v>Aviso de monto unido a ficha, sin nuevo cobro</x:v>
      </x:c>
      <x:c r="E1045" s="22" t="str">
        <x:v>Chat</x:v>
      </x:c>
      <x:c r="F1045" s="22" t="str">
        <x:v>P-023</x:v>
      </x:c>
    </x:row>
    <x:row r="1046" ht="70" customHeight="1">
      <x:c r="A1046" s="22" t="str">
        <x:v>Cruce ETL</x:v>
      </x:c>
      <x:c r="B1046" s="22" t="str">
        <x:v>M-0076</x:v>
      </x:c>
      <x:c r="C1046" s="29" t="str"/>
      <x:c r="D1046" s="32" t="str">
        <x:v>Aviso de monto unido a ficha, sin nuevo cobro</x:v>
      </x:c>
      <x:c r="E1046" s="22" t="str">
        <x:v>Chat</x:v>
      </x:c>
      <x:c r="F1046" s="22" t="str">
        <x:v>P-026</x:v>
      </x:c>
    </x:row>
    <x:row r="1047" ht="70" customHeight="1">
      <x:c r="A1047" s="22" t="str">
        <x:v>Cruce ETL</x:v>
      </x:c>
      <x:c r="B1047" s="22" t="str">
        <x:v>M-0084</x:v>
      </x:c>
      <x:c r="C1047" s="29" t="str"/>
      <x:c r="D1047" s="32" t="str">
        <x:v>Aviso de monto unido a ficha, sin nuevo cobro</x:v>
      </x:c>
      <x:c r="E1047" s="22" t="str">
        <x:v>Chat</x:v>
      </x:c>
      <x:c r="F1047" s="22" t="str">
        <x:v>P-027</x:v>
      </x:c>
    </x:row>
    <x:row r="1048" ht="70" customHeight="1">
      <x:c r="A1048" s="22" t="str">
        <x:v>Cruce ETL</x:v>
      </x:c>
      <x:c r="B1048" s="22" t="str">
        <x:v>M-0088</x:v>
      </x:c>
      <x:c r="C1048" s="29" t="str"/>
      <x:c r="D1048" s="32" t="str">
        <x:v>Aviso de monto unido a ficha, sin nuevo cobro</x:v>
      </x:c>
      <x:c r="E1048" s="22" t="str">
        <x:v>Chat</x:v>
      </x:c>
      <x:c r="F1048" s="22" t="str">
        <x:v>P-016</x:v>
      </x:c>
    </x:row>
    <x:row r="1049" ht="70" customHeight="1">
      <x:c r="A1049" s="22" t="str">
        <x:v>Cruce ETL</x:v>
      </x:c>
      <x:c r="B1049" s="22" t="str">
        <x:v>M-0111</x:v>
      </x:c>
      <x:c r="C1049" s="29" t="str"/>
      <x:c r="D1049" s="32" t="str">
        <x:v>Aviso de monto unido a ficha, sin nuevo cobro</x:v>
      </x:c>
      <x:c r="E1049" s="22" t="str">
        <x:v>Chat</x:v>
      </x:c>
      <x:c r="F1049" s="22" t="str">
        <x:v>P-029</x:v>
      </x:c>
    </x:row>
    <x:row r="1050" ht="70" customHeight="1">
      <x:c r="A1050" s="22" t="str">
        <x:v>Cruce ETL</x:v>
      </x:c>
      <x:c r="B1050" s="22" t="str">
        <x:v>M-0113</x:v>
      </x:c>
      <x:c r="C1050" s="29" t="str"/>
      <x:c r="D1050" s="32" t="str">
        <x:v>Aviso de monto unido a ficha, sin nuevo cobro</x:v>
      </x:c>
      <x:c r="E1050" s="22" t="str">
        <x:v>Chat</x:v>
      </x:c>
      <x:c r="F1050" s="22" t="str">
        <x:v>P-014</x:v>
      </x:c>
    </x:row>
    <x:row r="1051" ht="70" customHeight="1">
      <x:c r="A1051" s="22" t="str">
        <x:v>Cruce ETL</x:v>
      </x:c>
      <x:c r="B1051" s="22" t="str">
        <x:v>M-0127</x:v>
      </x:c>
      <x:c r="C1051" s="29" t="str"/>
      <x:c r="D1051" s="32" t="str">
        <x:v>Aviso de monto unido a ficha, sin nuevo cobro</x:v>
      </x:c>
      <x:c r="E1051" s="22" t="str">
        <x:v>Chat</x:v>
      </x:c>
      <x:c r="F1051" s="22" t="str">
        <x:v>P-006</x:v>
      </x:c>
    </x:row>
    <x:row r="1052" ht="70" customHeight="1">
      <x:c r="A1052" s="22" t="str">
        <x:v>Cruce ETL</x:v>
      </x:c>
      <x:c r="B1052" s="22" t="str">
        <x:v>M-0132</x:v>
      </x:c>
      <x:c r="C1052" s="29" t="str"/>
      <x:c r="D1052" s="32" t="str">
        <x:v>Aviso de monto unido a ficha, sin nuevo cobro</x:v>
      </x:c>
      <x:c r="E1052" s="22" t="str">
        <x:v>Chat</x:v>
      </x:c>
      <x:c r="F1052" s="22" t="str">
        <x:v>P-024</x:v>
      </x:c>
    </x:row>
    <x:row r="1053" ht="70" customHeight="1">
      <x:c r="A1053" s="22" t="str">
        <x:v>Cruce ETL</x:v>
      </x:c>
      <x:c r="B1053" s="22" t="str">
        <x:v>M-0134</x:v>
      </x:c>
      <x:c r="C1053" s="29" t="str"/>
      <x:c r="D1053" s="32" t="str">
        <x:v>Aviso de monto unido a ficha, sin nuevo cobro</x:v>
      </x:c>
      <x:c r="E1053" s="22" t="str">
        <x:v>Chat</x:v>
      </x:c>
      <x:c r="F1053" s="22" t="str">
        <x:v>P-020</x:v>
      </x:c>
    </x:row>
    <x:row r="1054" ht="70" customHeight="1">
      <x:c r="A1054" s="22" t="str">
        <x:v>Cruce ETL</x:v>
      </x:c>
      <x:c r="B1054" s="22" t="str">
        <x:v>M-0138</x:v>
      </x:c>
      <x:c r="C1054" s="29" t="str"/>
      <x:c r="D1054" s="32" t="str">
        <x:v>Aviso de monto unido a ficha, sin nuevo cobro</x:v>
      </x:c>
      <x:c r="E1054" s="22" t="str">
        <x:v>Chat</x:v>
      </x:c>
      <x:c r="F1054" s="22" t="str">
        <x:v>P-032</x:v>
      </x:c>
    </x:row>
    <x:row r="1055" ht="70" customHeight="1">
      <x:c r="A1055" s="22" t="str">
        <x:v>Cruce ETL</x:v>
      </x:c>
      <x:c r="B1055" s="22" t="str">
        <x:v>M-0140</x:v>
      </x:c>
      <x:c r="C1055" s="29" t="str"/>
      <x:c r="D1055" s="32" t="str">
        <x:v>Aviso de monto unido a ficha, sin nuevo cobro</x:v>
      </x:c>
      <x:c r="E1055" s="22" t="str">
        <x:v>Chat</x:v>
      </x:c>
      <x:c r="F1055" s="22" t="str">
        <x:v>P-033</x:v>
      </x:c>
    </x:row>
    <x:row r="1056" ht="70" customHeight="1">
      <x:c r="A1056" s="22" t="str">
        <x:v>Cruce ETL</x:v>
      </x:c>
      <x:c r="B1056" s="22" t="str">
        <x:v>M-0146</x:v>
      </x:c>
      <x:c r="C1056" s="29" t="str"/>
      <x:c r="D1056" s="32" t="str">
        <x:v>Aviso de monto unido a ficha, sin nuevo cobro</x:v>
      </x:c>
      <x:c r="E1056" s="22" t="str">
        <x:v>Chat</x:v>
      </x:c>
      <x:c r="F1056" s="22" t="str">
        <x:v>P-030</x:v>
      </x:c>
    </x:row>
    <x:row r="1057" ht="70" customHeight="1">
      <x:c r="A1057" s="22" t="str">
        <x:v>Cruce ETL</x:v>
      </x:c>
      <x:c r="B1057" s="22" t="str">
        <x:v>M-0148</x:v>
      </x:c>
      <x:c r="C1057" s="29" t="str"/>
      <x:c r="D1057" s="32" t="str">
        <x:v>Aviso de monto unido a ficha, sin nuevo cobro</x:v>
      </x:c>
      <x:c r="E1057" s="22" t="str">
        <x:v>Chat</x:v>
      </x:c>
      <x:c r="F1057" s="22" t="str">
        <x:v>P-009</x:v>
      </x:c>
    </x:row>
    <x:row r="1058" ht="70" customHeight="1">
      <x:c r="A1058" s="22" t="str">
        <x:v>Cruce ETL</x:v>
      </x:c>
      <x:c r="B1058" s="22" t="str">
        <x:v>M-0217</x:v>
      </x:c>
      <x:c r="C1058" s="29" t="str"/>
      <x:c r="D1058" s="32" t="str">
        <x:v>Aviso de monto unido a ficha, sin nuevo cobro</x:v>
      </x:c>
      <x:c r="E1058" s="22" t="str">
        <x:v>Chat</x:v>
      </x:c>
      <x:c r="F1058" s="22" t="str">
        <x:v>P-034</x:v>
      </x:c>
    </x:row>
    <x:row r="1059" ht="70" customHeight="1">
      <x:c r="A1059" s="22" t="str">
        <x:v>Cruce ETL</x:v>
      </x:c>
      <x:c r="B1059" s="22" t="str">
        <x:v>M-0219</x:v>
      </x:c>
      <x:c r="C1059" s="29" t="str"/>
      <x:c r="D1059" s="32" t="str">
        <x:v>Aviso de monto unido a ficha, sin nuevo cobro</x:v>
      </x:c>
      <x:c r="E1059" s="22" t="str">
        <x:v>Chat</x:v>
      </x:c>
      <x:c r="F1059" s="22" t="str">
        <x:v>P-035</x:v>
      </x:c>
    </x:row>
    <x:row r="1060" ht="70" customHeight="1">
      <x:c r="A1060" s="22" t="str">
        <x:v>Cruce ETL</x:v>
      </x:c>
      <x:c r="B1060" s="22" t="str">
        <x:v>M-0224</x:v>
      </x:c>
      <x:c r="C1060" s="29" t="str"/>
      <x:c r="D1060" s="32" t="str">
        <x:v>Aviso de monto unido a ficha, sin nuevo cobro</x:v>
      </x:c>
      <x:c r="E1060" s="22" t="str">
        <x:v>Chat</x:v>
      </x:c>
      <x:c r="F1060" s="22" t="str">
        <x:v>P-031</x:v>
      </x:c>
    </x:row>
    <x:row r="1061" ht="70" customHeight="1">
      <x:c r="A1061" s="22" t="str">
        <x:v>Cruce ETL</x:v>
      </x:c>
      <x:c r="B1061" s="22" t="str">
        <x:v>M-0233</x:v>
      </x:c>
      <x:c r="C1061" s="29" t="str"/>
      <x:c r="D1061" s="32" t="str">
        <x:v>Aviso de monto unido a ficha, sin nuevo cobro</x:v>
      </x:c>
      <x:c r="E1061" s="22" t="str">
        <x:v>Chat</x:v>
      </x:c>
      <x:c r="F1061" s="22" t="str">
        <x:v>P-039</x:v>
      </x:c>
    </x:row>
    <x:row r="1062" ht="70" customHeight="1">
      <x:c r="A1062" s="22" t="str">
        <x:v>Cruce ETL</x:v>
      </x:c>
      <x:c r="B1062" s="22" t="str">
        <x:v>M-0240</x:v>
      </x:c>
      <x:c r="C1062" s="29" t="str"/>
      <x:c r="D1062" s="32" t="str">
        <x:v>Aviso de monto unido a ficha, sin nuevo cobro</x:v>
      </x:c>
      <x:c r="E1062" s="22" t="str">
        <x:v>Chat</x:v>
      </x:c>
      <x:c r="F1062" s="22" t="str">
        <x:v>P-040</x:v>
      </x:c>
    </x:row>
    <x:row r="1063" ht="70" customHeight="1">
      <x:c r="A1063" s="22" t="str">
        <x:v>Cruce ETL</x:v>
      </x:c>
      <x:c r="B1063" s="22" t="str">
        <x:v>M-0242</x:v>
      </x:c>
      <x:c r="C1063" s="29" t="str"/>
      <x:c r="D1063" s="32" t="str">
        <x:v>Aviso de monto unido a ficha, sin nuevo cobro</x:v>
      </x:c>
      <x:c r="E1063" s="22" t="str">
        <x:v>Chat</x:v>
      </x:c>
      <x:c r="F1063" s="22" t="str">
        <x:v>P-041</x:v>
      </x:c>
    </x:row>
    <x:row r="1064" ht="70" customHeight="1">
      <x:c r="A1064" s="22" t="str">
        <x:v>Cruce ETL</x:v>
      </x:c>
      <x:c r="B1064" s="22" t="str">
        <x:v>M-0263</x:v>
      </x:c>
      <x:c r="C1064" s="29" t="str"/>
      <x:c r="D1064" s="32" t="str">
        <x:v>Aviso de monto unido a ficha, sin nuevo cobro</x:v>
      </x:c>
      <x:c r="E1064" s="22" t="str">
        <x:v>Chat</x:v>
      </x:c>
      <x:c r="F1064" s="22" t="str">
        <x:v>P-044</x:v>
      </x:c>
    </x:row>
    <x:row r="1065" ht="70" customHeight="1">
      <x:c r="A1065" s="22" t="str">
        <x:v>Cruce ETL</x:v>
      </x:c>
      <x:c r="B1065" s="22" t="str">
        <x:v>M-0265</x:v>
      </x:c>
      <x:c r="C1065" s="29" t="str"/>
      <x:c r="D1065" s="32" t="str">
        <x:v>Aviso de monto unido a ficha, sin nuevo cobro</x:v>
      </x:c>
      <x:c r="E1065" s="22" t="str">
        <x:v>Chat</x:v>
      </x:c>
      <x:c r="F1065" s="22" t="str">
        <x:v>P-045</x:v>
      </x:c>
    </x:row>
    <x:row r="1066" ht="70" customHeight="1">
      <x:c r="A1066" s="22" t="str">
        <x:v>Cruce ETL</x:v>
      </x:c>
      <x:c r="B1066" s="22" t="str">
        <x:v>M-0280</x:v>
      </x:c>
      <x:c r="C1066" s="29" t="str"/>
      <x:c r="D1066" s="32" t="str">
        <x:v>Aviso de monto unido a ficha, sin nuevo cobro</x:v>
      </x:c>
      <x:c r="E1066" s="22" t="str">
        <x:v>Chat</x:v>
      </x:c>
      <x:c r="F1066" s="22" t="str">
        <x:v>P-046</x:v>
      </x:c>
    </x:row>
    <x:row r="1067" ht="70" customHeight="1">
      <x:c r="A1067" s="22" t="str">
        <x:v>Cruce ETL</x:v>
      </x:c>
      <x:c r="B1067" s="22" t="str">
        <x:v>M-0282</x:v>
      </x:c>
      <x:c r="C1067" s="29" t="str"/>
      <x:c r="D1067" s="32" t="str">
        <x:v>Aviso de monto unido a ficha, sin nuevo cobro</x:v>
      </x:c>
      <x:c r="E1067" s="22" t="str">
        <x:v>Chat</x:v>
      </x:c>
      <x:c r="F1067" s="22" t="str">
        <x:v>P-047</x:v>
      </x:c>
    </x:row>
    <x:row r="1068" ht="70" customHeight="1">
      <x:c r="A1068" s="22" t="str">
        <x:v>Cruce ETL</x:v>
      </x:c>
      <x:c r="B1068" s="22" t="str">
        <x:v>M-0285</x:v>
      </x:c>
      <x:c r="C1068" s="29" t="str"/>
      <x:c r="D1068" s="32" t="str">
        <x:v>Aviso de monto unido a ficha, sin nuevo cobro</x:v>
      </x:c>
      <x:c r="E1068" s="22" t="str">
        <x:v>Chat</x:v>
      </x:c>
      <x:c r="F1068" s="22" t="str">
        <x:v>P-048</x:v>
      </x:c>
    </x:row>
    <x:row r="1069" ht="70" customHeight="1">
      <x:c r="A1069" s="22" t="str">
        <x:v>Cruce ETL</x:v>
      </x:c>
      <x:c r="B1069" s="22" t="str">
        <x:v>M-0287</x:v>
      </x:c>
      <x:c r="C1069" s="29" t="str"/>
      <x:c r="D1069" s="32" t="str">
        <x:v>Aviso de monto unido a ficha, sin nuevo cobro</x:v>
      </x:c>
      <x:c r="E1069" s="22" t="str">
        <x:v>Chat</x:v>
      </x:c>
      <x:c r="F1069" s="22" t="str">
        <x:v>P-049</x:v>
      </x:c>
    </x:row>
    <x:row r="1070" ht="70" customHeight="1">
      <x:c r="A1070" s="22" t="str">
        <x:v>Cruce ETL</x:v>
      </x:c>
      <x:c r="B1070" s="22" t="str">
        <x:v>M-0295</x:v>
      </x:c>
      <x:c r="C1070" s="29" t="str"/>
      <x:c r="D1070" s="32" t="str">
        <x:v>Aviso de monto unido a ficha, sin nuevo cobro</x:v>
      </x:c>
      <x:c r="E1070" s="22" t="str">
        <x:v>Chat</x:v>
      </x:c>
      <x:c r="F1070" s="22" t="str">
        <x:v>P-050</x:v>
      </x:c>
    </x:row>
    <x:row r="1071" ht="70" customHeight="1">
      <x:c r="A1071" s="22" t="str">
        <x:v>Cruce ETL</x:v>
      </x:c>
      <x:c r="B1071" s="22" t="str">
        <x:v>M-0306</x:v>
      </x:c>
      <x:c r="C1071" s="29" t="str"/>
      <x:c r="D1071" s="32" t="str">
        <x:v>Aviso de monto unido a ficha, sin nuevo cobro</x:v>
      </x:c>
      <x:c r="E1071" s="22" t="str">
        <x:v>Chat</x:v>
      </x:c>
      <x:c r="F1071" s="22" t="str">
        <x:v>P-051</x:v>
      </x:c>
    </x:row>
    <x:row r="1072" ht="70" customHeight="1">
      <x:c r="A1072" s="22" t="str">
        <x:v>Cruce ETL</x:v>
      </x:c>
      <x:c r="B1072" s="22" t="str">
        <x:v>M-0314</x:v>
      </x:c>
      <x:c r="C1072" s="29" t="str"/>
      <x:c r="D1072" s="32" t="str">
        <x:v>Aviso de monto unido a ficha, sin nuevo cobro</x:v>
      </x:c>
      <x:c r="E1072" s="22" t="str">
        <x:v>Chat</x:v>
      </x:c>
      <x:c r="F1072" s="22" t="str">
        <x:v>P-052</x:v>
      </x:c>
    </x:row>
    <x:row r="1073" ht="70" customHeight="1">
      <x:c r="A1073" s="22" t="str">
        <x:v>Cruce ETL</x:v>
      </x:c>
      <x:c r="B1073" s="22" t="str">
        <x:v>M-0329</x:v>
      </x:c>
      <x:c r="C1073" s="29" t="str"/>
      <x:c r="D1073" s="32" t="str">
        <x:v>Aviso de monto unido a ficha, sin nuevo cobro</x:v>
      </x:c>
      <x:c r="E1073" s="22" t="str">
        <x:v>Chat</x:v>
      </x:c>
      <x:c r="F1073" s="22" t="str">
        <x:v>P-054</x:v>
      </x:c>
    </x:row>
    <x:row r="1074" ht="70" customHeight="1">
      <x:c r="A1074" s="22" t="str">
        <x:v>Cruce ETL</x:v>
      </x:c>
      <x:c r="B1074" s="22" t="str">
        <x:v>M-0331</x:v>
      </x:c>
      <x:c r="C1074" s="29" t="str"/>
      <x:c r="D1074" s="32" t="str">
        <x:v>Aviso de monto unido a ficha, sin nuevo cobro</x:v>
      </x:c>
      <x:c r="E1074" s="22" t="str">
        <x:v>Chat</x:v>
      </x:c>
      <x:c r="F1074" s="22" t="str">
        <x:v>P-055</x:v>
      </x:c>
    </x:row>
    <x:row r="1075" ht="70" customHeight="1">
      <x:c r="A1075" s="22" t="str">
        <x:v>Cruce ETL</x:v>
      </x:c>
      <x:c r="B1075" s="22" t="str">
        <x:v>M-0333</x:v>
      </x:c>
      <x:c r="C1075" s="29" t="str"/>
      <x:c r="D1075" s="32" t="str">
        <x:v>Aviso de monto unido a ficha, sin nuevo cobro</x:v>
      </x:c>
      <x:c r="E1075" s="22" t="str">
        <x:v>Chat</x:v>
      </x:c>
      <x:c r="F1075" s="22" t="str">
        <x:v>P-056</x:v>
      </x:c>
    </x:row>
    <x:row r="1076" ht="70" customHeight="1">
      <x:c r="A1076" s="22" t="str">
        <x:v>Cruce ETL</x:v>
      </x:c>
      <x:c r="B1076" s="22" t="str">
        <x:v>M-0343</x:v>
      </x:c>
      <x:c r="C1076" s="29" t="str"/>
      <x:c r="D1076" s="32" t="str">
        <x:v>Aviso de monto unido a ficha, sin nuevo cobro</x:v>
      </x:c>
      <x:c r="E1076" s="22" t="str">
        <x:v>Chat</x:v>
      </x:c>
      <x:c r="F1076" s="22" t="str">
        <x:v>P-059</x:v>
      </x:c>
    </x:row>
    <x:row r="1077" ht="70" customHeight="1">
      <x:c r="A1077" s="22" t="str">
        <x:v>Cruce ETL</x:v>
      </x:c>
      <x:c r="B1077" s="22" t="str">
        <x:v>M-0346</x:v>
      </x:c>
      <x:c r="C1077" s="29" t="str"/>
      <x:c r="D1077" s="32" t="str">
        <x:v>Aviso de monto unido a ficha, sin nuevo cobro</x:v>
      </x:c>
      <x:c r="E1077" s="22" t="str">
        <x:v>Chat</x:v>
      </x:c>
      <x:c r="F1077" s="22" t="str">
        <x:v>P-060</x:v>
      </x:c>
    </x:row>
    <x:row r="1078" ht="70" customHeight="1">
      <x:c r="A1078" s="22" t="str">
        <x:v>Cruce ETL</x:v>
      </x:c>
      <x:c r="B1078" s="22" t="str">
        <x:v>M-0348</x:v>
      </x:c>
      <x:c r="C1078" s="29" t="str"/>
      <x:c r="D1078" s="32" t="str">
        <x:v>Aviso de monto unido a ficha, sin nuevo cobro</x:v>
      </x:c>
      <x:c r="E1078" s="22" t="str">
        <x:v>Chat</x:v>
      </x:c>
      <x:c r="F1078" s="22" t="str">
        <x:v>P-061</x:v>
      </x:c>
    </x:row>
    <x:row r="1079" ht="70" customHeight="1">
      <x:c r="A1079" s="22" t="str">
        <x:v>Cruce ETL</x:v>
      </x:c>
      <x:c r="B1079" s="22" t="str">
        <x:v>M-0352</x:v>
      </x:c>
      <x:c r="C1079" s="29" t="str"/>
      <x:c r="D1079" s="32" t="str">
        <x:v>Aviso de monto unido a ficha, sin nuevo cobro</x:v>
      </x:c>
      <x:c r="E1079" s="22" t="str">
        <x:v>Chat</x:v>
      </x:c>
      <x:c r="F1079" s="22" t="str">
        <x:v>P-062</x:v>
      </x:c>
    </x:row>
    <x:row r="1080" ht="70" customHeight="1">
      <x:c r="A1080" s="22" t="str">
        <x:v>Cruce ETL</x:v>
      </x:c>
      <x:c r="B1080" s="22" t="str">
        <x:v>M-0355</x:v>
      </x:c>
      <x:c r="C1080" s="29" t="str"/>
      <x:c r="D1080" s="32" t="str">
        <x:v>Aviso de monto unido a ficha, sin nuevo cobro</x:v>
      </x:c>
      <x:c r="E1080" s="22" t="str">
        <x:v>Chat</x:v>
      </x:c>
      <x:c r="F1080" s="22" t="str">
        <x:v>P-063</x:v>
      </x:c>
    </x:row>
    <x:row r="1081" ht="70" customHeight="1">
      <x:c r="A1081" s="22" t="str">
        <x:v>Cruce ETL</x:v>
      </x:c>
      <x:c r="B1081" s="22" t="str">
        <x:v>M-0360</x:v>
      </x:c>
      <x:c r="C1081" s="29" t="str"/>
      <x:c r="D1081" s="32" t="str">
        <x:v>Aviso de monto unido a ficha, sin nuevo cobro</x:v>
      </x:c>
      <x:c r="E1081" s="22" t="str">
        <x:v>Chat</x:v>
      </x:c>
      <x:c r="F1081" s="22" t="str">
        <x:v>P-064</x:v>
      </x:c>
    </x:row>
    <x:row r="1082" ht="70" customHeight="1">
      <x:c r="A1082" s="22" t="str">
        <x:v>Cruce ETL</x:v>
      </x:c>
      <x:c r="B1082" s="22" t="str">
        <x:v>M-0365</x:v>
      </x:c>
      <x:c r="C1082" s="29" t="str"/>
      <x:c r="D1082" s="32" t="str">
        <x:v>Aviso de monto unido a ficha, sin nuevo cobro</x:v>
      </x:c>
      <x:c r="E1082" s="22" t="str">
        <x:v>Chat</x:v>
      </x:c>
      <x:c r="F1082" s="22" t="str">
        <x:v>P-068</x:v>
      </x:c>
    </x:row>
    <x:row r="1083" ht="70" customHeight="1">
      <x:c r="A1083" s="22" t="str">
        <x:v>Cruce ETL</x:v>
      </x:c>
      <x:c r="B1083" s="22" t="str">
        <x:v>M-0367</x:v>
      </x:c>
      <x:c r="C1083" s="29" t="str"/>
      <x:c r="D1083" s="32" t="str">
        <x:v>Aviso de monto unido a ficha, sin nuevo cobro</x:v>
      </x:c>
      <x:c r="E1083" s="22" t="str">
        <x:v>Chat</x:v>
      </x:c>
      <x:c r="F1083" s="22" t="str">
        <x:v>P-069</x:v>
      </x:c>
    </x:row>
    <x:row r="1084" ht="70" customHeight="1">
      <x:c r="A1084" s="22" t="str">
        <x:v>Cruce ETL</x:v>
      </x:c>
      <x:c r="B1084" s="22" t="str">
        <x:v>M-0370</x:v>
      </x:c>
      <x:c r="C1084" s="29" t="str"/>
      <x:c r="D1084" s="32" t="str">
        <x:v>Aviso de monto unido a ficha, sin nuevo cobro</x:v>
      </x:c>
      <x:c r="E1084" s="22" t="str">
        <x:v>Chat</x:v>
      </x:c>
      <x:c r="F1084" s="22" t="str">
        <x:v>P-070</x:v>
      </x:c>
    </x:row>
    <x:row r="1085" ht="70" customHeight="1">
      <x:c r="A1085" s="22" t="str">
        <x:v>Cruce ETL</x:v>
      </x:c>
      <x:c r="B1085" s="22" t="str">
        <x:v>M-0420</x:v>
      </x:c>
      <x:c r="C1085" s="29" t="str"/>
      <x:c r="D1085" s="32" t="str">
        <x:v>Aviso de monto unido a ficha, sin nuevo cobro</x:v>
      </x:c>
      <x:c r="E1085" s="22" t="str">
        <x:v>Chat</x:v>
      </x:c>
      <x:c r="F1085" s="22" t="str">
        <x:v>P-071</x:v>
      </x:c>
    </x:row>
    <x:row r="1086" ht="70" customHeight="1">
      <x:c r="A1086" s="22" t="str">
        <x:v>Cruce ETL</x:v>
      </x:c>
      <x:c r="B1086" s="22" t="str">
        <x:v>M-0321</x:v>
      </x:c>
      <x:c r="C1086" s="29" t="str"/>
      <x:c r="D1086" s="32" t="str">
        <x:v>Anticipo único vinculado a V-055</x:v>
      </x:c>
      <x:c r="E1086" s="22" t="str">
        <x:v>Inicial</x:v>
      </x:c>
      <x:c r="F1086" s="22" t="str">
        <x:v>P-072</x:v>
      </x:c>
    </x:row>
    <x:row r="1087" ht="70" customHeight="1">
      <x:c r="A1087" s="22" t="str">
        <x:v>Cruce ETL</x:v>
      </x:c>
      <x:c r="B1087" s="22" t="str">
        <x:v>M-0323</x:v>
      </x:c>
      <x:c r="C1087" s="29" t="str"/>
      <x:c r="D1087" s="32" t="str">
        <x:v>Anticipo único vinculado a V-057</x:v>
      </x:c>
      <x:c r="E1087" s="22" t="str">
        <x:v>Inicial</x:v>
      </x:c>
      <x:c r="F1087" s="22" t="str">
        <x:v>P-073</x:v>
      </x:c>
    </x:row>
    <x:row r="1088" ht="70" customHeight="1">
      <x:c r="A1088" s="22" t="str">
        <x:v>Cruce ETL</x:v>
      </x:c>
      <x:c r="B1088" s="22" t="str">
        <x:v>M-0325</x:v>
      </x:c>
      <x:c r="C1088" s="29" t="str"/>
      <x:c r="D1088" s="32" t="str">
        <x:v>Anticipo único vinculado a V-059</x:v>
      </x:c>
      <x:c r="E1088" s="22" t="str">
        <x:v>Inicial</x:v>
      </x:c>
      <x:c r="F1088" s="22" t="str">
        <x:v>P-074</x:v>
      </x:c>
    </x:row>
    <x:row r="1089" ht="70" customHeight="1">
      <x:c r="A1089" s="22" t="str">
        <x:v>Cruce ETL</x:v>
      </x:c>
      <x:c r="B1089" s="22" t="str">
        <x:v>M-0090</x:v>
      </x:c>
      <x:c r="C1089" s="29" t="str"/>
      <x:c r="D1089" s="32" t="str">
        <x:v>Aviso conservado sin duplicar cobro</x:v>
      </x:c>
      <x:c r="E1089" s="22" t="str">
        <x:v>Chat</x:v>
      </x:c>
      <x:c r="F1089" s="22" t="str">
        <x:v>P-018</x:v>
      </x:c>
    </x:row>
    <x:row r="1090" ht="70" customHeight="1">
      <x:c r="A1090" s="22" t="str">
        <x:v>Cruce ETL</x:v>
      </x:c>
      <x:c r="B1090" s="22" t="str">
        <x:v>M-0250</x:v>
      </x:c>
      <x:c r="C1090" s="29" t="str"/>
      <x:c r="D1090" s="32" t="str">
        <x:v>Aviso conservado sin duplicar cobro</x:v>
      </x:c>
      <x:c r="E1090" s="22" t="str">
        <x:v>Chat</x:v>
      </x:c>
      <x:c r="F1090" s="22" t="str">
        <x:v>P-043</x:v>
      </x:c>
    </x:row>
    <x:row r="1091" ht="70" customHeight="1">
      <x:c r="A1091" s="22" t="str">
        <x:v>Cruce ETL</x:v>
      </x:c>
      <x:c r="B1091" s="22" t="str">
        <x:v>M-0273</x:v>
      </x:c>
      <x:c r="C1091" s="29" t="str"/>
      <x:c r="D1091" s="32" t="str">
        <x:v>Aviso único recuperado</x:v>
      </x:c>
      <x:c r="E1091" s="22" t="str">
        <x:v>Chat</x:v>
      </x:c>
      <x:c r="F1091" s="22" t="str">
        <x:v>P-075</x:v>
      </x:c>
    </x:row>
    <x:row r="1092" ht="70" customHeight="1">
      <x:c r="A1092" s="22" t="str">
        <x:v>Cruce ETL</x:v>
      </x:c>
      <x:c r="B1092" s="22" t="str">
        <x:v>M-0358</x:v>
      </x:c>
      <x:c r="C1092" s="29" t="str"/>
      <x:c r="D1092" s="32" t="str">
        <x:v>Cobro pendiente de asignación</x:v>
      </x:c>
      <x:c r="E1092" s="22" t="str">
        <x:v>Chat</x:v>
      </x:c>
      <x:c r="F1092" s="22" t="str">
        <x:v>P-076</x:v>
      </x:c>
    </x:row>
    <x:row r="1093" ht="70" customHeight="1">
      <x:c r="A1093" s="22" t="str">
        <x:v>Cruce ETL</x:v>
      </x:c>
      <x:c r="B1093" s="22" t="str">
        <x:v>M-0363</x:v>
      </x:c>
      <x:c r="C1093" s="29" t="str"/>
      <x:c r="D1093" s="32" t="str">
        <x:v>Aviso 35$ agrupado; tres fichas, sin duplicar</x:v>
      </x:c>
      <x:c r="E1093" s="22" t="str">
        <x:v>Chat</x:v>
      </x:c>
      <x:c r="F1093" s="22" t="str">
        <x:v>PAGOS</x:v>
      </x:c>
    </x:row>
    <x:row r="1094" ht="70" customHeight="1">
      <x:c r="A1094" s="22" t="str">
        <x:v>Cruce ETL</x:v>
      </x:c>
      <x:c r="B1094" s="22" t="str">
        <x:v>M-0385</x:v>
      </x:c>
      <x:c r="C1094" s="29" t="str"/>
      <x:c r="D1094" s="32" t="str">
        <x:v>Importe sin vínculo único</x:v>
      </x:c>
      <x:c r="E1094" s="22" t="str">
        <x:v>Chat</x:v>
      </x:c>
      <x:c r="F1094" s="22" t="str">
        <x:v>P-077</x:v>
      </x:c>
    </x:row>
    <x:row r="1095" ht="70" customHeight="1">
      <x:c r="A1095" s="22" t="str">
        <x:v>Cruce ETL</x:v>
      </x:c>
      <x:c r="B1095" s="22" t="str">
        <x:v>TOP QUALITY!30</x:v>
      </x:c>
      <x:c r="C1095" s="29" t="str"/>
      <x:c r="D1095" s="32" t="str">
        <x:v>Nombre equivalente consolidado</x:v>
      </x:c>
      <x:c r="E1095" s="22" t="str">
        <x:v>Catálogo</x:v>
      </x:c>
      <x:c r="F1095" s="22" t="str">
        <x:v>TQ-018</x:v>
      </x:c>
    </x:row>
    <x:row r="1096" ht="70" customHeight="1">
      <x:c r="A1096" s="22" t="str">
        <x:v>Cruce ETL</x:v>
      </x:c>
      <x:c r="B1096" s="22" t="str">
        <x:v>TOP QUALITY!32</x:v>
      </x:c>
      <x:c r="C1096" s="29" t="str"/>
      <x:c r="D1096" s="32" t="str">
        <x:v>Nombre equivalente consolidado</x:v>
      </x:c>
      <x:c r="E1096" s="22" t="str">
        <x:v>Catálogo</x:v>
      </x:c>
      <x:c r="F1096" s="22" t="str">
        <x:v>TQ-016</x:v>
      </x:c>
    </x:row>
    <x:row r="1097" ht="70" customHeight="1">
      <x:c r="A1097" s="22" t="str">
        <x:v>Cruce ETL</x:v>
      </x:c>
      <x:c r="B1097" s="22" t="str">
        <x:v>TOP QUALITY!42</x:v>
      </x:c>
      <x:c r="C1097" s="29" t="str"/>
      <x:c r="D1097" s="32" t="str">
        <x:v>Nombre equivalente consolidado</x:v>
      </x:c>
      <x:c r="E1097" s="22" t="str">
        <x:v>Catálogo</x:v>
      </x:c>
      <x:c r="F1097" s="22" t="str">
        <x:v>TQ-013</x:v>
      </x:c>
    </x:row>
    <x:row r="1098" ht="70" customHeight="1">
      <x:c r="A1098" s="22" t="str">
        <x:v>Cruce ETL</x:v>
      </x:c>
      <x:c r="B1098" s="22" t="str">
        <x:v>TOP QUALITY!65</x:v>
      </x:c>
      <x:c r="C1098" s="29" t="str"/>
      <x:c r="D1098" s="32" t="str">
        <x:v>Nombre equivalente consolidado</x:v>
      </x:c>
      <x:c r="E1098" s="22" t="str">
        <x:v>Catálogo</x:v>
      </x:c>
      <x:c r="F1098" s="22" t="str">
        <x:v>TQ-014</x:v>
      </x:c>
    </x:row>
    <x:row r="1099" ht="70" customHeight="1">
      <x:c r="A1099" s="22" t="str">
        <x:v>Cruce ETL</x:v>
      </x:c>
      <x:c r="B1099" s="22" t="str">
        <x:v>TOP QUALITY!111</x:v>
      </x:c>
      <x:c r="C1099" s="29" t="str"/>
      <x:c r="D1099" s="32" t="str">
        <x:v>Nombre equivalente consolidado</x:v>
      </x:c>
      <x:c r="E1099" s="22" t="str">
        <x:v>Catálogo</x:v>
      </x:c>
      <x:c r="F1099" s="22" t="str">
        <x:v>TQ-003</x:v>
      </x:c>
    </x:row>
    <x:row r="1100" ht="70" customHeight="1">
      <x:c r="A1100" s="22" t="str">
        <x:v>Cruce ETL</x:v>
      </x:c>
      <x:c r="B1100" s="22" t="str">
        <x:v>TOP QUALITY!113</x:v>
      </x:c>
      <x:c r="C1100" s="29" t="str"/>
      <x:c r="D1100" s="32" t="str">
        <x:v>Nombre equivalente consolidado</x:v>
      </x:c>
      <x:c r="E1100" s="22" t="str">
        <x:v>Catálogo</x:v>
      </x:c>
      <x:c r="F1100" s="22" t="str">
        <x:v>TQ-001</x:v>
      </x:c>
    </x:row>
    <x:row r="1101" ht="70" customHeight="1">
      <x:c r="A1101" s="22" t="str">
        <x:v>Cruce ETL</x:v>
      </x:c>
      <x:c r="B1101" s="22" t="str">
        <x:v>TOP QUALITY!124</x:v>
      </x:c>
      <x:c r="C1101" s="29" t="str"/>
      <x:c r="D1101" s="32" t="str">
        <x:v>Nombre equivalente consolidado</x:v>
      </x:c>
      <x:c r="E1101" s="22" t="str">
        <x:v>Catálogo</x:v>
      </x:c>
      <x:c r="F1101" s="22" t="str">
        <x:v>TQ-019</x:v>
      </x:c>
    </x:row>
    <x:row r="1102" ht="70" customHeight="1">
      <x:c r="A1102" s="22" t="str">
        <x:v>Cruce ETL</x:v>
      </x:c>
      <x:c r="B1102" s="22" t="str">
        <x:v>TOP QUALITY!125</x:v>
      </x:c>
      <x:c r="C1102" s="29" t="str"/>
      <x:c r="D1102" s="32" t="str">
        <x:v>Nombre equivalente consolidado</x:v>
      </x:c>
      <x:c r="E1102" s="22" t="str">
        <x:v>Catálogo</x:v>
      </x:c>
      <x:c r="F1102" s="22" t="str">
        <x:v>TQ-002</x:v>
      </x:c>
    </x:row>
    <x:row r="1103" ht="70" customHeight="1">
      <x:c r="A1103" s="22" t="str">
        <x:v>Cruce ETL</x:v>
      </x:c>
      <x:c r="B1103" s="22" t="str">
        <x:v>TOP QUALITY!127</x:v>
      </x:c>
      <x:c r="C1103" s="29" t="str"/>
      <x:c r="D1103" s="32" t="str">
        <x:v>Nombre equivalente consolidado</x:v>
      </x:c>
      <x:c r="E1103" s="22" t="str">
        <x:v>Catálogo</x:v>
      </x:c>
      <x:c r="F1103" s="22" t="str">
        <x:v>TQ-002</x:v>
      </x:c>
    </x:row>
    <x:row r="1104" ht="70" customHeight="1">
      <x:c r="A1104" s="22" t="str">
        <x:v>Cruce ETL</x:v>
      </x:c>
      <x:c r="B1104" s="22" t="str">
        <x:v>TOP QUALITY!160</x:v>
      </x:c>
      <x:c r="C1104" s="29" t="str"/>
      <x:c r="D1104" s="32" t="str">
        <x:v>Nombre equivalente consolidado</x:v>
      </x:c>
      <x:c r="E1104" s="22" t="str">
        <x:v>Catálogo</x:v>
      </x:c>
      <x:c r="F1104" s="22" t="str">
        <x:v>TQ-007</x:v>
      </x:c>
    </x:row>
    <x:row r="1105" ht="70" customHeight="1">
      <x:c r="A1105" s="22" t="str">
        <x:v>Cruce ETL</x:v>
      </x:c>
      <x:c r="B1105" s="22" t="str">
        <x:v>TOP QUALITY!175</x:v>
      </x:c>
      <x:c r="C1105" s="29" t="str"/>
      <x:c r="D1105" s="32" t="str">
        <x:v>Nombre equivalente consolidado</x:v>
      </x:c>
      <x:c r="E1105" s="22" t="str">
        <x:v>Catálogo</x:v>
      </x:c>
      <x:c r="F1105" s="22" t="str">
        <x:v>TQ-011</x:v>
      </x:c>
    </x:row>
    <x:row r="1106" ht="70" customHeight="1">
      <x:c r="A1106" s="22" t="str">
        <x:v>Cruce ETL</x:v>
      </x:c>
      <x:c r="B1106" s="22" t="str">
        <x:v>TOP QUALITY!179</x:v>
      </x:c>
      <x:c r="C1106" s="29" t="str"/>
      <x:c r="D1106" s="32" t="str">
        <x:v>Nombre equivalente consolidado</x:v>
      </x:c>
      <x:c r="E1106" s="22" t="str">
        <x:v>Catálogo</x:v>
      </x:c>
      <x:c r="F1106" s="22" t="str">
        <x:v>TQ-012</x:v>
      </x:c>
    </x:row>
    <x:row r="1107" ht="70" customHeight="1">
      <x:c r="A1107" s="22" t="str">
        <x:v>Cruce ETL</x:v>
      </x:c>
      <x:c r="B1107" s="22" t="str">
        <x:v>TOP QUALITY!184</x:v>
      </x:c>
      <x:c r="C1107" s="29" t="str"/>
      <x:c r="D1107" s="32" t="str">
        <x:v>Nombre equivalente consolidado</x:v>
      </x:c>
      <x:c r="E1107" s="22" t="str">
        <x:v>Catálogo</x:v>
      </x:c>
      <x:c r="F1107" s="22" t="str">
        <x:v>TQ-008</x:v>
      </x:c>
    </x:row>
    <x:row r="1108" ht="70" customHeight="1">
      <x:c r="A1108" s="22" t="str">
        <x:v>Cruce ETL</x:v>
      </x:c>
      <x:c r="B1108" s="22" t="str">
        <x:v>TOP QUALITY!186</x:v>
      </x:c>
      <x:c r="C1108" s="29" t="str"/>
      <x:c r="D1108" s="32" t="str">
        <x:v>Nombre equivalente consolidado</x:v>
      </x:c>
      <x:c r="E1108" s="22" t="str">
        <x:v>Catálogo</x:v>
      </x:c>
      <x:c r="F1108" s="22" t="str">
        <x:v>TQ-004</x:v>
      </x:c>
    </x:row>
    <x:row r="1109" ht="70" customHeight="1">
      <x:c r="A1109" s="22" t="str">
        <x:v>Cruce ETL</x:v>
      </x:c>
      <x:c r="B1109" s="22" t="str">
        <x:v>TOP QUALITY!200</x:v>
      </x:c>
      <x:c r="C1109" s="29" t="str"/>
      <x:c r="D1109" s="32" t="str">
        <x:v>Nombre equivalente consolidado</x:v>
      </x:c>
      <x:c r="E1109" s="22" t="str">
        <x:v>Catálogo</x:v>
      </x:c>
      <x:c r="F1109" s="22" t="str">
        <x:v>TQ-009</x:v>
      </x:c>
    </x:row>
    <x:row r="1110" ht="70" customHeight="1">
      <x:c r="A1110" s="22" t="str">
        <x:v>Cruce ETL</x:v>
      </x:c>
      <x:c r="B1110" s="22" t="str">
        <x:v>TOP QUALITY!212</x:v>
      </x:c>
      <x:c r="C1110" s="29" t="str"/>
      <x:c r="D1110" s="32" t="str">
        <x:v>Nombre equivalente consolidado</x:v>
      </x:c>
      <x:c r="E1110" s="22" t="str">
        <x:v>Catálogo</x:v>
      </x:c>
      <x:c r="F1110" s="22" t="str">
        <x:v>TQ-119</x:v>
      </x:c>
    </x:row>
    <x:row r="1111" ht="70" customHeight="1">
      <x:c r="A1111" s="22" t="str">
        <x:v>Cruce ETL</x:v>
      </x:c>
      <x:c r="B1111" s="22" t="str">
        <x:v>TOP QUALITY!213</x:v>
      </x:c>
      <x:c r="C1111" s="29" t="str"/>
      <x:c r="D1111" s="32" t="str">
        <x:v>Nombre equivalente consolidado</x:v>
      </x:c>
      <x:c r="E1111" s="22" t="str">
        <x:v>Catálogo</x:v>
      </x:c>
      <x:c r="F1111" s="22" t="str">
        <x:v>TQ-026</x:v>
      </x:c>
    </x:row>
    <x:row r="1112" ht="70" customHeight="1">
      <x:c r="A1112" s="22" t="str">
        <x:v>Cruce ETL</x:v>
      </x:c>
      <x:c r="B1112" s="22" t="str">
        <x:v>M-0228</x:v>
      </x:c>
      <x:c r="C1112" s="29" t="str"/>
      <x:c r="D1112" s="32" t="str">
        <x:v>Anulación ambigua, no aplicada automáticamente</x:v>
      </x:c>
      <x:c r="E1112" s="22" t="str">
        <x:v>Chat</x:v>
      </x:c>
      <x:c r="F1112" s="22" t="str">
        <x:v>REVISION</x:v>
      </x:c>
    </x:row>
    <x:row r="1113" ht="70" customHeight="1">
      <x:c r="A1113" s="22" t="str">
        <x:v>Cruce ETL</x:v>
      </x:c>
      <x:c r="B1113" s="22" t="str">
        <x:v>M-0229</x:v>
      </x:c>
      <x:c r="C1113" s="29" t="str"/>
      <x:c r="D1113" s="32" t="str">
        <x:v>Anulación ambigua, no aplicada automáticamente</x:v>
      </x:c>
      <x:c r="E1113" s="22" t="str">
        <x:v>Chat</x:v>
      </x:c>
      <x:c r="F1113" s="22" t="str">
        <x:v>REVISION</x:v>
      </x:c>
    </x:row>
    <x:row r="1114" ht="70" customHeight="1">
      <x:c r="A1114" s="22" t="str">
        <x:v>Cruce ETL</x:v>
      </x:c>
      <x:c r="B1114" s="22" t="str">
        <x:v>M-0268</x:v>
      </x:c>
      <x:c r="C1114" s="29" t="str"/>
      <x:c r="D1114" s="32" t="str">
        <x:v>Anulación ambigua, no aplicada automáticamente</x:v>
      </x:c>
      <x:c r="E1114" s="22" t="str">
        <x:v>Chat</x:v>
      </x:c>
      <x:c r="F1114" s="22" t="str">
        <x:v>REVISION</x:v>
      </x:c>
    </x:row>
  </x:sheetData>
  <x:pageMargins left="0.7" right="0.7" top="0.75" bottom="0.75" header="0.3" footer="0.3"/>
  <x:tableParts count="1">
    <x:tablePart xmlns:r="http://schemas.openxmlformats.org/officeDocument/2006/relationships" r:id="R112b8ad5865a435b"/>
  </x:tableParts>
</x:worksheet>
</file>
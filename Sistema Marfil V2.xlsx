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ÁMETROS" sheetId="1" r:id="rId5"/>
    <sheet state="visible" name="CONTROL" sheetId="2" r:id="rId6"/>
    <sheet state="visible" name="VENTAS" sheetId="3" r:id="rId7"/>
    <sheet state="visible" name="REGISTRO DE CUOTAS" sheetId="4" r:id="rId8"/>
    <sheet state="visible" name="GASTOS Y COMPRAS" sheetId="5" r:id="rId9"/>
    <sheet state="visible" name="PRECIOS PERF ORIGINALES" sheetId="6" r:id="rId10"/>
    <sheet state="visible" name="PRECIOS PERF TOP QUALITY" sheetId="7" r:id="rId11"/>
    <sheet state="visible" name="CHANGELOG" sheetId="8" r:id="rId12"/>
  </sheets>
  <definedNames>
    <definedName name="FACTOR_DIVISA">'PARÁMETROS'!$B$5</definedName>
    <definedName name="FACTOR_BCV">'PARÁMETROS'!$B$6</definedName>
    <definedName name="DESC_REVENDEDOR">'PARÁMETROS'!$B$8</definedName>
    <definedName name="DESC_TEAM">'PARÁMETROS'!$B$7</definedName>
    <definedName hidden="1" localSheetId="2" name="_xlnm._FilterDatabase">VENTAS!$A$3:$L$57</definedName>
    <definedName hidden="1" localSheetId="3" name="_xlnm._FilterDatabase">'REGISTRO DE CUOTAS'!$A$3:$I$203</definedName>
    <definedName hidden="1" localSheetId="7" name="Z_ACCFCDA5_9BF9_4A28_A17C_DD3BBE963B0C_.wvu.FilterData">CHANGELOG!$A$3:$C$42</definedName>
    <definedName hidden="1" localSheetId="1" name="Z_FF948F2C_2C82_4FC3_A4F2_BB269AEF8BD6_.wvu.FilterData">CONTROL!$A$3:$Q$39</definedName>
    <definedName hidden="1" localSheetId="2" name="Z_CCF2047E_9C5C_4186_A5EA_E51DF214BC83_.wvu.FilterData">VENTAS!$A$3:$L$57</definedName>
    <definedName hidden="1" localSheetId="5" name="Z_DA107B34_5EC3_4939_87CA_0261B62D6BDD_.wvu.FilterData">'PRECIOS PERF ORIGINALES'!$A$3:$D$36</definedName>
    <definedName hidden="1" localSheetId="6" name="Z_22A5B242_02C7_4C6B_AD8C_2B22FB8F757D_.wvu.FilterData">'PRECIOS PERF TOP QUALITY'!$A$3:$E$215</definedName>
    <definedName hidden="1" localSheetId="4" name="Z_08827C0C_D469_480B_B52D_851A2E24F112_.wvu.FilterData">'GASTOS Y COMPRAS'!$A$3:$H$80</definedName>
  </definedNames>
  <calcPr/>
  <customWorkbookViews>
    <customWorkbookView activeSheetId="0" maximized="1" windowHeight="0" windowWidth="0" guid="{ACCFCDA5-9BF9-4A28-A17C-DD3BBE963B0C}" name="Changelog filter view"/>
    <customWorkbookView activeSheetId="0" maximized="1" windowHeight="0" windowWidth="0" guid="{FF948F2C-2C82-4FC3-A4F2-BB269AEF8BD6}" name="Control filter view"/>
    <customWorkbookView activeSheetId="0" maximized="1" windowHeight="0" windowWidth="0" guid="{CCF2047E-9C5C-4186-A5EA-E51DF214BC83}" name="Ventas filter view"/>
    <customWorkbookView activeSheetId="0" maximized="1" windowHeight="0" windowWidth="0" guid="{DA107B34-5EC3-4939-87CA-0261B62D6BDD}" name="PreciosOriginales filter view"/>
    <customWorkbookView activeSheetId="0" maximized="1" windowHeight="0" windowWidth="0" guid="{22A5B242-02C7-4C6B-AD8C-2B22FB8F757D}" name="PreciosTopQuality filter view"/>
    <customWorkbookView activeSheetId="0" maximized="1" windowHeight="0" windowWidth="0" guid="{08827C0C-D469-480B-B52D-851A2E24F112}" name="Gastos filter view"/>
  </customWorkbookViews>
</workbook>
</file>

<file path=xl/sharedStrings.xml><?xml version="1.0" encoding="utf-8"?>
<sst xmlns="http://schemas.openxmlformats.org/spreadsheetml/2006/main" count="1390" uniqueCount="660">
  <si>
    <t>PARÁMETROS DEL SISTEMA</t>
  </si>
  <si>
    <t>Editá solo estas celdas amarillas: todas las listas de precios se recalculan solas.</t>
  </si>
  <si>
    <t>Nombre definido</t>
  </si>
  <si>
    <t>Valor</t>
  </si>
  <si>
    <t>Formato</t>
  </si>
  <si>
    <t>Qué controla</t>
  </si>
  <si>
    <t>FACTOR_DIVISA</t>
  </si>
  <si>
    <t>x</t>
  </si>
  <si>
    <t>Multiplicador de costo -&gt; Precio (Divisa / tasa USDT) en PRECIOS PERF TOP QUALITY</t>
  </si>
  <si>
    <t>FACTOR_BCV</t>
  </si>
  <si>
    <t>Multiplicador de costo -&gt; Precio tasa BCV en PRECIOS PERF TOP QUALITY</t>
  </si>
  <si>
    <t>DESC_TEAM</t>
  </si>
  <si>
    <t>%</t>
  </si>
  <si>
    <t>Descuento para el team en PRECIOS PERF ORIGINALES</t>
  </si>
  <si>
    <t>REGISTRO DE CUOTAS / ABONOS</t>
  </si>
  <si>
    <t>DESC_REVENDEDOR</t>
  </si>
  <si>
    <t>Descuento para revendedores en PRECIOS PERF ORIGINALES</t>
  </si>
  <si>
    <t>Hoja reconstruida: las fórmulas de DEUDA en VENTAS ya la buscaban pero no existía. Cargá un abono por fila. CLIENTE (D) y PRODUCTO (E) deben coincidir exactamente con VENTAS.</t>
  </si>
  <si>
    <t>N°</t>
  </si>
  <si>
    <t>FECHA</t>
  </si>
  <si>
    <t>VENDEDOR</t>
  </si>
  <si>
    <t>CLIENTE</t>
  </si>
  <si>
    <t>PRODUCTO</t>
  </si>
  <si>
    <t>MONTO ABONADO ($)</t>
  </si>
  <si>
    <t>MÉTODO</t>
  </si>
  <si>
    <t>REFERENCIA</t>
  </si>
  <si>
    <t>NOTAS</t>
  </si>
  <si>
    <t>CONTROL DE PAGOS Y COBRANZA</t>
  </si>
  <si>
    <t>PAGO 1</t>
  </si>
  <si>
    <t>PAGO 2</t>
  </si>
  <si>
    <t>PAGO 3</t>
  </si>
  <si>
    <t>FECHA VENTA</t>
  </si>
  <si>
    <t>PRECIO TOTAL ($)</t>
  </si>
  <si>
    <t>MONTO Bs P1</t>
  </si>
  <si>
    <t>FECHA P1</t>
  </si>
  <si>
    <t>REFERENCIA P1</t>
  </si>
  <si>
    <t>MONTO Bs P2</t>
  </si>
  <si>
    <t>FECHA P2</t>
  </si>
  <si>
    <t>REFERENCIA P2</t>
  </si>
  <si>
    <t>MONTO Bs P3</t>
  </si>
  <si>
    <t>FECHA P3</t>
  </si>
  <si>
    <t>REFERENCIA P3</t>
  </si>
  <si>
    <t>ESTATUS</t>
  </si>
  <si>
    <t>TOTAL ABONADO Bs</t>
  </si>
  <si>
    <t>RESUMEN (dinámico)</t>
  </si>
  <si>
    <t>REGISTRO DE VENTAS</t>
  </si>
  <si>
    <t>Cristhian</t>
  </si>
  <si>
    <t>N° OPERACIÓN</t>
  </si>
  <si>
    <t>Gregory</t>
  </si>
  <si>
    <t>Very Good Girl</t>
  </si>
  <si>
    <t>GASTOS Y COMPRAS — ENTRADAS DE COMPRA</t>
  </si>
  <si>
    <t>El original era texto libre en una sola columna. Aquí cada línea queda tipificada; la columna TEXTO ORIGINAL conserva lo escrito, palabra por palabra.</t>
  </si>
  <si>
    <t>5863</t>
  </si>
  <si>
    <t>LOTE</t>
  </si>
  <si>
    <t>PRECIO VENTA ($)</t>
  </si>
  <si>
    <t>9442</t>
  </si>
  <si>
    <t>FECHA LOTE</t>
  </si>
  <si>
    <t>COSTO ($)</t>
  </si>
  <si>
    <t>TIPO</t>
  </si>
  <si>
    <t>DESCRIPCIÓN</t>
  </si>
  <si>
    <t>GANANCIA ($)</t>
  </si>
  <si>
    <t>MONTO ($)</t>
  </si>
  <si>
    <t>MARGEN</t>
  </si>
  <si>
    <t>MONTO Bs</t>
  </si>
  <si>
    <t>MONEDA</t>
  </si>
  <si>
    <t>YA PAGO</t>
  </si>
  <si>
    <t>CANAL</t>
  </si>
  <si>
    <t>TEXTO ORIGINAL</t>
  </si>
  <si>
    <t>ABONADO ($)</t>
  </si>
  <si>
    <t>CONTROL POR LOTE — declarado vs. suma de ítems</t>
  </si>
  <si>
    <t>DEUDA ($)</t>
  </si>
  <si>
    <t>Lote 19/06/2026</t>
  </si>
  <si>
    <t>ENCABEZADO</t>
  </si>
  <si>
    <t>Operaciones registradas</t>
  </si>
  <si>
    <t>BINANCE</t>
  </si>
  <si>
    <t xml:space="preserve">19.6.2026 TASA BINANCE </t>
  </si>
  <si>
    <t>Amarista</t>
  </si>
  <si>
    <t>SUMA ÍTEMS ($)</t>
  </si>
  <si>
    <t>SUBTOTAL DECLARADO ($)</t>
  </si>
  <si>
    <t>Khamrah Qahwa</t>
  </si>
  <si>
    <t>DIFERENCIA</t>
  </si>
  <si>
    <t>6585</t>
  </si>
  <si>
    <t>ÍTEM</t>
  </si>
  <si>
    <t>5675</t>
  </si>
  <si>
    <t>ARTISTO</t>
  </si>
  <si>
    <t>ARTISTO   20$</t>
  </si>
  <si>
    <t>Yara Fem</t>
  </si>
  <si>
    <t>Total en Ventas ($)</t>
  </si>
  <si>
    <t>Fernanda</t>
  </si>
  <si>
    <t>Ángel</t>
  </si>
  <si>
    <t>Bharara King</t>
  </si>
  <si>
    <t>5135</t>
  </si>
  <si>
    <t>7366</t>
  </si>
  <si>
    <t>CLUB DE NUIT URBAN</t>
  </si>
  <si>
    <t>CLUB DE NUIT URBAN  13$</t>
  </si>
  <si>
    <t>Lote 26/06/2026</t>
  </si>
  <si>
    <t>Total abonado en Bs</t>
  </si>
  <si>
    <t>BCV</t>
  </si>
  <si>
    <t>BAHARARA KING</t>
  </si>
  <si>
    <t>Ricardo</t>
  </si>
  <si>
    <t>Universe</t>
  </si>
  <si>
    <t>BAHARARA KING 20$</t>
  </si>
  <si>
    <t>Lote 01/07/2026</t>
  </si>
  <si>
    <t>9373</t>
  </si>
  <si>
    <t>YARA FEM</t>
  </si>
  <si>
    <t>1008</t>
  </si>
  <si>
    <t>YARA FEM 13$</t>
  </si>
  <si>
    <t>Lote 08/08/2026</t>
  </si>
  <si>
    <t>542</t>
  </si>
  <si>
    <t>Ventas registradas</t>
  </si>
  <si>
    <t>YARA MOI</t>
  </si>
  <si>
    <t xml:space="preserve">  · Pago 1 (Bs)</t>
  </si>
  <si>
    <t>YARA MOI 13$</t>
  </si>
  <si>
    <t>Lote 10/08/2026</t>
  </si>
  <si>
    <t>Norelvis</t>
  </si>
  <si>
    <t>Cloud</t>
  </si>
  <si>
    <t>KHAMRA QAWA</t>
  </si>
  <si>
    <t>8447</t>
  </si>
  <si>
    <t>KHAMRA QAWA 20 $</t>
  </si>
  <si>
    <t>Lote 12/06/2026</t>
  </si>
  <si>
    <t>4494</t>
  </si>
  <si>
    <t>SUBTOTAL</t>
  </si>
  <si>
    <t xml:space="preserve">  · Pago 2 (Bs)</t>
  </si>
  <si>
    <t>Subtotal declarado del lote</t>
  </si>
  <si>
    <t>Anderson</t>
  </si>
  <si>
    <t>Total Ventas ($)</t>
  </si>
  <si>
    <t>TOTAL 99$ BINANCE</t>
  </si>
  <si>
    <t>212 Vip</t>
  </si>
  <si>
    <t>PEDIDO CARACAS LUKA STORE</t>
  </si>
  <si>
    <t>172</t>
  </si>
  <si>
    <t>Khamarah Qahwa</t>
  </si>
  <si>
    <t>2830</t>
  </si>
  <si>
    <t>5001</t>
  </si>
  <si>
    <t xml:space="preserve">26.06.2026 TASA BINANCE </t>
  </si>
  <si>
    <t>Lote 12/08/2026</t>
  </si>
  <si>
    <t xml:space="preserve">  · Pago 3 (Bs)</t>
  </si>
  <si>
    <t>Marbella</t>
  </si>
  <si>
    <t>CLOUD</t>
  </si>
  <si>
    <t>Yara Moi</t>
  </si>
  <si>
    <t>CLOUD  12 $</t>
  </si>
  <si>
    <t>1469</t>
  </si>
  <si>
    <t>TOTAL GENERAL (ítems)</t>
  </si>
  <si>
    <t>6675</t>
  </si>
  <si>
    <t>Fecha pago 3 anotada como «listo»</t>
  </si>
  <si>
    <t>Costo Total ($)</t>
  </si>
  <si>
    <t>Operaciones YA PAGO</t>
  </si>
  <si>
    <t>Polanco</t>
  </si>
  <si>
    <t>GOOD GIRL VERY</t>
  </si>
  <si>
    <t>Club de Nuit</t>
  </si>
  <si>
    <t>GOOD GIRL VERY 9.50$</t>
  </si>
  <si>
    <t>Otros gastos ($) — líneas «GASTO»</t>
  </si>
  <si>
    <t>9023</t>
  </si>
  <si>
    <t>2736</t>
  </si>
  <si>
    <t>ULTRA MALE</t>
  </si>
  <si>
    <t>ULTRA MALE 9.50$</t>
  </si>
  <si>
    <t>Gasto total en Bs registrado</t>
  </si>
  <si>
    <t>Operaciones PENDIENTE</t>
  </si>
  <si>
    <t>Honor y Glory</t>
  </si>
  <si>
    <t>SWISS ARMY</t>
  </si>
  <si>
    <t>5460</t>
  </si>
  <si>
    <t>SWISS ARMY 9.50$</t>
  </si>
  <si>
    <t>TOTAL COMPRAS + GASTOS ($)</t>
  </si>
  <si>
    <t>2165</t>
  </si>
  <si>
    <t>Ganancia Total ($)</t>
  </si>
  <si>
    <t>Operaciones sin estatus</t>
  </si>
  <si>
    <t>360 9.50$</t>
  </si>
  <si>
    <t>SCANDAL</t>
  </si>
  <si>
    <t>Llovera</t>
  </si>
  <si>
    <t>Club de Nuit Urban Elixir</t>
  </si>
  <si>
    <t>Eros Men</t>
  </si>
  <si>
    <t>SCANDAL 9.50$</t>
  </si>
  <si>
    <t>Belisario</t>
  </si>
  <si>
    <t>1911</t>
  </si>
  <si>
    <t>BAD BOY</t>
  </si>
  <si>
    <t>BAD BOY 9.50$</t>
  </si>
  <si>
    <t>Operaciones sin ningún abono</t>
  </si>
  <si>
    <t>TOMMY</t>
  </si>
  <si>
    <t>TOMMY 9.50$</t>
  </si>
  <si>
    <t>Club de Nuit Urban</t>
  </si>
  <si>
    <t>Margen promedio</t>
  </si>
  <si>
    <t>INVICTUS</t>
  </si>
  <si>
    <t>7099</t>
  </si>
  <si>
    <t>INVICTUS 9.50$</t>
  </si>
  <si>
    <t>VIP</t>
  </si>
  <si>
    <t>PENDIENTE</t>
  </si>
  <si>
    <t>212 VIP 9.50$</t>
  </si>
  <si>
    <t>EROS MEN</t>
  </si>
  <si>
    <t>EROS MEN 9.50$</t>
  </si>
  <si>
    <t>7014</t>
  </si>
  <si>
    <t>AGUA DI DIO</t>
  </si>
  <si>
    <t>9323</t>
  </si>
  <si>
    <t xml:space="preserve">AGUA DI DIO 9.50$ </t>
  </si>
  <si>
    <t>HONOR Y GLORY</t>
  </si>
  <si>
    <t>Total Divisas Pagadas ($) — captura manual</t>
  </si>
  <si>
    <t>Total Abonado ($)</t>
  </si>
  <si>
    <t>HONOR Y GLORY 17$</t>
  </si>
  <si>
    <t>Aqua Dubai</t>
  </si>
  <si>
    <t>Very Good Grul</t>
  </si>
  <si>
    <t>Cristihan</t>
  </si>
  <si>
    <t>8770</t>
  </si>
  <si>
    <t>546</t>
  </si>
  <si>
    <t>9686</t>
  </si>
  <si>
    <t>UNIVERSE</t>
  </si>
  <si>
    <t>No existe columna de abonos en $ en la hoja, así que este total sigue siendo un valor escrito a mano (venía del original).</t>
  </si>
  <si>
    <t>UNIVERSE 20$</t>
  </si>
  <si>
    <t>Ivana</t>
  </si>
  <si>
    <t>Total por Cobrar ($)</t>
  </si>
  <si>
    <t>La Bomba</t>
  </si>
  <si>
    <t>KHANRAH</t>
  </si>
  <si>
    <t>Honor y glory</t>
  </si>
  <si>
    <t>KHANRAH 20$</t>
  </si>
  <si>
    <t>CLUB DE NUIT</t>
  </si>
  <si>
    <t>LISTA DE PRECIOS — PERFUMES ORIGINALES</t>
  </si>
  <si>
    <t>Los descuentos salen de PARÁMETROS (DESC_TEAM / DESC_REVENDEDOR). Solo se edita el Precio Original.</t>
  </si>
  <si>
    <t>CLUB DE NUIT 12$</t>
  </si>
  <si>
    <t>PENDIENTE (SIN ABONOS)</t>
  </si>
  <si>
    <t>ASAD BOURBOM</t>
  </si>
  <si>
    <t>PRECIO ORIGINAL ($)</t>
  </si>
  <si>
    <t>Reinel</t>
  </si>
  <si>
    <t>PRECIO TEAM ($)</t>
  </si>
  <si>
    <t>ASAD BOURBOM 13$</t>
  </si>
  <si>
    <t>Hidelberg</t>
  </si>
  <si>
    <t>PRECIO REVENDEDOR ($)</t>
  </si>
  <si>
    <t>212 NYC</t>
  </si>
  <si>
    <t>A.Banderas, black seduction</t>
  </si>
  <si>
    <t>LA BOMBA</t>
  </si>
  <si>
    <t>4795</t>
  </si>
  <si>
    <t>LA BOMBA 17$</t>
  </si>
  <si>
    <t>Ventas con pérdida</t>
  </si>
  <si>
    <t xml:space="preserve">TOTAL  236$ BINANCE </t>
  </si>
  <si>
    <t>Valores sueltos hallados en C64/D64 del archivo original (estaban dentro de la fila de totales, sin etiqueta):</t>
  </si>
  <si>
    <t>Mirleidy</t>
  </si>
  <si>
    <t xml:space="preserve">1.07.2026 </t>
  </si>
  <si>
    <t>360</t>
  </si>
  <si>
    <t>cloud</t>
  </si>
  <si>
    <t>MEN</t>
  </si>
  <si>
    <t>212 MEN 12$</t>
  </si>
  <si>
    <t>HARAMAIN AQUA DUBAI</t>
  </si>
  <si>
    <t>Precio anotado como «12 MY» | Pago 1 anotado como «12 EFECTIVO» (no es un monto en Bs)</t>
  </si>
  <si>
    <t>HARAMAIN AQUA DUBAI 18$</t>
  </si>
  <si>
    <t>C64</t>
  </si>
  <si>
    <t>A. Banderas, Blue seduction</t>
  </si>
  <si>
    <t>ASAD BORBOM</t>
  </si>
  <si>
    <t>TOTAL  30$ TASA BINANCE</t>
  </si>
  <si>
    <t>A. Banderas, The Golden secret</t>
  </si>
  <si>
    <t>la bomba</t>
  </si>
  <si>
    <t>08/08/2026</t>
  </si>
  <si>
    <t>Precio anotado como «16 MY» | Pago 1 anotado como «16 EFECTIVO» (no es un monto en Bs)</t>
  </si>
  <si>
    <t>FANTASY</t>
  </si>
  <si>
    <t>D64</t>
  </si>
  <si>
    <t>FANTASY  12$</t>
  </si>
  <si>
    <t>A. Banderas the icon</t>
  </si>
  <si>
    <t>AQUA DI GIO</t>
  </si>
  <si>
    <t>1826</t>
  </si>
  <si>
    <t>«Total Abonado» sale de la hoja REGISTRO DE CUOTAS, hoy vacía: hasta que se carguen los abonos, la deuda mostrada es el precio completo.</t>
  </si>
  <si>
    <t>AQUA DI GIO 12$</t>
  </si>
  <si>
    <t>5170</t>
  </si>
  <si>
    <t>A. Banderas The Icon (Black)</t>
  </si>
  <si>
    <t>ARIANA GRANDE CLOUD</t>
  </si>
  <si>
    <t>ARIANA GRANDE CLOUD 12$</t>
  </si>
  <si>
    <t>ASAD</t>
  </si>
  <si>
    <t>Afnan, 9pm</t>
  </si>
  <si>
    <t>ASAD 12$</t>
  </si>
  <si>
    <t>YARA ELIXIR</t>
  </si>
  <si>
    <t>212Vip</t>
  </si>
  <si>
    <t>Ariana grande, CLOUD</t>
  </si>
  <si>
    <t>YARA ELIXIR 12$</t>
  </si>
  <si>
    <t>VIP MEN</t>
  </si>
  <si>
    <t>212 VIP MEN 12$</t>
  </si>
  <si>
    <t>2265</t>
  </si>
  <si>
    <t>Armaf, club de nuit iconic</t>
  </si>
  <si>
    <t>EROS FLAME</t>
  </si>
  <si>
    <t>EROS FLAME 12$</t>
  </si>
  <si>
    <t>LE LABO SANTAL</t>
  </si>
  <si>
    <t>Adolfito</t>
  </si>
  <si>
    <t>LE LABO SANTAL 33 12$</t>
  </si>
  <si>
    <t>Armaf, Club de nuit intense man</t>
  </si>
  <si>
    <t>1103</t>
  </si>
  <si>
    <t>SAUVAGE DIOR</t>
  </si>
  <si>
    <t>SAUVAGE DIOR 12$</t>
  </si>
  <si>
    <t>TOMY MEN</t>
  </si>
  <si>
    <t>Rafael</t>
  </si>
  <si>
    <t>TOMY MEN 12$</t>
  </si>
  <si>
    <t>ASAD BOURBOND</t>
  </si>
  <si>
    <t>666</t>
  </si>
  <si>
    <t>8343</t>
  </si>
  <si>
    <t>Armaf, Club de nuit Urban man</t>
  </si>
  <si>
    <t>ASAD BOURBOND 12$</t>
  </si>
  <si>
    <t>BHARARA BLUE</t>
  </si>
  <si>
    <t>BHARARA BLUE 18$</t>
  </si>
  <si>
    <t>Armaf, club de nuit woman</t>
  </si>
  <si>
    <t>POLO BLUE</t>
  </si>
  <si>
    <t>EROS MEN VERSACHE</t>
  </si>
  <si>
    <t>POLO BLUE 12$</t>
  </si>
  <si>
    <t>Armaf, Odyssey marshmallow</t>
  </si>
  <si>
    <t>MANDARIN SKY</t>
  </si>
  <si>
    <t>Melany</t>
  </si>
  <si>
    <t>MANDARIN SKY 14$</t>
  </si>
  <si>
    <t>Benetton, Colors cold</t>
  </si>
  <si>
    <t>TASA BINANCE 176$</t>
  </si>
  <si>
    <t>Gregor</t>
  </si>
  <si>
    <t>Benetton, Colors Man black</t>
  </si>
  <si>
    <t>10/08/2026</t>
  </si>
  <si>
    <t>DECANST</t>
  </si>
  <si>
    <t>DECANST 1$</t>
  </si>
  <si>
    <t>Precio anotado como «18 GM»</t>
  </si>
  <si>
    <t>Benetton, Colors Man Blue</t>
  </si>
  <si>
    <t>MANDARIN SKY 15$</t>
  </si>
  <si>
    <t>Benetton, Colors TDH</t>
  </si>
  <si>
    <t>Precio anotado como «12 GM»</t>
  </si>
  <si>
    <t>Juan Herrade</t>
  </si>
  <si>
    <t>Sauvage Dior</t>
  </si>
  <si>
    <t>SAUVAGE DIOR 13$</t>
  </si>
  <si>
    <t>Benetton, Colors woman rose</t>
  </si>
  <si>
    <t>Victorinox swis army</t>
  </si>
  <si>
    <t>Ricardo Palacios</t>
  </si>
  <si>
    <t>Eros Flame</t>
  </si>
  <si>
    <t>ACQUA DI GIO</t>
  </si>
  <si>
    <t>ACQUA DI GIO 13$</t>
  </si>
  <si>
    <t>Bharara queen</t>
  </si>
  <si>
    <t>Mandarin Sky</t>
  </si>
  <si>
    <t>CKIN2U</t>
  </si>
  <si>
    <t xml:space="preserve"> TASA BINANCE 109$</t>
  </si>
  <si>
    <t>Jeferson Mejias</t>
  </si>
  <si>
    <t>BHARARA KING</t>
  </si>
  <si>
    <t>12/06/2026</t>
  </si>
  <si>
    <t>CKIN2U men</t>
  </si>
  <si>
    <t>CLUD DE NUIT INTENSE</t>
  </si>
  <si>
    <t>CLUD DE NUIT INTENSE 15$</t>
  </si>
  <si>
    <t>Apostol</t>
  </si>
  <si>
    <t>Guess night</t>
  </si>
  <si>
    <t>TASA BINANCE 15$</t>
  </si>
  <si>
    <t>7526</t>
  </si>
  <si>
    <t xml:space="preserve">PEDIDO CARACAS LUKA STORE </t>
  </si>
  <si>
    <t>Guess seductive Homme Blue</t>
  </si>
  <si>
    <t>Hade Mirleidy</t>
  </si>
  <si>
    <t>SCANDAL  9.10$</t>
  </si>
  <si>
    <t>Issey Miyake Duo Nomade</t>
  </si>
  <si>
    <t>Luis Sequera</t>
  </si>
  <si>
    <t>Lattafa Yara Elixir</t>
  </si>
  <si>
    <t>ISSEY MIYAKE</t>
  </si>
  <si>
    <t>ISSEY MIYAKE 7.50$</t>
  </si>
  <si>
    <t>Ricardo Gomez</t>
  </si>
  <si>
    <t>Nautica CLASSIC</t>
  </si>
  <si>
    <t>4657</t>
  </si>
  <si>
    <t>CLUD DE NUIT MALEKA</t>
  </si>
  <si>
    <t>Precio anotado como «19 usdt P.M»</t>
  </si>
  <si>
    <t>CLUD DE NUIT MALEKA 9.10$</t>
  </si>
  <si>
    <t>Nautica Pure Blue</t>
  </si>
  <si>
    <t>Cristhian Gonzales</t>
  </si>
  <si>
    <t>9PM REBEL ORIGINAL</t>
  </si>
  <si>
    <t>INVICTUS 7.35$</t>
  </si>
  <si>
    <t>Nautica voyage sport</t>
  </si>
  <si>
    <t>TASA BINANCE 59 $</t>
  </si>
  <si>
    <t>ODYSSEY MANDARIN SKY ELIXIR DE</t>
  </si>
  <si>
    <t>GASTO</t>
  </si>
  <si>
    <t>GASTO ENVÍO PEDIDO DE CARACAS</t>
  </si>
  <si>
    <t>GASTO ENVIO PEDIDO DE CARACAS 13.000 14.92 BINANCE</t>
  </si>
  <si>
    <t>ODYSSEY MANDARIN SKY, SET</t>
  </si>
  <si>
    <t>12/08/2026</t>
  </si>
  <si>
    <t>GM</t>
  </si>
  <si>
    <t>PM REBEL ORIGINAL</t>
  </si>
  <si>
    <t xml:space="preserve">9PM REBEL ORIGINAL 50$ BINANCE </t>
  </si>
  <si>
    <t>Precio anotado como «18.GM»</t>
  </si>
  <si>
    <t>GASTO MUESTRA DE CLIENTE — DECANT (comprado el 10/08/2026)</t>
  </si>
  <si>
    <t>Odyssey Mega 200ml</t>
  </si>
  <si>
    <t>GASTO MUESTRA DE CLIENTE DECANST 1 $ COMPRADO EL 10/08/2026</t>
  </si>
  <si>
    <t>GASTO YUMMY (referencia 0612)</t>
  </si>
  <si>
    <t>Paris Hilton, justo Me</t>
  </si>
  <si>
    <t>GASTO YUMMY 2.932,00 REFERENCIA 0612  3.34 BINANCE</t>
  </si>
  <si>
    <t>Precio anotado como «12.GM»</t>
  </si>
  <si>
    <t>Paris Hilton w</t>
  </si>
  <si>
    <t>LISTA DE PRECIOS — TOP QUALITY</t>
  </si>
  <si>
    <t>Precios calculados con FACTOR_DIVISA y FACTOR_BCV desde PARÁMETROS. Solo se edita el Costo.</t>
  </si>
  <si>
    <t>LÍNEA</t>
  </si>
  <si>
    <t>PRECIO DIVISA / USDT ($)</t>
  </si>
  <si>
    <t>PRECIO TASA BCV ($)</t>
  </si>
  <si>
    <t>CHANGELOG — SISTEMA MARFIL v2</t>
  </si>
  <si>
    <t>Archivo original intacto en 'SISTEMA MARFIL  (2).xlsx'. Aquí solo se cambió estructura, formato y fórmulas: ninguna cifra de negocio fue modificada ni inventada.</t>
  </si>
  <si>
    <t>SIN LÍNEA</t>
  </si>
  <si>
    <t>HOJA</t>
  </si>
  <si>
    <t>TIPO DE CAMBIO</t>
  </si>
  <si>
    <t>DETALLE</t>
  </si>
  <si>
    <t>PARÁMETROS</t>
  </si>
  <si>
    <t>NUEVO</t>
  </si>
  <si>
    <t>Hoja nueva con 4 nombres definidos (FACTOR_DIVISA, FACTOR_BCV, DESC_TEAM, DESC_REVENDEDOR) que reemplazan constantes incrustadas en 593 celdas (527 fórmulas con 1,7/2,2 + 66 precios escritos a mano).</t>
  </si>
  <si>
    <t>CONTROL</t>
  </si>
  <si>
    <t>ESTRUCTURA</t>
  </si>
  <si>
    <t>Encabezados duplicados (FECHA x4, MONTO Bs x3, REFERENCIA x3) renombrados a FECHA VENTA / MONTO Bs P1..P3 / FECHA P1..P3 / REFERENCIA P1..P3.</t>
  </si>
  <si>
    <t>Productos en catálogo</t>
  </si>
  <si>
    <t>DATOS</t>
  </si>
  <si>
    <t>usdt P.M</t>
  </si>
  <si>
    <t>21 celdas numéricas guardadas como texto ('15.679,22', '8.307,00', ...) convertidas a número real. Eran invisibles para SUM.</t>
  </si>
  <si>
    <t>FÓRMULA</t>
  </si>
  <si>
    <t>Good girl very</t>
  </si>
  <si>
    <t>B64 =SUM(F4:F72,I4:I72,L4:L72) sobre rango fijo -&gt; nueva columna TOTAL ABONADO Bs por fila + =SUM(P:P) en el bloque RESUMEN.</t>
  </si>
  <si>
    <t>B67 =COUNTIF(O4:O18,"YA PAGO") solo miraba hasta la fila 18 de las 39 con datos. Hoy daba 10 por casualidad (no había estatus más abajo), pero cualquier venta nueva quedaba fuera del conteo -&gt; =COUNTIF(O:O,"YA PAGO").</t>
  </si>
  <si>
    <t>Textos que no eran montos ni fechas ('12 EFECTIVO', 'listo', 'GM', 'usdt P.M') movidos a la columna NOTAS; la celda numérica queda vacía.</t>
  </si>
  <si>
    <t>Con costo cargado</t>
  </si>
  <si>
    <t>Filas de totales A64:B69 eliminadas de la zona de datos; reemplazadas por el bloque RESUMEN en S3 con referencias de columna completa.</t>
  </si>
  <si>
    <t>Ultramale</t>
  </si>
  <si>
    <t>Valores sueltos C64=260 y D64=100 preservados en el bloque de revisión (estaban en la fila de totales bajo VENDEDOR y PRODUCTO).</t>
  </si>
  <si>
    <t>FORMATO</t>
  </si>
  <si>
    <t>Fechas unificadas a dd/mm/yyyy (el original mezclaba d/m/yy, dd-mm-yy, d/m/yyyy y dd/mm/yyyy).</t>
  </si>
  <si>
    <t>Columna E con formato moneda $, columnas de pago con formato Bs, validación de lista en ESTATUS y semáforo por estado.</t>
  </si>
  <si>
    <t>Sin costo (precio en blanco)</t>
  </si>
  <si>
    <t>LIMPIEZA</t>
  </si>
  <si>
    <t>999 filas y ninguna columna vacías descartadas: la hoja declaraba A1:O1038 con datos solo hasta la fila 39.</t>
  </si>
  <si>
    <t>VENTAS</t>
  </si>
  <si>
    <t>FÓRMULA ROTA</t>
  </si>
  <si>
    <t>Las 14 fórmulas de DEUDA apuntaban a la hoja 'REGISTRO DE CUOTAS ' que NO existe en el archivo -&gt; #N/A. Se creó la hoja con la estructura que la fórmula espera (D=Cliente, E=Producto, F=Monto).</t>
  </si>
  <si>
    <t>Swiss army</t>
  </si>
  <si>
    <t>M8 'Total por Cobrar' =SUM(J5:J997) heredaba el #N/A de la columna -&gt; ahora =SUM(K:K) sobre una columna que ya calcula.</t>
  </si>
  <si>
    <t>GANANCIA existía solo en las filas 5-19 de 42 -&gt; aplicada a todas las filas con guarda IF para no mostrar ceros falsos.</t>
  </si>
  <si>
    <t>DEUDA existía solo en las filas 5-18 de 42 -&gt; aplicada a todas las filas.</t>
  </si>
  <si>
    <t>Nombres repetidos</t>
  </si>
  <si>
    <t>SUM(F5:F997) / SUM(G5:G997) / SUM(H5:H997) con rango fijo -&gt; SUM(E:E), SUM(F:F), SUM(G:G).</t>
  </si>
  <si>
    <t>Bloque de métricas L4:M8 estaba pegado a los datos y dentro del autofiltro C4:J46 -&gt; movido a N3, fuera de la tabla.</t>
  </si>
  <si>
    <t>Columna A vacía (con ancho asignado) y columna K separadora eliminadas.</t>
  </si>
  <si>
    <t>F29='18.GM' y F30='12.GM' tenían hipervínculos automáticos a http://18.gm/ y http://12.gm/. Eliminados.</t>
  </si>
  <si>
    <t>Precios escritos como texto ('18.GM','12.GM','19 usdt P.M','16 P.M') separados en número + NOTAS/MONEDA.</t>
  </si>
  <si>
    <t>P.M</t>
  </si>
  <si>
    <t>Columna MARGEN = GANANCIA/PRECIO y columna ABONADO ($) explícita, para que la deuda sea auditable.</t>
  </si>
  <si>
    <t>Rejilla reactivada como tabla 'Ventas', paneles congelados, semáforo de ganancia negativa y de deuda pendiente.</t>
  </si>
  <si>
    <t>951 filas y 14 columnas vacías descartadas: la hoja declaraba A1:AA997 con datos hasta la fila 46 y la columna M.</t>
  </si>
  <si>
    <t>Precio anotado como «16 P.M»</t>
  </si>
  <si>
    <t>REGISTRO DE CUOTAS</t>
  </si>
  <si>
    <t>Hoja creada con la estructura exacta que exigían las fórmulas de VENTAS (columnas D/E/F). Se entrega vacía: no se inventó ningún abono.</t>
  </si>
  <si>
    <t>GASTOS Y COMPRAS</t>
  </si>
  <si>
    <t>Gabriel Medina</t>
  </si>
  <si>
    <t>Hoja sin ninguna estructura tabular (89 líneas de texto libre en la columna A). Convertida en tabla LOTE / FECHA / TIPO / DESCRIPCIÓN / MONTO ($) / MONTO Bs / CANAL, conservando el texto literal en TEXTO ORIGINAL.</t>
  </si>
  <si>
    <t>Las 3 líneas que el propio texto rotula «GASTO ...» (envío de Caracas, muestra de cliente, Yummy) se tipifican como GASTO y no como compra de producto, para que la comparación de subtotales no las mezcle.</t>
  </si>
  <si>
    <t>Los subtotales estaban escritos a mano dentro del texto ('TOTAL 99$ BINANCE'). Se añadió el bloque CONTROL POR LOTE con SUMIFS que compara declarado vs. suma real y marca la diferencia en rojo.</t>
  </si>
  <si>
    <t>Costo promedio ($)</t>
  </si>
  <si>
    <t>911 filas y 25 columnas vacías descartadas: la hoja declaraba A1:Z1000 con datos hasta la fila 89.</t>
  </si>
  <si>
    <t>Montos con formato $ / Bs, fechas dd/mm/yyyy, encabezados de lote y subtotales diferenciados por color.</t>
  </si>
  <si>
    <t>PRECIOS PERF ORIGINALES</t>
  </si>
  <si>
    <t>Scandal</t>
  </si>
  <si>
    <t>Columnas 'Para el team (-25%)' y 'Revendedores (-15%)' eran 66 valores escritos a mano. Verifiqué que las 33 filas cuadran exactamente con Precio×0,75 y Precio×0,85 y las convertí en fórmulas contra DESC_TEAM y DESC_REVENDEDOR.</t>
  </si>
  <si>
    <t>Validación de datos absurda en B2:D34 (una regla 'custom' con DATEVALUE que rechazaba fechas en columnas de precio) eliminada.</t>
  </si>
  <si>
    <t>Precios sin formato de moneda ('General') -&gt; $#,##0.00. Encabezados normalizados y tabla renombrada a 'PreciosOriginales'.</t>
  </si>
  <si>
    <t>PRECIOS PERF TOP QUALITY</t>
  </si>
  <si>
    <t>Bad boy</t>
  </si>
  <si>
    <t>527 fórmulas con los multiplicadores 1,7 y 2,2 incrustados -&gt; =C*FACTOR_DIVISA y =C*FACTOR_BCV. Cambiar la tasa ahora es editar una celda.</t>
  </si>
  <si>
    <t>237 de 271 filas no tenían costo, así que las fórmulas devolvían $0,00 (precio real aparente = 0). Ahora devuelven blanco y quedan resaltadas en amarillo.</t>
  </si>
  <si>
    <t>'LINEA ARABE' y ' LINEA CLÁSICA O DISENADOR' eran filas-etiqueta metidas entre los productos. Convertidas en la columna LÍNEA.</t>
  </si>
  <si>
    <t>Amarillo = producto sin costo, su precio queda en blanco (antes mostraba $0,00). Rojo = nombre repetido en el catálogo, a fusionar.</t>
  </si>
  <si>
    <t>Tommy</t>
  </si>
  <si>
    <t>724 filas y 22 columnas vacías descartadas: la hoja declaraba A1:Z998 con datos hasta la fila 274 y la columna D.</t>
  </si>
  <si>
    <t>55 filas fantasma (220-274 y 108) que solo contenían fórmulas sin producto ni costo: eliminadas.</t>
  </si>
  <si>
    <t>Columna 'Precio tasa BCV' tenía formato 'Bs #,##0.00' pero el valor es en dólares (Costo × 2,2 = 26,40 para un perfume que se vende en $30). Corregido a $.</t>
  </si>
  <si>
    <t>Encabezados fuera de A1 (estaban en la fila 3 bajo un título fusionado A1:D2) normalizados; tabla 'PreciosTopQuality' con autofiltro y paneles congelados.</t>
  </si>
  <si>
    <t>Leandro</t>
  </si>
  <si>
    <t>Invictus</t>
  </si>
  <si>
    <t>212 vip</t>
  </si>
  <si>
    <t>issey miyake</t>
  </si>
  <si>
    <t>Alejandro Blanco</t>
  </si>
  <si>
    <t>Eros men</t>
  </si>
  <si>
    <t>Agua di gio</t>
  </si>
  <si>
    <t xml:space="preserve">Khamarah </t>
  </si>
  <si>
    <t>francheska</t>
  </si>
  <si>
    <t>Bharara king</t>
  </si>
  <si>
    <t>INVICTUS clasico</t>
  </si>
  <si>
    <t>landaeta</t>
  </si>
  <si>
    <t>Khamrah</t>
  </si>
  <si>
    <t>Club de nuit</t>
  </si>
  <si>
    <t xml:space="preserve">ASAD </t>
  </si>
  <si>
    <t>Asad bourbon</t>
  </si>
  <si>
    <t>La bomba</t>
  </si>
  <si>
    <t>DEINER</t>
  </si>
  <si>
    <t>LÍNEA ÁRABE</t>
  </si>
  <si>
    <t>YARA CANDY</t>
  </si>
  <si>
    <t>AMETHYST</t>
  </si>
  <si>
    <t>amarista</t>
  </si>
  <si>
    <t>YARA TOUS</t>
  </si>
  <si>
    <t>ASAD ELIXIR</t>
  </si>
  <si>
    <t>anderson</t>
  </si>
  <si>
    <t>AMBER OUD HARAMAIN</t>
  </si>
  <si>
    <t>ricardo</t>
  </si>
  <si>
    <t>ASAD BOURBON</t>
  </si>
  <si>
    <t>ASAD ZANZÍBAR</t>
  </si>
  <si>
    <t>23usdt</t>
  </si>
  <si>
    <t>KHAMRA</t>
  </si>
  <si>
    <t>KHAMRAH DUKHAN</t>
  </si>
  <si>
    <t>aqua di gio</t>
  </si>
  <si>
    <t>KHAMRAH QAHWA</t>
  </si>
  <si>
    <t>16usdt</t>
  </si>
  <si>
    <t>FAKHAR BLACK</t>
  </si>
  <si>
    <t>212 vip men</t>
  </si>
  <si>
    <t>jose</t>
  </si>
  <si>
    <t>FAKHAR EXTRAIT</t>
  </si>
  <si>
    <t>FAKHAR ROSE</t>
  </si>
  <si>
    <t>VULCAN BAIE</t>
  </si>
  <si>
    <t>VULCAN FEU</t>
  </si>
  <si>
    <t>19usdt</t>
  </si>
  <si>
    <t>15usdt</t>
  </si>
  <si>
    <t>SUBLIME</t>
  </si>
  <si>
    <t>NOBLE BLUSH</t>
  </si>
  <si>
    <t>HONOR &amp; GLORY</t>
  </si>
  <si>
    <t>OUD FOR GLORY</t>
  </si>
  <si>
    <t>15 usdt</t>
  </si>
  <si>
    <t>HER CONFESSION</t>
  </si>
  <si>
    <t>HIS CONFESSION</t>
  </si>
  <si>
    <t>ECLAIRE</t>
  </si>
  <si>
    <t>VICTORIA</t>
  </si>
  <si>
    <t>MAYAR</t>
  </si>
  <si>
    <t>MAYAR NATURAL</t>
  </si>
  <si>
    <t>EMEER</t>
  </si>
  <si>
    <t>HAYA</t>
  </si>
  <si>
    <t>AJWAD</t>
  </si>
  <si>
    <t>SHER</t>
  </si>
  <si>
    <t>ART OF UNIVERSE</t>
  </si>
  <si>
    <t>BERTY ON TOP</t>
  </si>
  <si>
    <t>VAINILLA FREAK</t>
  </si>
  <si>
    <t>CHOCO OVERDOSE</t>
  </si>
  <si>
    <t>MALLOW MADNESS</t>
  </si>
  <si>
    <t>WHIPPED PLEAUSURE</t>
  </si>
  <si>
    <t>COOKIE CRAVE</t>
  </si>
  <si>
    <t>9 AM DIVE</t>
  </si>
  <si>
    <t>9 AM POUR FEMME</t>
  </si>
  <si>
    <t>9PM ELIXIR</t>
  </si>
  <si>
    <t>BHARARA NICHE</t>
  </si>
  <si>
    <t>BHARARA ROSE</t>
  </si>
  <si>
    <t>BHARARA KING SOLEIL</t>
  </si>
  <si>
    <t>BHARARA SCARLET</t>
  </si>
  <si>
    <t>ORIENTICA ROUGE</t>
  </si>
  <si>
    <t>ORIENTICA ROYAL</t>
  </si>
  <si>
    <t>ORIENTICA SAFRON</t>
  </si>
  <si>
    <t>ORIENTICA AL NOBLE</t>
  </si>
  <si>
    <t>ORIENTICA VELVET</t>
  </si>
  <si>
    <t>ORIENTICA DANIA</t>
  </si>
  <si>
    <t>ORIENTICA AZURE</t>
  </si>
  <si>
    <t>AMBER OUD EXCLUSIF ESMERALD</t>
  </si>
  <si>
    <t>AMBER OUD AQUA DUBAI</t>
  </si>
  <si>
    <t>AMBER OUD ULTRAVIOLET</t>
  </si>
  <si>
    <t>AMBER OUD GOLD EDITION</t>
  </si>
  <si>
    <t>AMBER OUD BLUE EDITION</t>
  </si>
  <si>
    <t>AMBER OUD AQUA DUBAI NIGHT</t>
  </si>
  <si>
    <t>YUM YUM</t>
  </si>
  <si>
    <t>ISLAND BLISS</t>
  </si>
  <si>
    <t>ISLAND BREAZZE</t>
  </si>
  <si>
    <t>ODISSEY MANDARIN</t>
  </si>
  <si>
    <t>ODISSEY MANDARIN SKY ELIXIR</t>
  </si>
  <si>
    <t>ODISSEY ARTISTO</t>
  </si>
  <si>
    <t>ODISSEY OUD</t>
  </si>
  <si>
    <t>ODISSEY MEGA</t>
  </si>
  <si>
    <t>ODISSEY WILD</t>
  </si>
  <si>
    <t>ODISSEY TYRANT</t>
  </si>
  <si>
    <t>ODISSEY HOMME</t>
  </si>
  <si>
    <t>ODISSEY SPECTRA</t>
  </si>
  <si>
    <t>ODISSEY CANDEE</t>
  </si>
  <si>
    <t>CLUB DE NUIT LYON HEART WOMAN</t>
  </si>
  <si>
    <t>CLUB DE NUIT MAN INTENSE</t>
  </si>
  <si>
    <t>CLUB DE NUIT URBAN ELIXIR</t>
  </si>
  <si>
    <t>CLUB DE NUIT LYON HEART MAN</t>
  </si>
  <si>
    <t>CLUB DE NUIT SILLAGE</t>
  </si>
  <si>
    <t>CLUB DE NUIT ICONIC</t>
  </si>
  <si>
    <t>CLUB DE NUIT UNTOLD</t>
  </si>
  <si>
    <t>CLUB DE NUIT WOMAN</t>
  </si>
  <si>
    <t>CLUB DE NUIT MILESTONE</t>
  </si>
  <si>
    <t>CLUB DE NUIT IMPERIALE</t>
  </si>
  <si>
    <t>LÍNEA CLÁSICA O DISEÑADOR</t>
  </si>
  <si>
    <t>LE MALE</t>
  </si>
  <si>
    <t>LE BEAU</t>
  </si>
  <si>
    <t>LE BEA PARADISE GARDEN</t>
  </si>
  <si>
    <t>LE MALE ELIXIR</t>
  </si>
  <si>
    <t>ULTRAMALE</t>
  </si>
  <si>
    <t>DIVINE</t>
  </si>
  <si>
    <t>CLOUD 2.0</t>
  </si>
  <si>
    <t>THANK U NEXT</t>
  </si>
  <si>
    <t>SWEET LIKE CANDY</t>
  </si>
  <si>
    <t>R.E.M</t>
  </si>
  <si>
    <t>MOOD VAINILLA</t>
  </si>
  <si>
    <t>MOOD BLUSH</t>
  </si>
  <si>
    <t>212 VIP FEM</t>
  </si>
  <si>
    <t>212 VIP ROSE</t>
  </si>
  <si>
    <t>212 SEXY FEM</t>
  </si>
  <si>
    <t>212 HEROES FEM</t>
  </si>
  <si>
    <t>GOOD GIRL</t>
  </si>
  <si>
    <t>GOOD GIRL LEGERE</t>
  </si>
  <si>
    <t>VERY GOOD GIRL</t>
  </si>
  <si>
    <t>CH FEM</t>
  </si>
  <si>
    <t>CAN CAN</t>
  </si>
  <si>
    <t>HEIRESS</t>
  </si>
  <si>
    <t>FANTASY MIDNIGHT</t>
  </si>
  <si>
    <t>FANTASY CIRCUS</t>
  </si>
  <si>
    <t>SORBETO ROSSO</t>
  </si>
  <si>
    <t>AGUA DE SOL</t>
  </si>
  <si>
    <t>ROCK IN RIO</t>
  </si>
  <si>
    <t>FAME</t>
  </si>
  <si>
    <t>FAME COUTURE</t>
  </si>
  <si>
    <t>OLYMPEA</t>
  </si>
  <si>
    <t>TOY BUBBLEGUM</t>
  </si>
  <si>
    <t>TOY 2</t>
  </si>
  <si>
    <t>TOY PEARL</t>
  </si>
  <si>
    <t>CHANCE CHANEL</t>
  </si>
  <si>
    <t>COCOMADEMOISELLE</t>
  </si>
  <si>
    <t>CHANEL N5</t>
  </si>
  <si>
    <t>MEOW</t>
  </si>
  <si>
    <t>PRR</t>
  </si>
  <si>
    <t>BRIGHCRYSTAL</t>
  </si>
  <si>
    <t>YELLOW DIAMONDS</t>
  </si>
  <si>
    <t>TOMMY GIRLS</t>
  </si>
  <si>
    <t>VIVA LA JUICY</t>
  </si>
  <si>
    <t>SCANDAL FEM</t>
  </si>
  <si>
    <t>LIGHT BLUE FEM</t>
  </si>
  <si>
    <t>J'DORE</t>
  </si>
  <si>
    <t>FUNNY</t>
  </si>
  <si>
    <t>BOMBSHELL</t>
  </si>
  <si>
    <t>360 FEM</t>
  </si>
  <si>
    <t>360 CORAL</t>
  </si>
  <si>
    <t>360 RED</t>
  </si>
  <si>
    <t>212 VIP MEN</t>
  </si>
  <si>
    <t>212 VIP BLACK</t>
  </si>
  <si>
    <t>212 MEN</t>
  </si>
  <si>
    <t>212 VIP BLACK RED</t>
  </si>
  <si>
    <t>212 VIP WINS</t>
  </si>
  <si>
    <t>212 HEROES MEN</t>
  </si>
  <si>
    <t>LACOSTE ROUGE</t>
  </si>
  <si>
    <t>LACOSTE BLANC</t>
  </si>
  <si>
    <t>LACOSTE NOIR</t>
  </si>
  <si>
    <t>LACOSTE ESSENCIAL</t>
  </si>
  <si>
    <t>LEGEND SPIRIT</t>
  </si>
  <si>
    <t>LEGEND</t>
  </si>
  <si>
    <t>EMBLEM</t>
  </si>
  <si>
    <t>STARWALKER</t>
  </si>
  <si>
    <t>EROS ENERGY</t>
  </si>
  <si>
    <t>EAU FRINCHE</t>
  </si>
  <si>
    <t>AQUA DI GIO PROFUM</t>
  </si>
  <si>
    <t>POLO RED</t>
  </si>
  <si>
    <t>VALENTINO UOMO</t>
  </si>
  <si>
    <t>TOMMY MEN</t>
  </si>
  <si>
    <t>SCANDAL MEN</t>
  </si>
  <si>
    <t>K DOLCE GABANNA</t>
  </si>
  <si>
    <t>LIGHT BLUE MEN</t>
  </si>
  <si>
    <t>UNLIMITED</t>
  </si>
  <si>
    <t>JUSTDIFERENT</t>
  </si>
  <si>
    <t>FERRARI BLACK</t>
  </si>
  <si>
    <t>BLACK SEDUCTION</t>
  </si>
  <si>
    <t>LYTON</t>
  </si>
  <si>
    <t>AZZARO WANTED</t>
  </si>
  <si>
    <t>HAPPY CLINIQUE MEN</t>
  </si>
  <si>
    <t>BLEU CHANEL</t>
  </si>
  <si>
    <t>CREED AVENTUS</t>
  </si>
  <si>
    <t>CREED SILVER MOUNTAIN</t>
  </si>
  <si>
    <t>INVICTUS PARFUM</t>
  </si>
  <si>
    <t>INVICTUS LEGEND</t>
  </si>
  <si>
    <t>INVICTUS VICTORY</t>
  </si>
  <si>
    <t>INVICTUS ONIX</t>
  </si>
  <si>
    <t>ONE MILLION ELIXIR</t>
  </si>
  <si>
    <t>ONE MILLION PRIVE</t>
  </si>
  <si>
    <t>ONE MILLION LUCKY</t>
  </si>
  <si>
    <t>PHANTOM</t>
  </si>
  <si>
    <t>BLACK XS L'CESS</t>
  </si>
  <si>
    <t>BLACK XS</t>
  </si>
  <si>
    <t>PURE XS</t>
  </si>
  <si>
    <t>Fantasy Britney Spears</t>
  </si>
  <si>
    <t>Asad Lattafa</t>
  </si>
  <si>
    <t>Santal 33</t>
  </si>
  <si>
    <t>Sauvage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</si>
</sst>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dd/mm/yyyy"/>
    <numFmt numFmtId="166" formatCode="&quot;$&quot;#,##0.00"/>
    <numFmt numFmtId="167" formatCode="&quot;Bs &quot;#,##0.00"/>
  </numFmts>
  <fonts count="15">
    <font>
      <sz val="11.0"/>
      <color theme="1"/>
      <name val="Calibri"/>
      <scheme val="minor"/>
    </font>
    <font>
      <b/>
      <sz val="15.0"/>
      <color rgb="FF0F3440"/>
      <name val="Calibri"/>
      <scheme val="minor"/>
    </font>
    <font>
      <i/>
      <sz val="9.0"/>
      <color rgb="FF555555"/>
      <name val="Calibri"/>
      <scheme val="minor"/>
    </font>
    <font>
      <b/>
      <sz val="10.0"/>
      <color rgb="FFFFFFFF"/>
      <name val="Calibri"/>
      <scheme val="minor"/>
    </font>
    <font>
      <b/>
      <sz val="10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sz val="9.0"/>
      <color theme="1"/>
      <name val="Calibri"/>
      <scheme val="minor"/>
    </font>
    <font>
      <i/>
      <sz val="9.0"/>
      <color rgb="FFA0522D"/>
      <name val="Calibri"/>
      <scheme val="minor"/>
    </font>
    <font/>
    <font>
      <sz val="10.0"/>
      <color theme="1"/>
      <name val="Calibri"/>
      <scheme val="minor"/>
    </font>
    <font>
      <sz val="9.0"/>
      <color rgb="FF666666"/>
      <name val="Calibri"/>
      <scheme val="minor"/>
    </font>
    <font>
      <i/>
      <sz val="9.0"/>
      <color theme="1"/>
      <name val="Calibri"/>
      <scheme val="minor"/>
    </font>
    <font>
      <i/>
      <sz val="8.0"/>
      <color rgb="FFA0522D"/>
      <name val="Calibri"/>
      <scheme val="minor"/>
    </font>
    <font>
      <sz val="9.0"/>
      <color rgb="FF4A6B75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FFF4D6"/>
        <bgColor rgb="FFFFF4D6"/>
      </patternFill>
    </fill>
    <fill>
      <patternFill patternType="solid">
        <fgColor rgb="FFF7FAFB"/>
        <bgColor rgb="FFF7FAFB"/>
      </patternFill>
    </fill>
    <fill>
      <patternFill patternType="solid">
        <fgColor rgb="FF2E6F82"/>
        <bgColor rgb="FF2E6F82"/>
      </patternFill>
    </fill>
    <fill>
      <patternFill patternType="solid">
        <fgColor rgb="FFDCE9ED"/>
        <bgColor rgb="FFDCE9ED"/>
      </patternFill>
    </fill>
    <fill>
      <patternFill patternType="solid">
        <fgColor rgb="FFEEF4F6"/>
        <bgColor rgb="FFEEF4F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CE8E6"/>
        <bgColor rgb="FFFCE8E6"/>
      </patternFill>
    </fill>
    <fill>
      <patternFill patternType="solid">
        <fgColor rgb="FFF0E6F6"/>
        <bgColor rgb="FFF0E6F6"/>
      </patternFill>
    </fill>
  </fills>
  <borders count="16">
    <border/>
    <border>
      <left style="thin">
        <color rgb="FFB9CCD3"/>
      </left>
      <right style="thin">
        <color rgb="FFB9CCD3"/>
      </right>
      <top style="thin">
        <color rgb="FFB9CCD3"/>
      </top>
      <bottom style="thin">
        <color rgb="FFB9CCD3"/>
      </bottom>
    </border>
    <border>
      <left style="thin">
        <color rgb="FFB9CCD3"/>
      </left>
      <top style="thin">
        <color rgb="FFB9CCD3"/>
      </top>
      <bottom style="thin">
        <color rgb="FFB9CCD3"/>
      </bottom>
    </border>
    <border>
      <top style="thin">
        <color rgb="FFB9CCD3"/>
      </top>
      <bottom style="thin">
        <color rgb="FFB9CCD3"/>
      </bottom>
    </border>
    <border>
      <right style="thin">
        <color rgb="FFB9CCD3"/>
      </right>
      <top style="thin">
        <color rgb="FFB9CCD3"/>
      </top>
      <bottom style="thin">
        <color rgb="FFB9CCD3"/>
      </bottom>
    </border>
    <border>
      <left/>
      <top/>
      <bottom/>
    </border>
    <border>
      <right/>
      <top/>
      <bottom/>
    </border>
    <border>
      <top/>
      <bottom/>
    </border>
    <border>
      <left style="thin">
        <color rgb="FFB9CCD3"/>
      </left>
      <right style="thin">
        <color rgb="FFB9CCD3"/>
      </right>
      <top style="thin">
        <color rgb="FF1F4E5F"/>
      </top>
      <bottom style="thin">
        <color rgb="FFB9CCD3"/>
      </bottom>
    </border>
    <border>
      <left style="thin">
        <color rgb="FFB9CCD3"/>
      </left>
      <right style="thin">
        <color rgb="FFB9CCD3"/>
      </right>
      <top style="medium">
        <color rgb="FF1F4E5F"/>
      </top>
      <bottom style="thin">
        <color rgb="FFB9CCD3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3" fontId="5" numFmtId="2" xfId="0" applyAlignment="1" applyBorder="1" applyFill="1" applyFont="1" applyNumberFormat="1">
      <alignment horizontal="center"/>
    </xf>
    <xf borderId="1" fillId="0" fontId="6" numFmtId="0" xfId="0" applyAlignment="1" applyBorder="1" applyFont="1">
      <alignment horizontal="center"/>
    </xf>
    <xf borderId="1" fillId="0" fontId="7" numFmtId="0" xfId="0" applyBorder="1" applyFont="1"/>
    <xf borderId="1" fillId="3" fontId="5" numFmtId="164" xfId="0" applyAlignment="1" applyBorder="1" applyFill="1" applyFont="1" applyNumberFormat="1">
      <alignment horizontal="center"/>
    </xf>
    <xf borderId="0" fillId="0" fontId="8" numFmtId="0" xfId="0" applyFont="1"/>
    <xf borderId="1" fillId="4" fontId="6" numFmtId="0" xfId="0" applyBorder="1" applyFill="1" applyFont="1"/>
    <xf borderId="1" fillId="4" fontId="6" numFmtId="165" xfId="0" applyBorder="1" applyFill="1" applyFont="1" applyNumberFormat="1"/>
    <xf borderId="1" fillId="4" fontId="6" numFmtId="166" xfId="0" applyBorder="1" applyFill="1" applyFont="1" applyNumberFormat="1"/>
    <xf borderId="2" fillId="5" fontId="3" numFmtId="0" xfId="0" applyAlignment="1" applyBorder="1" applyFill="1" applyFont="1">
      <alignment horizontal="center" vertical="center"/>
    </xf>
    <xf borderId="3" fillId="0" fontId="9" numFmtId="0" xfId="0" applyBorder="1" applyFont="1"/>
    <xf borderId="4" fillId="0" fontId="9" numFmtId="0" xfId="0" applyBorder="1" applyFont="1"/>
    <xf borderId="1" fillId="0" fontId="6" numFmtId="0" xfId="0" applyBorder="1" applyFont="1"/>
    <xf borderId="1" fillId="0" fontId="6" numFmtId="165" xfId="0" applyBorder="1" applyFont="1" applyNumberFormat="1"/>
    <xf borderId="1" fillId="0" fontId="6" numFmtId="166" xfId="0" applyBorder="1" applyFont="1" applyNumberFormat="1"/>
    <xf borderId="1" fillId="2" fontId="3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ill="1" applyFont="1">
      <alignment horizontal="center" vertical="center"/>
    </xf>
    <xf borderId="6" fillId="0" fontId="9" numFmtId="0" xfId="0" applyBorder="1" applyFont="1"/>
    <xf borderId="1" fillId="0" fontId="10" numFmtId="165" xfId="0" applyAlignment="1" applyBorder="1" applyFont="1" applyNumberFormat="1">
      <alignment horizontal="center" shrinkToFit="0" vertical="center" wrapText="0"/>
    </xf>
    <xf borderId="1" fillId="0" fontId="10" numFmtId="0" xfId="0" applyAlignment="1" applyBorder="1" applyFont="1">
      <alignment shrinkToFit="0" vertical="center" wrapText="0"/>
    </xf>
    <xf borderId="1" fillId="0" fontId="10" numFmtId="166" xfId="0" applyAlignment="1" applyBorder="1" applyFont="1" applyNumberFormat="1">
      <alignment shrinkToFit="0" vertical="center" wrapText="0"/>
    </xf>
    <xf borderId="1" fillId="0" fontId="10" numFmtId="167" xfId="0" applyAlignment="1" applyBorder="1" applyFont="1" applyNumberFormat="1">
      <alignment shrinkToFit="0" vertical="center" wrapText="0"/>
    </xf>
    <xf borderId="1" fillId="0" fontId="10" numFmtId="0" xfId="0" applyAlignment="1" applyBorder="1" applyFont="1">
      <alignment horizontal="center" shrinkToFit="0" vertical="center" wrapText="0"/>
    </xf>
    <xf borderId="7" fillId="0" fontId="9" numFmtId="0" xfId="0" applyBorder="1" applyFont="1"/>
    <xf borderId="1" fillId="6" fontId="4" numFmtId="0" xfId="0" applyAlignment="1" applyBorder="1" applyFill="1" applyFont="1">
      <alignment shrinkToFit="0" vertical="center" wrapText="0"/>
    </xf>
    <xf borderId="1" fillId="6" fontId="4" numFmtId="165" xfId="0" applyAlignment="1" applyBorder="1" applyFill="1" applyFont="1" applyNumberFormat="1">
      <alignment horizontal="center" shrinkToFit="0" vertical="center" wrapText="0"/>
    </xf>
    <xf borderId="1" fillId="7" fontId="10" numFmtId="167" xfId="0" applyAlignment="1" applyBorder="1" applyFill="1" applyFont="1" applyNumberFormat="1">
      <alignment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1" fillId="4" fontId="4" numFmtId="0" xfId="0" applyBorder="1" applyFill="1" applyFont="1"/>
    <xf borderId="1" fillId="0" fontId="4" numFmtId="3" xfId="0" applyAlignment="1" applyBorder="1" applyFont="1" applyNumberFormat="1">
      <alignment horizontal="right"/>
    </xf>
    <xf borderId="1" fillId="6" fontId="11" numFmtId="0" xfId="0" applyAlignment="1" applyBorder="1" applyFill="1" applyFont="1">
      <alignment shrinkToFit="0" vertical="center" wrapText="0"/>
    </xf>
    <xf borderId="1" fillId="5" fontId="3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0"/>
    </xf>
    <xf borderId="1" fillId="0" fontId="6" numFmtId="165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166" xfId="0" applyAlignment="1" applyBorder="1" applyFont="1" applyNumberFormat="1">
      <alignment shrinkToFit="0" vertical="center" wrapText="0"/>
    </xf>
    <xf borderId="1" fillId="0" fontId="11" numFmtId="0" xfId="0" applyAlignment="1" applyBorder="1" applyFont="1">
      <alignment shrinkToFit="0" vertical="center" wrapText="0"/>
    </xf>
    <xf borderId="1" fillId="0" fontId="10" numFmtId="0" xfId="0" applyBorder="1" applyFont="1"/>
    <xf borderId="1" fillId="0" fontId="4" numFmtId="166" xfId="0" applyAlignment="1" applyBorder="1" applyFont="1" applyNumberFormat="1">
      <alignment horizontal="right"/>
    </xf>
    <xf borderId="1" fillId="7" fontId="6" numFmtId="166" xfId="0" applyBorder="1" applyFill="1" applyFont="1" applyNumberFormat="1"/>
    <xf borderId="1" fillId="7" fontId="6" numFmtId="166" xfId="0" applyAlignment="1" applyBorder="1" applyFill="1" applyFont="1" applyNumberFormat="1">
      <alignment shrinkToFit="0" vertical="center" wrapText="0"/>
    </xf>
    <xf borderId="1" fillId="7" fontId="6" numFmtId="164" xfId="0" applyAlignment="1" applyBorder="1" applyFill="1" applyFont="1" applyNumberFormat="1">
      <alignment horizontal="center" shrinkToFit="0" vertical="center" wrapText="0"/>
    </xf>
    <xf borderId="1" fillId="0" fontId="4" numFmtId="167" xfId="0" applyAlignment="1" applyBorder="1" applyFont="1" applyNumberFormat="1">
      <alignment horizontal="right"/>
    </xf>
    <xf borderId="8" fillId="3" fontId="4" numFmtId="0" xfId="0" applyAlignment="1" applyBorder="1" applyFill="1" applyFont="1">
      <alignment shrinkToFit="0" vertical="center" wrapText="0"/>
    </xf>
    <xf borderId="8" fillId="3" fontId="4" numFmtId="165" xfId="0" applyAlignment="1" applyBorder="1" applyFill="1" applyFont="1" applyNumberFormat="1">
      <alignment horizontal="center" shrinkToFit="0" vertical="center" wrapText="0"/>
    </xf>
    <xf borderId="8" fillId="3" fontId="4" numFmtId="0" xfId="0" applyAlignment="1" applyBorder="1" applyFill="1" applyFont="1">
      <alignment horizontal="center" shrinkToFit="0" vertical="center" wrapText="0"/>
    </xf>
    <xf borderId="8" fillId="3" fontId="4" numFmtId="166" xfId="0" applyAlignment="1" applyBorder="1" applyFill="1" applyFont="1" applyNumberFormat="1">
      <alignment shrinkToFit="0" vertical="center" wrapText="0"/>
    </xf>
    <xf borderId="8" fillId="3" fontId="11" numFmtId="0" xfId="0" applyAlignment="1" applyBorder="1" applyFill="1" applyFont="1">
      <alignment shrinkToFit="0" vertical="center" wrapText="0"/>
    </xf>
    <xf borderId="9" fillId="0" fontId="5" numFmtId="0" xfId="0" applyBorder="1" applyFont="1"/>
    <xf borderId="9" fillId="0" fontId="5" numFmtId="166" xfId="0" applyBorder="1" applyFont="1" applyNumberFormat="1"/>
    <xf borderId="1" fillId="0" fontId="12" numFmtId="0" xfId="0" applyAlignment="1" applyBorder="1" applyFont="1">
      <alignment shrinkToFit="0" vertical="center" wrapText="0"/>
    </xf>
    <xf borderId="1" fillId="0" fontId="5" numFmtId="0" xfId="0" applyBorder="1" applyFont="1"/>
    <xf borderId="1" fillId="0" fontId="5" numFmtId="166" xfId="0" applyBorder="1" applyFont="1" applyNumberFormat="1"/>
    <xf borderId="1" fillId="0" fontId="5" numFmtId="167" xfId="0" applyBorder="1" applyFont="1" applyNumberFormat="1"/>
    <xf borderId="1" fillId="0" fontId="4" numFmtId="164" xfId="0" applyAlignment="1" applyBorder="1" applyFont="1" applyNumberFormat="1">
      <alignment horizontal="right"/>
    </xf>
    <xf borderId="1" fillId="8" fontId="10" numFmtId="0" xfId="0" applyAlignment="1" applyBorder="1" applyFill="1" applyFont="1">
      <alignment shrinkToFit="0" vertical="center" wrapText="0"/>
    </xf>
    <xf borderId="1" fillId="3" fontId="5" numFmtId="166" xfId="0" applyBorder="1" applyFill="1" applyFont="1" applyNumberFormat="1"/>
    <xf borderId="0" fillId="0" fontId="13" numFmtId="0" xfId="0" applyFont="1"/>
    <xf borderId="1" fillId="9" fontId="6" numFmtId="166" xfId="0" applyAlignment="1" applyBorder="1" applyFill="1" applyFont="1" applyNumberFormat="1">
      <alignment shrinkToFit="0" vertical="center" wrapText="0"/>
    </xf>
    <xf borderId="0" fillId="0" fontId="7" numFmtId="0" xfId="0" applyFont="1"/>
    <xf borderId="1" fillId="10" fontId="6" numFmtId="0" xfId="0" applyBorder="1" applyFill="1" applyFont="1"/>
    <xf borderId="0" fillId="0" fontId="13" numFmtId="0" xfId="0" applyAlignment="1" applyFont="1">
      <alignment shrinkToFit="0" vertical="top" wrapText="1"/>
    </xf>
    <xf borderId="1" fillId="11" fontId="6" numFmtId="0" xfId="0" applyAlignment="1" applyBorder="1" applyFill="1" applyFont="1">
      <alignment shrinkToFit="0" vertical="center" wrapText="0"/>
    </xf>
    <xf borderId="1" fillId="11" fontId="6" numFmtId="0" xfId="0" applyAlignment="1" applyBorder="1" applyFill="1" applyFont="1">
      <alignment horizontal="center" shrinkToFit="0" vertical="center" wrapText="0"/>
    </xf>
    <xf borderId="1" fillId="11" fontId="6" numFmtId="166" xfId="0" applyAlignment="1" applyBorder="1" applyFill="1" applyFont="1" applyNumberFormat="1">
      <alignment shrinkToFit="0" vertical="center" wrapText="0"/>
    </xf>
    <xf borderId="1" fillId="11" fontId="6" numFmtId="167" xfId="0" applyAlignment="1" applyBorder="1" applyFill="1" applyFont="1" applyNumberFormat="1">
      <alignment shrinkToFit="0" vertical="center" wrapText="0"/>
    </xf>
    <xf borderId="1" fillId="11" fontId="11" numFmtId="0" xfId="0" applyAlignment="1" applyBorder="1" applyFill="1" applyFont="1">
      <alignment shrinkToFit="0" vertical="center" wrapText="0"/>
    </xf>
    <xf borderId="1" fillId="11" fontId="6" numFmtId="165" xfId="0" applyAlignment="1" applyBorder="1" applyFill="1" applyFont="1" applyNumberFormat="1">
      <alignment horizontal="center" shrinkToFit="0" vertical="center" wrapText="0"/>
    </xf>
    <xf borderId="1" fillId="0" fontId="14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shrinkToFit="0" vertical="top" wrapText="0"/>
    </xf>
    <xf borderId="1" fillId="0" fontId="10" numFmtId="0" xfId="0" applyAlignment="1" applyBorder="1" applyFont="1">
      <alignment shrinkToFit="0" vertical="top" wrapText="0"/>
    </xf>
    <xf borderId="1" fillId="0" fontId="10" numFmtId="0" xfId="0" applyAlignment="1" applyBorder="1" applyFont="1">
      <alignment shrinkToFit="0" vertical="top" wrapText="1"/>
    </xf>
    <xf borderId="10" fillId="9" fontId="6" numFmtId="0" xfId="0" applyAlignment="1" applyBorder="1" applyFill="1" applyFont="1">
      <alignment horizontal="right" shrinkToFit="0" vertical="center" wrapText="0"/>
    </xf>
    <xf borderId="11" fillId="9" fontId="6" numFmtId="0" xfId="0" applyAlignment="1" applyBorder="1" applyFill="1" applyFont="1">
      <alignment shrinkToFit="0" vertical="center" wrapText="0"/>
    </xf>
    <xf borderId="11" fillId="9" fontId="6" numFmtId="166" xfId="0" applyAlignment="1" applyBorder="1" applyFill="1" applyFont="1" applyNumberFormat="1">
      <alignment horizontal="right" shrinkToFit="0" vertical="center" wrapText="0"/>
    </xf>
    <xf borderId="11" fillId="9" fontId="6" numFmtId="164" xfId="0" applyAlignment="1" applyBorder="1" applyFill="1" applyFont="1" applyNumberFormat="1">
      <alignment horizontal="center" shrinkToFit="0" vertical="center" wrapText="0"/>
    </xf>
    <xf borderId="12" fillId="9" fontId="6" numFmtId="0" xfId="0" applyAlignment="1" applyBorder="1" applyFill="1" applyFont="1">
      <alignment shrinkToFit="0" vertical="center" wrapText="0"/>
    </xf>
    <xf borderId="10" fillId="9" fontId="6" numFmtId="0" xfId="0" applyAlignment="1" applyBorder="1" applyFill="1" applyFont="1">
      <alignment shrinkToFit="0" vertical="center" wrapText="0"/>
    </xf>
    <xf borderId="11" fillId="9" fontId="6" numFmtId="166" xfId="0" applyAlignment="1" applyBorder="1" applyFill="1" applyFont="1" applyNumberFormat="1">
      <alignment shrinkToFit="0" vertical="center" wrapText="0"/>
    </xf>
    <xf borderId="11" fillId="9" fontId="6" numFmtId="164" xfId="0" applyAlignment="1" applyBorder="1" applyFill="1" applyFont="1" applyNumberFormat="1">
      <alignment shrinkToFit="0" vertical="center" wrapText="0"/>
    </xf>
    <xf borderId="13" fillId="9" fontId="6" numFmtId="0" xfId="0" applyAlignment="1" applyBorder="1" applyFill="1" applyFont="1">
      <alignment shrinkToFit="0" vertical="center" wrapText="0"/>
    </xf>
    <xf borderId="14" fillId="9" fontId="6" numFmtId="0" xfId="0" applyAlignment="1" applyBorder="1" applyFill="1" applyFont="1">
      <alignment shrinkToFit="0" vertical="center" wrapText="0"/>
    </xf>
    <xf borderId="14" fillId="9" fontId="6" numFmtId="166" xfId="0" applyAlignment="1" applyBorder="1" applyFill="1" applyFont="1" applyNumberFormat="1">
      <alignment shrinkToFit="0" vertical="center" wrapText="0"/>
    </xf>
    <xf borderId="14" fillId="9" fontId="6" numFmtId="166" xfId="0" applyAlignment="1" applyBorder="1" applyFill="1" applyFont="1" applyNumberFormat="1">
      <alignment horizontal="right" shrinkToFit="0" vertical="center" wrapText="0"/>
    </xf>
    <xf borderId="14" fillId="9" fontId="6" numFmtId="164" xfId="0" applyAlignment="1" applyBorder="1" applyFill="1" applyFont="1" applyNumberFormat="1">
      <alignment shrinkToFit="0" vertical="center" wrapText="0"/>
    </xf>
    <xf borderId="14" fillId="9" fontId="6" numFmtId="166" xfId="0" applyAlignment="1" applyBorder="1" applyFill="1" applyFont="1" applyNumberFormat="1">
      <alignment horizontal="center" shrinkToFit="0" vertical="center" wrapText="0"/>
    </xf>
    <xf borderId="15" fillId="9" fontId="6" numFmtId="0" xfId="0" applyAlignment="1" applyBorder="1" applyFill="1" applyFont="1">
      <alignment shrinkToFit="0" vertical="center" wrapText="0"/>
    </xf>
    <xf borderId="0" fillId="9" fontId="6" numFmtId="0" xfId="0" applyAlignment="1" applyFill="1" applyFont="1">
      <alignment shrinkToFit="0" vertical="center" wrapText="0"/>
    </xf>
    <xf borderId="0" fillId="9" fontId="6" numFmtId="0" xfId="0" applyAlignment="1" applyFill="1" applyFont="1">
      <alignment readingOrder="0" shrinkToFit="0" vertical="center" wrapText="0"/>
    </xf>
    <xf borderId="0" fillId="9" fontId="6" numFmtId="166" xfId="0" applyAlignment="1" applyFill="1" applyFont="1" applyNumberFormat="1">
      <alignment readingOrder="0" shrinkToFit="0" vertical="center" wrapText="0"/>
    </xf>
    <xf borderId="0" fillId="9" fontId="6" numFmtId="166" xfId="0" applyAlignment="1" applyFill="1" applyFont="1" applyNumberFormat="1">
      <alignment horizontal="right" shrinkToFit="0" vertical="center" wrapText="0"/>
    </xf>
    <xf borderId="0" fillId="9" fontId="6" numFmtId="166" xfId="0" applyAlignment="1" applyFill="1" applyFont="1" applyNumberFormat="1">
      <alignment shrinkToFit="0" vertical="center" wrapText="0"/>
    </xf>
    <xf borderId="0" fillId="9" fontId="6" numFmtId="164" xfId="0" applyAlignment="1" applyFill="1" applyFont="1" applyNumberFormat="1">
      <alignment shrinkToFit="0" vertical="center" wrapText="0"/>
    </xf>
    <xf borderId="0" fillId="9" fontId="6" numFmtId="166" xfId="0" applyAlignment="1" applyFill="1" applyFont="1" applyNumberFormat="1">
      <alignment horizontal="center" shrinkToFit="0" vertical="center" wrapText="0"/>
    </xf>
    <xf borderId="0" fillId="9" fontId="6" numFmtId="166" xfId="0" applyAlignment="1" applyFill="1" applyFont="1" applyNumberFormat="1">
      <alignment horizontal="right"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/>
      <fill>
        <patternFill patternType="solid">
          <fgColor rgb="FFE6F4EA"/>
          <bgColor rgb="FFE6F4EA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  <dxf>
      <font/>
      <fill>
        <patternFill patternType="solid">
          <fgColor rgb="FFFFF8E1"/>
          <bgColor rgb="FFFFF8E1"/>
        </patternFill>
      </fill>
      <border/>
    </dxf>
    <dxf>
      <font>
        <b/>
        <color rgb="FF9C0006"/>
      </font>
      <fill>
        <patternFill patternType="solid">
          <fgColor rgb="FFFCE8E6"/>
          <bgColor rgb="FFFCE8E6"/>
        </patternFill>
      </fill>
      <border/>
    </dxf>
  </dxfs>
  <tableStyles count="6">
    <tableStyle count="4" pivot="0" name="CONTROL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VENTA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GASTOS Y COMPRA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RECIOS PERF ORIGINALE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PRECIOS PERF TOP QUALITY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CHANGELOG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Q39" displayName="Control" name="Control" id="1">
  <tableColumns count="17">
    <tableColumn name="FECHA VENTA" id="1"/>
    <tableColumn name="CLIENTE" id="2"/>
    <tableColumn name="VENDEDOR" id="3"/>
    <tableColumn name="PRODUCTO" id="4"/>
    <tableColumn name="PRECIO TOTAL ($)" id="5"/>
    <tableColumn name="MONTO Bs P1" id="6"/>
    <tableColumn name="FECHA P1" id="7"/>
    <tableColumn name="REFERENCIA P1" id="8"/>
    <tableColumn name="MONTO Bs P2" id="9"/>
    <tableColumn name="FECHA P2" id="10"/>
    <tableColumn name="REFERENCIA P2" id="11"/>
    <tableColumn name="MONTO Bs P3" id="12"/>
    <tableColumn name="FECHA P3" id="13"/>
    <tableColumn name="REFERENCIA P3" id="14"/>
    <tableColumn name="ESTATUS" id="15"/>
    <tableColumn name="TOTAL ABONADO Bs" id="16"/>
    <tableColumn name="NOTAS" id="17"/>
  </tableColumns>
  <tableStyleInfo name="CONTROL-style" showColumnStripes="0" showFirstColumn="1" showLastColumn="1" showRowStripes="1"/>
</table>
</file>

<file path=xl/tables/table2.xml><?xml version="1.0" encoding="utf-8"?>
<table xmlns="http://schemas.openxmlformats.org/spreadsheetml/2006/main" ref="A3:L57" displayName="Ventas" name="Ventas" id="2">
  <autoFilter ref="$A$3:$L$57">
    <filterColumn colId="2">
      <filters>
        <filter val="ricardo"/>
        <filter val="Melany"/>
        <filter val="amarista"/>
        <filter val="Ricardo"/>
        <filter val="anderson"/>
        <filter val="Ricardo Gomez"/>
      </filters>
    </filterColumn>
  </autoFilter>
  <tableColumns count="12">
    <tableColumn name="N° OPERACIÓN" id="1"/>
    <tableColumn name="PRODUCTO" id="2"/>
    <tableColumn name="CLIENTE" id="3"/>
    <tableColumn name="VENDEDOR" id="4"/>
    <tableColumn name="PRECIO VENTA ($)" id="5"/>
    <tableColumn name="COSTO ($)" id="6"/>
    <tableColumn name="GANANCIA ($)" id="7"/>
    <tableColumn name="MARGEN" id="8"/>
    <tableColumn name="MONEDA" id="9"/>
    <tableColumn name="ABONADO ($)" id="10"/>
    <tableColumn name="DEUDA ($)" id="11"/>
    <tableColumn name="NOTAS" id="12"/>
  </tableColumns>
  <tableStyleInfo name="VENTAS-style" showColumnStripes="0" showFirstColumn="1" showLastColumn="1" showRowStripes="1"/>
</table>
</file>

<file path=xl/tables/table3.xml><?xml version="1.0" encoding="utf-8"?>
<table xmlns="http://schemas.openxmlformats.org/spreadsheetml/2006/main" ref="A3:H80" displayName="Gastos" name="Gastos" id="3">
  <tableColumns count="8">
    <tableColumn name="LOTE" id="1"/>
    <tableColumn name="FECHA LOTE" id="2"/>
    <tableColumn name="TIPO" id="3"/>
    <tableColumn name="DESCRIPCIÓN" id="4"/>
    <tableColumn name="MONTO ($)" id="5"/>
    <tableColumn name="MONTO Bs" id="6"/>
    <tableColumn name="CANAL" id="7"/>
    <tableColumn name="TEXTO ORIGINAL" id="8"/>
  </tableColumns>
  <tableStyleInfo name="GASTOS Y COMPRAS-style" showColumnStripes="0" showFirstColumn="1" showLastColumn="1" showRowStripes="1"/>
</table>
</file>

<file path=xl/tables/table4.xml><?xml version="1.0" encoding="utf-8"?>
<table xmlns="http://schemas.openxmlformats.org/spreadsheetml/2006/main" ref="A3:D36" displayName="PreciosOriginales" name="PreciosOriginales" id="4">
  <tableColumns count="4">
    <tableColumn name="PRODUCTO" id="1"/>
    <tableColumn name="PRECIO ORIGINAL ($)" id="2"/>
    <tableColumn name="PRECIO TEAM ($)" id="3"/>
    <tableColumn name="PRECIO REVENDEDOR ($)" id="4"/>
  </tableColumns>
  <tableStyleInfo name="PRECIOS PERF ORIGINALES-style" showColumnStripes="0" showFirstColumn="1" showLastColumn="1" showRowStripes="1"/>
</table>
</file>

<file path=xl/tables/table5.xml><?xml version="1.0" encoding="utf-8"?>
<table xmlns="http://schemas.openxmlformats.org/spreadsheetml/2006/main" ref="A3:E215" displayName="PreciosTopQuality" name="PreciosTopQuality" id="5">
  <tableColumns count="5">
    <tableColumn name="LÍNEA" id="1"/>
    <tableColumn name="PRODUCTO" id="2"/>
    <tableColumn name="COSTO ($)" id="3"/>
    <tableColumn name="PRECIO DIVISA / USDT ($)" id="4"/>
    <tableColumn name="PRECIO TASA BCV ($)" id="5"/>
  </tableColumns>
  <tableStyleInfo name="PRECIOS PERF TOP QUALITY-style" showColumnStripes="0" showFirstColumn="1" showLastColumn="1" showRowStripes="1"/>
</table>
</file>

<file path=xl/tables/table6.xml><?xml version="1.0" encoding="utf-8"?>
<table xmlns="http://schemas.openxmlformats.org/spreadsheetml/2006/main" ref="A3:C42" displayName="Changelog" name="Changelog" id="6">
  <tableColumns count="3">
    <tableColumn name="HOJA" id="1"/>
    <tableColumn name="TIPO DE CAMBIO" id="2"/>
    <tableColumn name="DETALLE" id="3"/>
  </tableColumns>
  <tableStyleInfo name="CHANGE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860B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9.0"/>
    <col customWidth="1" min="4" max="4" width="78.0"/>
    <col customWidth="1" min="5" max="26" width="8.71"/>
  </cols>
  <sheetData>
    <row r="1">
      <c r="A1" s="1" t="s">
        <v>0</v>
      </c>
    </row>
    <row r="2">
      <c r="A2" s="2" t="s">
        <v>1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5">
        <v>1.7</v>
      </c>
      <c r="C5" s="6" t="s">
        <v>7</v>
      </c>
      <c r="D5" s="7" t="s">
        <v>8</v>
      </c>
    </row>
    <row r="6">
      <c r="A6" s="4" t="s">
        <v>9</v>
      </c>
      <c r="B6" s="5">
        <v>2.2</v>
      </c>
      <c r="C6" s="6" t="s">
        <v>7</v>
      </c>
      <c r="D6" s="7" t="s">
        <v>10</v>
      </c>
    </row>
    <row r="7">
      <c r="A7" s="4" t="s">
        <v>11</v>
      </c>
      <c r="B7" s="8">
        <v>0.25</v>
      </c>
      <c r="C7" s="6" t="s">
        <v>12</v>
      </c>
      <c r="D7" s="7" t="s">
        <v>13</v>
      </c>
    </row>
    <row r="8">
      <c r="A8" s="4" t="s">
        <v>15</v>
      </c>
      <c r="B8" s="8">
        <v>0.15</v>
      </c>
      <c r="C8" s="6" t="s">
        <v>12</v>
      </c>
      <c r="D8" s="7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5F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29.43"/>
    <col customWidth="1" min="2" max="2" width="20.43"/>
    <col customWidth="1" min="3" max="3" width="19.57"/>
    <col customWidth="1" min="4" max="4" width="22.43"/>
    <col customWidth="1" min="5" max="5" width="25.71"/>
    <col customWidth="1" min="6" max="6" width="23.43"/>
    <col customWidth="1" min="7" max="7" width="22.0"/>
    <col customWidth="1" min="8" max="8" width="25.29"/>
    <col customWidth="1" min="9" max="9" width="21.0"/>
    <col customWidth="1" min="10" max="10" width="22.29"/>
    <col customWidth="1" min="11" max="11" width="25.0"/>
    <col customWidth="1" min="12" max="12" width="21.14"/>
    <col customWidth="1" min="13" max="13" width="20.14"/>
    <col customWidth="1" min="14" max="14" width="23.86"/>
    <col customWidth="1" min="15" max="15" width="24.43"/>
    <col customWidth="1" min="16" max="16" width="25.0"/>
    <col customWidth="1" min="17" max="17" width="46.0"/>
    <col customWidth="1" min="18" max="18" width="3.0"/>
    <col customWidth="1" min="19" max="19" width="28.0"/>
    <col customWidth="1" min="20" max="20" width="16.0"/>
    <col customWidth="1" min="21" max="26" width="8.71"/>
  </cols>
  <sheetData>
    <row r="1">
      <c r="A1" s="1" t="s">
        <v>27</v>
      </c>
    </row>
    <row r="2">
      <c r="F2" s="13" t="s">
        <v>28</v>
      </c>
      <c r="G2" s="14"/>
      <c r="H2" s="15"/>
      <c r="I2" s="13" t="s">
        <v>29</v>
      </c>
      <c r="J2" s="14"/>
      <c r="K2" s="15"/>
      <c r="L2" s="13" t="s">
        <v>30</v>
      </c>
      <c r="M2" s="14"/>
      <c r="N2" s="15"/>
    </row>
    <row r="3" ht="21.75" customHeight="1">
      <c r="A3" s="19" t="s">
        <v>31</v>
      </c>
      <c r="B3" s="19" t="s">
        <v>21</v>
      </c>
      <c r="C3" s="19" t="s">
        <v>20</v>
      </c>
      <c r="D3" s="19" t="s">
        <v>22</v>
      </c>
      <c r="E3" s="19" t="s">
        <v>32</v>
      </c>
      <c r="F3" s="19" t="s">
        <v>33</v>
      </c>
      <c r="G3" s="19" t="s">
        <v>34</v>
      </c>
      <c r="H3" s="19" t="s">
        <v>35</v>
      </c>
      <c r="I3" s="19" t="s">
        <v>36</v>
      </c>
      <c r="J3" s="19" t="s">
        <v>37</v>
      </c>
      <c r="K3" s="19" t="s">
        <v>38</v>
      </c>
      <c r="L3" s="19" t="s">
        <v>39</v>
      </c>
      <c r="M3" s="19" t="s">
        <v>40</v>
      </c>
      <c r="N3" s="19" t="s">
        <v>41</v>
      </c>
      <c r="O3" s="19" t="s">
        <v>42</v>
      </c>
      <c r="P3" s="19" t="s">
        <v>43</v>
      </c>
      <c r="Q3" s="19" t="s">
        <v>26</v>
      </c>
      <c r="S3" s="20" t="s">
        <v>44</v>
      </c>
      <c r="T3" s="21"/>
    </row>
    <row r="4">
      <c r="A4" s="22">
        <v>46200.0</v>
      </c>
      <c r="B4" s="23" t="s">
        <v>46</v>
      </c>
      <c r="C4" s="23" t="s">
        <v>48</v>
      </c>
      <c r="D4" s="23" t="s">
        <v>49</v>
      </c>
      <c r="E4" s="24">
        <v>24.0</v>
      </c>
      <c r="F4" s="25">
        <v>7466.56</v>
      </c>
      <c r="G4" s="22">
        <v>46200.0</v>
      </c>
      <c r="H4" s="26" t="s">
        <v>52</v>
      </c>
      <c r="I4" s="25">
        <v>7835.67</v>
      </c>
      <c r="J4" s="22">
        <v>46207.0</v>
      </c>
      <c r="K4" s="26" t="s">
        <v>55</v>
      </c>
      <c r="L4" s="23"/>
      <c r="M4" s="26"/>
      <c r="N4" s="23"/>
      <c r="O4" s="23" t="s">
        <v>65</v>
      </c>
      <c r="P4" s="30">
        <f t="shared" ref="P4:P39" si="1">IF(COUNT(F4,I4,L4)=0,"",SUM(F4,I4,L4))</f>
        <v>15302.23</v>
      </c>
      <c r="Q4" s="23"/>
      <c r="S4" s="32" t="s">
        <v>73</v>
      </c>
      <c r="T4" s="33">
        <f>COUNT(A:A)</f>
        <v>36</v>
      </c>
    </row>
    <row r="5">
      <c r="A5" s="22">
        <v>46200.0</v>
      </c>
      <c r="B5" s="23" t="s">
        <v>76</v>
      </c>
      <c r="C5" s="23" t="s">
        <v>48</v>
      </c>
      <c r="D5" s="23" t="s">
        <v>79</v>
      </c>
      <c r="E5" s="24">
        <v>42.0</v>
      </c>
      <c r="F5" s="25">
        <v>13066.48</v>
      </c>
      <c r="G5" s="22">
        <v>46200.0</v>
      </c>
      <c r="H5" s="26" t="s">
        <v>81</v>
      </c>
      <c r="I5" s="25">
        <v>14903.56</v>
      </c>
      <c r="J5" s="22">
        <v>46214.0</v>
      </c>
      <c r="K5" s="26" t="s">
        <v>83</v>
      </c>
      <c r="L5" s="23"/>
      <c r="M5" s="26"/>
      <c r="N5" s="23"/>
      <c r="O5" s="23" t="s">
        <v>65</v>
      </c>
      <c r="P5" s="30">
        <f t="shared" si="1"/>
        <v>27970.04</v>
      </c>
      <c r="Q5" s="23"/>
      <c r="S5" s="32" t="s">
        <v>87</v>
      </c>
      <c r="T5" s="42">
        <f>SUM(E:E)</f>
        <v>987</v>
      </c>
    </row>
    <row r="6">
      <c r="A6" s="22">
        <v>46201.0</v>
      </c>
      <c r="B6" s="23" t="s">
        <v>89</v>
      </c>
      <c r="C6" s="23" t="s">
        <v>48</v>
      </c>
      <c r="D6" s="23" t="s">
        <v>90</v>
      </c>
      <c r="E6" s="24">
        <v>42.0</v>
      </c>
      <c r="F6" s="25">
        <v>13066.48</v>
      </c>
      <c r="G6" s="22">
        <v>46201.0</v>
      </c>
      <c r="H6" s="26" t="s">
        <v>91</v>
      </c>
      <c r="I6" s="25">
        <v>15679.22</v>
      </c>
      <c r="J6" s="22">
        <v>46235.0</v>
      </c>
      <c r="K6" s="26" t="s">
        <v>92</v>
      </c>
      <c r="L6" s="23"/>
      <c r="M6" s="26"/>
      <c r="N6" s="23"/>
      <c r="O6" s="23" t="s">
        <v>65</v>
      </c>
      <c r="P6" s="30">
        <f t="shared" si="1"/>
        <v>28745.7</v>
      </c>
      <c r="Q6" s="23"/>
      <c r="S6" s="32" t="s">
        <v>96</v>
      </c>
      <c r="T6" s="46">
        <f>SUM(P:P)</f>
        <v>352546.73</v>
      </c>
    </row>
    <row r="7">
      <c r="A7" s="22">
        <v>46202.0</v>
      </c>
      <c r="B7" s="23" t="s">
        <v>99</v>
      </c>
      <c r="C7" s="23" t="s">
        <v>48</v>
      </c>
      <c r="D7" s="23" t="s">
        <v>100</v>
      </c>
      <c r="E7" s="24">
        <v>42.0</v>
      </c>
      <c r="F7" s="25">
        <v>11823.0</v>
      </c>
      <c r="G7" s="22">
        <v>46202.0</v>
      </c>
      <c r="H7" s="26" t="s">
        <v>103</v>
      </c>
      <c r="I7" s="25">
        <v>8730.0</v>
      </c>
      <c r="J7" s="22">
        <v>46219.0</v>
      </c>
      <c r="K7" s="26" t="s">
        <v>105</v>
      </c>
      <c r="L7" s="25">
        <v>8307.0</v>
      </c>
      <c r="M7" s="22">
        <v>46239.0</v>
      </c>
      <c r="N7" s="26" t="s">
        <v>108</v>
      </c>
      <c r="O7" s="23" t="s">
        <v>65</v>
      </c>
      <c r="P7" s="30">
        <f t="shared" si="1"/>
        <v>28860</v>
      </c>
      <c r="Q7" s="23"/>
      <c r="S7" s="32" t="s">
        <v>111</v>
      </c>
      <c r="T7" s="46">
        <f>SUM(F:F)</f>
        <v>213692.91</v>
      </c>
    </row>
    <row r="8">
      <c r="A8" s="22">
        <v>46206.0</v>
      </c>
      <c r="B8" s="23" t="s">
        <v>114</v>
      </c>
      <c r="C8" s="23" t="s">
        <v>48</v>
      </c>
      <c r="D8" s="23" t="s">
        <v>115</v>
      </c>
      <c r="E8" s="24">
        <v>30.0</v>
      </c>
      <c r="F8" s="25">
        <v>9794.59</v>
      </c>
      <c r="G8" s="22">
        <v>46206.0</v>
      </c>
      <c r="H8" s="26" t="s">
        <v>117</v>
      </c>
      <c r="I8" s="25">
        <v>10645.4</v>
      </c>
      <c r="J8" s="22">
        <v>46215.0</v>
      </c>
      <c r="K8" s="26" t="s">
        <v>120</v>
      </c>
      <c r="L8" s="23"/>
      <c r="M8" s="26"/>
      <c r="N8" s="23"/>
      <c r="O8" s="23" t="s">
        <v>65</v>
      </c>
      <c r="P8" s="30">
        <f t="shared" si="1"/>
        <v>20439.99</v>
      </c>
      <c r="Q8" s="23"/>
      <c r="S8" s="32" t="s">
        <v>122</v>
      </c>
      <c r="T8" s="46">
        <f>SUM(I:I)</f>
        <v>121685.29</v>
      </c>
    </row>
    <row r="9">
      <c r="A9" s="22">
        <v>46207.0</v>
      </c>
      <c r="B9" s="23" t="s">
        <v>124</v>
      </c>
      <c r="C9" s="23" t="s">
        <v>48</v>
      </c>
      <c r="D9" s="23" t="s">
        <v>127</v>
      </c>
      <c r="E9" s="24">
        <v>22.0</v>
      </c>
      <c r="F9" s="25">
        <v>4580.0</v>
      </c>
      <c r="G9" s="22">
        <v>46207.0</v>
      </c>
      <c r="H9" s="26" t="s">
        <v>129</v>
      </c>
      <c r="I9" s="25">
        <v>5100.0</v>
      </c>
      <c r="J9" s="22">
        <v>46218.0</v>
      </c>
      <c r="K9" s="26" t="s">
        <v>131</v>
      </c>
      <c r="L9" s="25">
        <v>5910.0</v>
      </c>
      <c r="M9" s="22">
        <v>46231.0</v>
      </c>
      <c r="N9" s="26" t="s">
        <v>132</v>
      </c>
      <c r="O9" s="23" t="s">
        <v>65</v>
      </c>
      <c r="P9" s="30">
        <f t="shared" si="1"/>
        <v>15590</v>
      </c>
      <c r="Q9" s="23"/>
      <c r="S9" s="32" t="s">
        <v>135</v>
      </c>
      <c r="T9" s="46">
        <f>SUM(L:L)</f>
        <v>17168.53</v>
      </c>
    </row>
    <row r="10">
      <c r="A10" s="22">
        <v>46207.0</v>
      </c>
      <c r="B10" s="23" t="s">
        <v>136</v>
      </c>
      <c r="C10" s="23" t="s">
        <v>48</v>
      </c>
      <c r="D10" s="23" t="s">
        <v>138</v>
      </c>
      <c r="E10" s="24">
        <v>30.0</v>
      </c>
      <c r="F10" s="25">
        <v>13341.0</v>
      </c>
      <c r="G10" s="22">
        <v>46207.0</v>
      </c>
      <c r="H10" s="26" t="s">
        <v>140</v>
      </c>
      <c r="I10" s="25">
        <v>7420.0</v>
      </c>
      <c r="J10" s="22">
        <v>46228.0</v>
      </c>
      <c r="K10" s="26" t="s">
        <v>142</v>
      </c>
      <c r="L10" s="23"/>
      <c r="M10" s="26"/>
      <c r="N10" s="23"/>
      <c r="O10" s="23" t="s">
        <v>65</v>
      </c>
      <c r="P10" s="30">
        <f t="shared" si="1"/>
        <v>20761</v>
      </c>
      <c r="Q10" s="54" t="s">
        <v>143</v>
      </c>
      <c r="S10" s="32" t="s">
        <v>145</v>
      </c>
      <c r="T10" s="33">
        <f>COUNTIF(O:O,"YA PAGO")</f>
        <v>10</v>
      </c>
    </row>
    <row r="11">
      <c r="A11" s="22">
        <v>46207.0</v>
      </c>
      <c r="B11" s="23" t="s">
        <v>146</v>
      </c>
      <c r="C11" s="23" t="s">
        <v>48</v>
      </c>
      <c r="D11" s="23" t="s">
        <v>148</v>
      </c>
      <c r="E11" s="24">
        <v>30.0</v>
      </c>
      <c r="F11" s="25">
        <v>9794.59</v>
      </c>
      <c r="G11" s="22">
        <v>46207.0</v>
      </c>
      <c r="H11" s="26" t="s">
        <v>151</v>
      </c>
      <c r="I11" s="25">
        <v>11068.22</v>
      </c>
      <c r="J11" s="22">
        <v>46228.0</v>
      </c>
      <c r="K11" s="26" t="s">
        <v>152</v>
      </c>
      <c r="L11" s="23"/>
      <c r="M11" s="26"/>
      <c r="N11" s="23"/>
      <c r="O11" s="23" t="s">
        <v>65</v>
      </c>
      <c r="P11" s="30">
        <f t="shared" si="1"/>
        <v>20862.81</v>
      </c>
      <c r="Q11" s="54" t="s">
        <v>143</v>
      </c>
      <c r="S11" s="32" t="s">
        <v>156</v>
      </c>
      <c r="T11" s="33">
        <f>COUNTIF(O:O,"PENDIENTE*")</f>
        <v>3</v>
      </c>
    </row>
    <row r="12">
      <c r="A12" s="22">
        <v>46214.0</v>
      </c>
      <c r="B12" s="23" t="s">
        <v>146</v>
      </c>
      <c r="C12" s="23" t="s">
        <v>48</v>
      </c>
      <c r="D12" s="23" t="s">
        <v>157</v>
      </c>
      <c r="E12" s="24">
        <v>35.0</v>
      </c>
      <c r="F12" s="25">
        <v>14193.87</v>
      </c>
      <c r="G12" s="22">
        <v>46214.0</v>
      </c>
      <c r="H12" s="26" t="s">
        <v>159</v>
      </c>
      <c r="I12" s="25">
        <v>11199.45</v>
      </c>
      <c r="J12" s="22">
        <v>46236.0</v>
      </c>
      <c r="K12" s="26" t="s">
        <v>162</v>
      </c>
      <c r="L12" s="23"/>
      <c r="M12" s="26"/>
      <c r="N12" s="23"/>
      <c r="O12" s="23"/>
      <c r="P12" s="30">
        <f t="shared" si="1"/>
        <v>25393.32</v>
      </c>
      <c r="Q12" s="23"/>
      <c r="S12" s="32" t="s">
        <v>164</v>
      </c>
      <c r="T12" s="33">
        <f>SUMPRODUCT(($A$4:$A$39&lt;&gt;"")*($O$4:$O$39=""))</f>
        <v>23</v>
      </c>
    </row>
    <row r="13">
      <c r="A13" s="22">
        <v>46215.0</v>
      </c>
      <c r="B13" s="23" t="s">
        <v>167</v>
      </c>
      <c r="C13" s="23" t="s">
        <v>48</v>
      </c>
      <c r="D13" s="23" t="s">
        <v>169</v>
      </c>
      <c r="E13" s="24">
        <v>24.0</v>
      </c>
      <c r="F13" s="25">
        <v>17000.0</v>
      </c>
      <c r="G13" s="22">
        <v>46215.0</v>
      </c>
      <c r="H13" s="26" t="s">
        <v>172</v>
      </c>
      <c r="I13" s="23"/>
      <c r="J13" s="26"/>
      <c r="K13" s="23"/>
      <c r="L13" s="23"/>
      <c r="M13" s="26"/>
      <c r="N13" s="23"/>
      <c r="O13" s="23" t="s">
        <v>65</v>
      </c>
      <c r="P13" s="30">
        <f t="shared" si="1"/>
        <v>17000</v>
      </c>
      <c r="Q13" s="23"/>
      <c r="S13" s="32" t="s">
        <v>175</v>
      </c>
      <c r="T13" s="33">
        <f>SUMPRODUCT(($A$4:$A$39&lt;&gt;"")*($F$4:$F$39="")*($I$4:$I$39="")*($L$4:$L$39=""))</f>
        <v>16</v>
      </c>
    </row>
    <row r="14">
      <c r="A14" s="22">
        <v>46218.0</v>
      </c>
      <c r="B14" s="23" t="s">
        <v>171</v>
      </c>
      <c r="C14" s="23" t="s">
        <v>48</v>
      </c>
      <c r="D14" s="23" t="s">
        <v>178</v>
      </c>
      <c r="E14" s="24">
        <v>30.0</v>
      </c>
      <c r="F14" s="25">
        <v>10886.21</v>
      </c>
      <c r="G14" s="22">
        <v>46218.0</v>
      </c>
      <c r="H14" s="26" t="s">
        <v>181</v>
      </c>
      <c r="I14" s="23"/>
      <c r="J14" s="26"/>
      <c r="K14" s="23"/>
      <c r="L14" s="23"/>
      <c r="M14" s="26"/>
      <c r="N14" s="23"/>
      <c r="O14" s="59" t="s">
        <v>184</v>
      </c>
      <c r="P14" s="30">
        <f t="shared" si="1"/>
        <v>10886.21</v>
      </c>
      <c r="Q14" s="23"/>
    </row>
    <row r="15">
      <c r="A15" s="22">
        <v>46219.0</v>
      </c>
      <c r="B15" s="23" t="s">
        <v>88</v>
      </c>
      <c r="C15" s="23" t="s">
        <v>48</v>
      </c>
      <c r="D15" s="23" t="s">
        <v>86</v>
      </c>
      <c r="E15" s="24">
        <v>30.0</v>
      </c>
      <c r="F15" s="25">
        <v>14549.02</v>
      </c>
      <c r="G15" s="22">
        <v>46219.0</v>
      </c>
      <c r="H15" s="26" t="s">
        <v>188</v>
      </c>
      <c r="I15" s="25">
        <v>3733.15</v>
      </c>
      <c r="J15" s="22">
        <v>46236.0</v>
      </c>
      <c r="K15" s="26" t="s">
        <v>190</v>
      </c>
      <c r="L15" s="23"/>
      <c r="M15" s="26"/>
      <c r="N15" s="23"/>
      <c r="O15" s="23" t="s">
        <v>184</v>
      </c>
      <c r="P15" s="30">
        <f t="shared" si="1"/>
        <v>18282.17</v>
      </c>
      <c r="Q15" s="23"/>
      <c r="S15" s="4" t="s">
        <v>193</v>
      </c>
      <c r="T15" s="60">
        <v>306.0</v>
      </c>
    </row>
    <row r="16">
      <c r="A16" s="22">
        <v>46220.0</v>
      </c>
      <c r="B16" s="23" t="s">
        <v>46</v>
      </c>
      <c r="C16" s="23" t="s">
        <v>48</v>
      </c>
      <c r="D16" s="23" t="s">
        <v>196</v>
      </c>
      <c r="E16" s="24">
        <v>34.0</v>
      </c>
      <c r="F16" s="25">
        <v>10645.4</v>
      </c>
      <c r="G16" s="22">
        <v>46213.0</v>
      </c>
      <c r="H16" s="26" t="s">
        <v>199</v>
      </c>
      <c r="I16" s="25">
        <v>10987.18</v>
      </c>
      <c r="J16" s="22">
        <v>46220.0</v>
      </c>
      <c r="K16" s="26" t="s">
        <v>200</v>
      </c>
      <c r="L16" s="25">
        <v>2951.53</v>
      </c>
      <c r="M16" s="22">
        <v>46227.0</v>
      </c>
      <c r="N16" s="26" t="s">
        <v>201</v>
      </c>
      <c r="O16" s="23" t="s">
        <v>65</v>
      </c>
      <c r="P16" s="30">
        <f t="shared" si="1"/>
        <v>24584.11</v>
      </c>
      <c r="Q16" s="23"/>
      <c r="S16" s="61" t="s">
        <v>203</v>
      </c>
    </row>
    <row r="17">
      <c r="A17" s="22">
        <v>46192.0</v>
      </c>
      <c r="B17" s="23" t="s">
        <v>205</v>
      </c>
      <c r="C17" s="23" t="s">
        <v>48</v>
      </c>
      <c r="D17" s="23" t="s">
        <v>207</v>
      </c>
      <c r="E17" s="24">
        <v>30.0</v>
      </c>
      <c r="F17" s="23"/>
      <c r="G17" s="26"/>
      <c r="H17" s="23"/>
      <c r="I17" s="23"/>
      <c r="J17" s="26"/>
      <c r="K17" s="23"/>
      <c r="L17" s="23"/>
      <c r="M17" s="26"/>
      <c r="N17" s="23"/>
      <c r="O17" s="23" t="s">
        <v>215</v>
      </c>
      <c r="P17" s="30" t="str">
        <f t="shared" si="1"/>
        <v/>
      </c>
      <c r="Q17" s="23"/>
    </row>
    <row r="18">
      <c r="A18" s="22">
        <v>46199.0</v>
      </c>
      <c r="B18" s="23" t="s">
        <v>218</v>
      </c>
      <c r="C18" s="23" t="s">
        <v>221</v>
      </c>
      <c r="D18" s="23" t="s">
        <v>223</v>
      </c>
      <c r="E18" s="24">
        <v>24.0</v>
      </c>
      <c r="F18" s="25">
        <v>18183.0</v>
      </c>
      <c r="G18" s="22">
        <v>46244.0</v>
      </c>
      <c r="H18" s="26" t="s">
        <v>226</v>
      </c>
      <c r="I18" s="23"/>
      <c r="J18" s="26"/>
      <c r="K18" s="23"/>
      <c r="L18" s="23"/>
      <c r="M18" s="26"/>
      <c r="N18" s="23"/>
      <c r="O18" s="23"/>
      <c r="P18" s="30">
        <f t="shared" si="1"/>
        <v>18183</v>
      </c>
      <c r="Q18" s="23"/>
      <c r="S18" s="9" t="s">
        <v>230</v>
      </c>
    </row>
    <row r="19">
      <c r="A19" s="22">
        <v>46220.0</v>
      </c>
      <c r="B19" s="23" t="s">
        <v>231</v>
      </c>
      <c r="C19" s="23" t="s">
        <v>48</v>
      </c>
      <c r="D19" s="23" t="s">
        <v>233</v>
      </c>
      <c r="E19" s="24">
        <v>12.0</v>
      </c>
      <c r="F19" s="23"/>
      <c r="G19" s="22">
        <v>46236.0</v>
      </c>
      <c r="H19" s="23"/>
      <c r="I19" s="23"/>
      <c r="J19" s="26"/>
      <c r="K19" s="23"/>
      <c r="L19" s="23"/>
      <c r="M19" s="26"/>
      <c r="N19" s="23"/>
      <c r="O19" s="23"/>
      <c r="P19" s="30" t="str">
        <f t="shared" si="1"/>
        <v/>
      </c>
      <c r="Q19" s="54" t="s">
        <v>238</v>
      </c>
      <c r="S19" s="63" t="s">
        <v>240</v>
      </c>
      <c r="T19" s="64">
        <v>260.0</v>
      </c>
    </row>
    <row r="20">
      <c r="A20" s="22">
        <v>46220.0</v>
      </c>
      <c r="B20" s="23" t="s">
        <v>231</v>
      </c>
      <c r="C20" s="23" t="s">
        <v>48</v>
      </c>
      <c r="D20" s="23" t="s">
        <v>242</v>
      </c>
      <c r="E20" s="24">
        <v>16.0</v>
      </c>
      <c r="F20" s="23"/>
      <c r="G20" s="22">
        <v>46236.0</v>
      </c>
      <c r="H20" s="23"/>
      <c r="I20" s="23"/>
      <c r="J20" s="26"/>
      <c r="K20" s="23"/>
      <c r="L20" s="23"/>
      <c r="M20" s="26"/>
      <c r="N20" s="23"/>
      <c r="O20" s="23"/>
      <c r="P20" s="30" t="str">
        <f t="shared" si="1"/>
        <v/>
      </c>
      <c r="Q20" s="54" t="s">
        <v>247</v>
      </c>
      <c r="S20" s="63" t="s">
        <v>249</v>
      </c>
      <c r="T20" s="64">
        <v>100.0</v>
      </c>
    </row>
    <row r="21" ht="15.75" customHeight="1">
      <c r="A21" s="22">
        <v>46232.0</v>
      </c>
      <c r="B21" s="23" t="s">
        <v>146</v>
      </c>
      <c r="C21" s="23" t="s">
        <v>48</v>
      </c>
      <c r="D21" s="23" t="s">
        <v>176</v>
      </c>
      <c r="E21" s="24">
        <v>24.0</v>
      </c>
      <c r="F21" s="25">
        <v>8854.58</v>
      </c>
      <c r="G21" s="22">
        <v>46231.0</v>
      </c>
      <c r="H21" s="26" t="s">
        <v>253</v>
      </c>
      <c r="I21" s="25">
        <v>8985.44</v>
      </c>
      <c r="J21" s="22">
        <v>46237.0</v>
      </c>
      <c r="K21" s="26" t="s">
        <v>256</v>
      </c>
      <c r="L21" s="23"/>
      <c r="M21" s="26"/>
      <c r="N21" s="23"/>
      <c r="O21" s="23"/>
      <c r="P21" s="30">
        <f t="shared" si="1"/>
        <v>17840.02</v>
      </c>
      <c r="Q21" s="23"/>
    </row>
    <row r="22" ht="15.75" customHeight="1">
      <c r="A22" s="22">
        <v>46232.0</v>
      </c>
      <c r="B22" s="23" t="s">
        <v>171</v>
      </c>
      <c r="C22" s="23" t="s">
        <v>48</v>
      </c>
      <c r="D22" s="23" t="s">
        <v>173</v>
      </c>
      <c r="E22" s="24">
        <v>24.0</v>
      </c>
      <c r="F22" s="23"/>
      <c r="G22" s="26"/>
      <c r="H22" s="23"/>
      <c r="I22" s="23"/>
      <c r="J22" s="26"/>
      <c r="K22" s="23"/>
      <c r="L22" s="23"/>
      <c r="M22" s="26"/>
      <c r="N22" s="23"/>
      <c r="O22" s="23"/>
      <c r="P22" s="30" t="str">
        <f t="shared" si="1"/>
        <v/>
      </c>
      <c r="Q22" s="23"/>
    </row>
    <row r="23" ht="15.75" customHeight="1">
      <c r="A23" s="22">
        <v>46233.0</v>
      </c>
      <c r="B23" s="23" t="s">
        <v>124</v>
      </c>
      <c r="C23" s="23" t="s">
        <v>48</v>
      </c>
      <c r="D23" s="23" t="s">
        <v>252</v>
      </c>
      <c r="E23" s="24">
        <v>22.0</v>
      </c>
      <c r="F23" s="25">
        <v>5400.0</v>
      </c>
      <c r="G23" s="22">
        <v>46250.0</v>
      </c>
      <c r="H23" s="26" t="s">
        <v>269</v>
      </c>
      <c r="I23" s="23"/>
      <c r="J23" s="26"/>
      <c r="K23" s="23"/>
      <c r="L23" s="23"/>
      <c r="M23" s="26"/>
      <c r="N23" s="23"/>
      <c r="O23" s="23"/>
      <c r="P23" s="30">
        <f t="shared" si="1"/>
        <v>5400</v>
      </c>
      <c r="Q23" s="23"/>
    </row>
    <row r="24" ht="15.75" customHeight="1">
      <c r="A24" s="22">
        <v>46236.0</v>
      </c>
      <c r="B24" s="23" t="s">
        <v>274</v>
      </c>
      <c r="C24" s="23" t="s">
        <v>48</v>
      </c>
      <c r="D24" s="23" t="s">
        <v>166</v>
      </c>
      <c r="E24" s="24">
        <v>22.0</v>
      </c>
      <c r="F24" s="25">
        <v>8212.93</v>
      </c>
      <c r="G24" s="22">
        <v>46236.0</v>
      </c>
      <c r="H24" s="26" t="s">
        <v>277</v>
      </c>
      <c r="I24" s="23"/>
      <c r="J24" s="26"/>
      <c r="K24" s="23"/>
      <c r="L24" s="23"/>
      <c r="M24" s="26"/>
      <c r="N24" s="23"/>
      <c r="O24" s="23"/>
      <c r="P24" s="30">
        <f t="shared" si="1"/>
        <v>8212.93</v>
      </c>
      <c r="Q24" s="23"/>
    </row>
    <row r="25" ht="15.75" customHeight="1">
      <c r="A25" s="22">
        <v>46236.0</v>
      </c>
      <c r="B25" s="23" t="s">
        <v>281</v>
      </c>
      <c r="C25" s="23" t="s">
        <v>48</v>
      </c>
      <c r="D25" s="23" t="s">
        <v>180</v>
      </c>
      <c r="E25" s="24">
        <v>22.0</v>
      </c>
      <c r="F25" s="25">
        <v>5226.34</v>
      </c>
      <c r="G25" s="22">
        <v>46236.0</v>
      </c>
      <c r="H25" s="26" t="s">
        <v>284</v>
      </c>
      <c r="I25" s="25">
        <v>5398.0</v>
      </c>
      <c r="J25" s="22">
        <v>46249.0</v>
      </c>
      <c r="K25" s="26" t="s">
        <v>285</v>
      </c>
      <c r="L25" s="23"/>
      <c r="M25" s="26"/>
      <c r="N25" s="23"/>
      <c r="O25" s="23"/>
      <c r="P25" s="30">
        <f t="shared" si="1"/>
        <v>10624.34</v>
      </c>
      <c r="Q25" s="23"/>
    </row>
    <row r="26" ht="15.75" customHeight="1">
      <c r="A26" s="22">
        <v>46061.0</v>
      </c>
      <c r="B26" s="23" t="s">
        <v>99</v>
      </c>
      <c r="C26" s="23" t="s">
        <v>48</v>
      </c>
      <c r="D26" s="23" t="s">
        <v>252</v>
      </c>
      <c r="E26" s="24">
        <v>24.0</v>
      </c>
      <c r="F26" s="23"/>
      <c r="G26" s="26"/>
      <c r="H26" s="23"/>
      <c r="I26" s="23"/>
      <c r="J26" s="26"/>
      <c r="K26" s="23"/>
      <c r="L26" s="23"/>
      <c r="M26" s="26"/>
      <c r="N26" s="23"/>
      <c r="O26" s="23"/>
      <c r="P26" s="30" t="str">
        <f t="shared" si="1"/>
        <v/>
      </c>
      <c r="Q26" s="23"/>
    </row>
    <row r="27" ht="15.75" customHeight="1">
      <c r="A27" s="22">
        <v>46061.0</v>
      </c>
      <c r="B27" s="23" t="s">
        <v>296</v>
      </c>
      <c r="C27" s="23" t="s">
        <v>48</v>
      </c>
      <c r="D27" s="23" t="s">
        <v>137</v>
      </c>
      <c r="E27" s="24">
        <v>24.0</v>
      </c>
      <c r="F27" s="23"/>
      <c r="G27" s="26"/>
      <c r="H27" s="23"/>
      <c r="I27" s="23"/>
      <c r="J27" s="26"/>
      <c r="K27" s="23"/>
      <c r="L27" s="23"/>
      <c r="M27" s="26"/>
      <c r="N27" s="23"/>
      <c r="O27" s="23"/>
      <c r="P27" s="30" t="str">
        <f t="shared" si="1"/>
        <v/>
      </c>
      <c r="Q27" s="23"/>
    </row>
    <row r="28" ht="15.75" customHeight="1">
      <c r="A28" s="22">
        <v>46061.0</v>
      </c>
      <c r="B28" s="23" t="s">
        <v>300</v>
      </c>
      <c r="C28" s="23" t="s">
        <v>300</v>
      </c>
      <c r="D28" s="23" t="s">
        <v>288</v>
      </c>
      <c r="E28" s="24">
        <v>18.0</v>
      </c>
      <c r="F28" s="23"/>
      <c r="G28" s="26"/>
      <c r="H28" s="23"/>
      <c r="I28" s="23"/>
      <c r="J28" s="26"/>
      <c r="K28" s="23"/>
      <c r="L28" s="23"/>
      <c r="M28" s="26"/>
      <c r="N28" s="23"/>
      <c r="O28" s="23"/>
      <c r="P28" s="30" t="str">
        <f t="shared" si="1"/>
        <v/>
      </c>
      <c r="Q28" s="54" t="s">
        <v>305</v>
      </c>
    </row>
    <row r="29" ht="15.75" customHeight="1">
      <c r="A29" s="22">
        <v>46061.0</v>
      </c>
      <c r="B29" s="23" t="s">
        <v>221</v>
      </c>
      <c r="C29" s="23" t="s">
        <v>221</v>
      </c>
      <c r="D29" s="23" t="s">
        <v>176</v>
      </c>
      <c r="E29" s="24">
        <v>12.0</v>
      </c>
      <c r="F29" s="23"/>
      <c r="G29" s="26"/>
      <c r="H29" s="23"/>
      <c r="I29" s="23"/>
      <c r="J29" s="26"/>
      <c r="K29" s="23"/>
      <c r="L29" s="23"/>
      <c r="M29" s="26"/>
      <c r="N29" s="23"/>
      <c r="O29" s="23"/>
      <c r="P29" s="30" t="str">
        <f t="shared" si="1"/>
        <v/>
      </c>
      <c r="Q29" s="54" t="s">
        <v>309</v>
      </c>
    </row>
    <row r="30" ht="15.75" customHeight="1">
      <c r="A30" s="22">
        <v>46061.0</v>
      </c>
      <c r="B30" s="23" t="s">
        <v>310</v>
      </c>
      <c r="C30" s="23" t="s">
        <v>300</v>
      </c>
      <c r="D30" s="23" t="s">
        <v>311</v>
      </c>
      <c r="E30" s="24">
        <v>22.0</v>
      </c>
      <c r="F30" s="23"/>
      <c r="G30" s="26"/>
      <c r="H30" s="23"/>
      <c r="I30" s="23"/>
      <c r="J30" s="26"/>
      <c r="K30" s="23"/>
      <c r="L30" s="23"/>
      <c r="M30" s="26"/>
      <c r="N30" s="23"/>
      <c r="O30" s="23"/>
      <c r="P30" s="30" t="str">
        <f t="shared" si="1"/>
        <v/>
      </c>
      <c r="Q30" s="23"/>
    </row>
    <row r="31" ht="15.75" customHeight="1">
      <c r="A31" s="22">
        <v>46061.0</v>
      </c>
      <c r="B31" s="23" t="s">
        <v>310</v>
      </c>
      <c r="C31" s="23" t="s">
        <v>300</v>
      </c>
      <c r="D31" s="23" t="s">
        <v>314</v>
      </c>
      <c r="E31" s="24">
        <v>22.0</v>
      </c>
      <c r="F31" s="23"/>
      <c r="G31" s="26"/>
      <c r="H31" s="23"/>
      <c r="I31" s="23"/>
      <c r="J31" s="26"/>
      <c r="K31" s="23"/>
      <c r="L31" s="23"/>
      <c r="M31" s="26"/>
      <c r="N31" s="23"/>
      <c r="O31" s="23"/>
      <c r="P31" s="30" t="str">
        <f t="shared" si="1"/>
        <v/>
      </c>
      <c r="Q31" s="23"/>
    </row>
    <row r="32" ht="15.75" customHeight="1">
      <c r="A32" s="22">
        <v>46061.0</v>
      </c>
      <c r="B32" s="23" t="s">
        <v>315</v>
      </c>
      <c r="C32" s="23" t="s">
        <v>300</v>
      </c>
      <c r="D32" s="23" t="s">
        <v>316</v>
      </c>
      <c r="E32" s="24">
        <v>22.0</v>
      </c>
      <c r="F32" s="23"/>
      <c r="G32" s="26"/>
      <c r="H32" s="23"/>
      <c r="I32" s="23"/>
      <c r="J32" s="26"/>
      <c r="K32" s="23"/>
      <c r="L32" s="23"/>
      <c r="M32" s="26"/>
      <c r="N32" s="23"/>
      <c r="O32" s="23"/>
      <c r="P32" s="30" t="str">
        <f t="shared" si="1"/>
        <v/>
      </c>
      <c r="Q32" s="23"/>
    </row>
    <row r="33" ht="15.75" customHeight="1">
      <c r="A33" s="22">
        <v>46061.0</v>
      </c>
      <c r="B33" s="23" t="s">
        <v>315</v>
      </c>
      <c r="C33" s="23" t="s">
        <v>300</v>
      </c>
      <c r="D33" s="23" t="s">
        <v>320</v>
      </c>
      <c r="E33" s="24">
        <v>22.0</v>
      </c>
      <c r="F33" s="23"/>
      <c r="G33" s="26"/>
      <c r="H33" s="23"/>
      <c r="I33" s="23"/>
      <c r="J33" s="26"/>
      <c r="K33" s="23"/>
      <c r="L33" s="23"/>
      <c r="M33" s="26"/>
      <c r="N33" s="23"/>
      <c r="O33" s="23"/>
      <c r="P33" s="30" t="str">
        <f t="shared" si="1"/>
        <v/>
      </c>
      <c r="Q33" s="23"/>
    </row>
    <row r="34" ht="15.75" customHeight="1">
      <c r="A34" s="22">
        <v>46244.0</v>
      </c>
      <c r="B34" s="23" t="s">
        <v>323</v>
      </c>
      <c r="C34" s="23" t="s">
        <v>221</v>
      </c>
      <c r="D34" s="23" t="s">
        <v>324</v>
      </c>
      <c r="E34" s="24">
        <v>42.0</v>
      </c>
      <c r="F34" s="23"/>
      <c r="G34" s="26"/>
      <c r="H34" s="23"/>
      <c r="I34" s="23"/>
      <c r="J34" s="26"/>
      <c r="K34" s="23"/>
      <c r="L34" s="23"/>
      <c r="M34" s="26"/>
      <c r="N34" s="23"/>
      <c r="O34" s="23"/>
      <c r="P34" s="30" t="str">
        <f t="shared" si="1"/>
        <v/>
      </c>
      <c r="Q34" s="23"/>
    </row>
    <row r="35" ht="15.75" customHeight="1">
      <c r="A35" s="22">
        <v>46245.0</v>
      </c>
      <c r="B35" s="23" t="s">
        <v>329</v>
      </c>
      <c r="C35" s="23" t="s">
        <v>48</v>
      </c>
      <c r="D35" s="23" t="s">
        <v>311</v>
      </c>
      <c r="E35" s="24">
        <v>24.0</v>
      </c>
      <c r="F35" s="25">
        <v>9252.86</v>
      </c>
      <c r="G35" s="22">
        <v>46249.0</v>
      </c>
      <c r="H35" s="26" t="s">
        <v>332</v>
      </c>
      <c r="I35" s="23"/>
      <c r="J35" s="26"/>
      <c r="K35" s="23"/>
      <c r="L35" s="23"/>
      <c r="M35" s="26"/>
      <c r="N35" s="23"/>
      <c r="O35" s="23"/>
      <c r="P35" s="30">
        <f t="shared" si="1"/>
        <v>9252.86</v>
      </c>
      <c r="Q35" s="23"/>
    </row>
    <row r="36" ht="15.75" customHeight="1">
      <c r="A36" s="22">
        <v>46244.0</v>
      </c>
      <c r="B36" s="23" t="s">
        <v>335</v>
      </c>
      <c r="C36" s="23" t="s">
        <v>300</v>
      </c>
      <c r="D36" s="23" t="s">
        <v>263</v>
      </c>
      <c r="E36" s="24">
        <v>24.0</v>
      </c>
      <c r="F36" s="23"/>
      <c r="G36" s="26"/>
      <c r="H36" s="23"/>
      <c r="I36" s="23"/>
      <c r="J36" s="26"/>
      <c r="K36" s="23"/>
      <c r="L36" s="23"/>
      <c r="M36" s="26"/>
      <c r="N36" s="23"/>
      <c r="O36" s="23"/>
      <c r="P36" s="30" t="str">
        <f t="shared" si="1"/>
        <v/>
      </c>
      <c r="Q36" s="23"/>
    </row>
    <row r="37" ht="15.75" customHeight="1">
      <c r="A37" s="22">
        <v>46244.0</v>
      </c>
      <c r="B37" s="23" t="s">
        <v>338</v>
      </c>
      <c r="C37" s="23" t="s">
        <v>300</v>
      </c>
      <c r="D37" s="23" t="s">
        <v>320</v>
      </c>
      <c r="E37" s="24">
        <v>31.0</v>
      </c>
      <c r="F37" s="23"/>
      <c r="G37" s="26"/>
      <c r="H37" s="23"/>
      <c r="I37" s="23"/>
      <c r="J37" s="26"/>
      <c r="K37" s="23"/>
      <c r="L37" s="23"/>
      <c r="M37" s="26"/>
      <c r="N37" s="23"/>
      <c r="O37" s="23"/>
      <c r="P37" s="30" t="str">
        <f t="shared" si="1"/>
        <v/>
      </c>
      <c r="Q37" s="23"/>
    </row>
    <row r="38" ht="15.75" customHeight="1">
      <c r="A38" s="22">
        <v>46246.0</v>
      </c>
      <c r="B38" s="23" t="s">
        <v>342</v>
      </c>
      <c r="C38" s="23" t="s">
        <v>48</v>
      </c>
      <c r="D38" s="23" t="s">
        <v>327</v>
      </c>
      <c r="E38" s="24">
        <v>19.0</v>
      </c>
      <c r="F38" s="25">
        <v>8356.0</v>
      </c>
      <c r="G38" s="22">
        <v>46246.0</v>
      </c>
      <c r="H38" s="26" t="s">
        <v>344</v>
      </c>
      <c r="I38" s="23"/>
      <c r="J38" s="26"/>
      <c r="K38" s="23"/>
      <c r="L38" s="23"/>
      <c r="M38" s="26"/>
      <c r="N38" s="23"/>
      <c r="O38" s="23"/>
      <c r="P38" s="30">
        <f t="shared" si="1"/>
        <v>8356</v>
      </c>
      <c r="Q38" s="54" t="s">
        <v>346</v>
      </c>
    </row>
    <row r="39" ht="15.75" customHeight="1">
      <c r="A39" s="22">
        <v>46247.0</v>
      </c>
      <c r="B39" s="23" t="s">
        <v>349</v>
      </c>
      <c r="C39" s="23" t="s">
        <v>48</v>
      </c>
      <c r="D39" s="23" t="s">
        <v>350</v>
      </c>
      <c r="E39" s="24">
        <v>70.0</v>
      </c>
      <c r="F39" s="23"/>
      <c r="G39" s="26"/>
      <c r="H39" s="23"/>
      <c r="I39" s="23"/>
      <c r="J39" s="26"/>
      <c r="K39" s="23"/>
      <c r="L39" s="23"/>
      <c r="M39" s="26"/>
      <c r="N39" s="23"/>
      <c r="O39" s="23"/>
      <c r="P39" s="30" t="str">
        <f t="shared" si="1"/>
        <v/>
      </c>
      <c r="Q39" s="2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F948F2C-2C82-4FC3-A4F2-BB269AEF8BD6}" filter="1" showAutoFilter="1">
      <autoFilter ref="$A$3:$Q$39"/>
    </customSheetView>
  </customSheetViews>
  <mergeCells count="4">
    <mergeCell ref="F2:H2"/>
    <mergeCell ref="I2:K2"/>
    <mergeCell ref="L2:N2"/>
    <mergeCell ref="S3:T3"/>
  </mergeCells>
  <conditionalFormatting sqref="O4:O39">
    <cfRule type="expression" dxfId="4" priority="1">
      <formula>$O4="YA PAGO"</formula>
    </cfRule>
  </conditionalFormatting>
  <conditionalFormatting sqref="O4:O39">
    <cfRule type="expression" dxfId="5" priority="2">
      <formula>LEFT($O4,10)="PENDIENTE"</formula>
    </cfRule>
  </conditionalFormatting>
  <conditionalFormatting sqref="A4:Q39">
    <cfRule type="expression" dxfId="6" priority="3">
      <formula>AND($A4&lt;&gt;"",COUNT($F4,$I4,$L4)=0)</formula>
    </cfRule>
  </conditionalFormatting>
  <dataValidations>
    <dataValidation type="list" allowBlank="1" sqref="O4:O39">
      <formula1>"YA PAGO,PENDIENTE,PENDIENTE (SIN ABONOS)"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5F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0.43"/>
    <col customWidth="1" min="2" max="2" width="27.43"/>
    <col customWidth="1" min="3" max="3" width="20.43"/>
    <col customWidth="1" min="4" max="4" width="11.43"/>
    <col customWidth="1" min="5" max="5" width="18.43"/>
    <col customWidth="1" min="6" max="6" width="11.43"/>
    <col customWidth="1" min="7" max="8" width="14.43"/>
    <col customWidth="1" min="9" max="9" width="10.43"/>
    <col customWidth="1" min="10" max="11" width="14.43"/>
    <col customWidth="1" min="12" max="12" width="40.0"/>
    <col customWidth="1" min="13" max="13" width="3.0"/>
    <col customWidth="1" min="14" max="14" width="24.0"/>
    <col customWidth="1" min="15" max="15" width="16.0"/>
    <col customWidth="1" min="16" max="26" width="8.71"/>
  </cols>
  <sheetData>
    <row r="1">
      <c r="A1" s="1" t="s">
        <v>45</v>
      </c>
    </row>
    <row r="3" ht="19.5" customHeight="1">
      <c r="A3" s="19" t="s">
        <v>47</v>
      </c>
      <c r="B3" s="19" t="s">
        <v>22</v>
      </c>
      <c r="C3" s="19" t="s">
        <v>21</v>
      </c>
      <c r="D3" s="19" t="s">
        <v>20</v>
      </c>
      <c r="E3" s="19" t="s">
        <v>54</v>
      </c>
      <c r="F3" s="19" t="s">
        <v>57</v>
      </c>
      <c r="G3" s="19" t="s">
        <v>60</v>
      </c>
      <c r="H3" s="19" t="s">
        <v>62</v>
      </c>
      <c r="I3" s="19" t="s">
        <v>64</v>
      </c>
      <c r="J3" s="19" t="s">
        <v>68</v>
      </c>
      <c r="K3" s="19" t="s">
        <v>70</v>
      </c>
      <c r="L3" s="19" t="s">
        <v>26</v>
      </c>
      <c r="N3" s="20" t="s">
        <v>44</v>
      </c>
      <c r="O3" s="21"/>
    </row>
    <row r="4" hidden="1">
      <c r="A4" s="38">
        <v>1.0</v>
      </c>
      <c r="B4" s="36" t="s">
        <v>86</v>
      </c>
      <c r="C4" s="36" t="s">
        <v>88</v>
      </c>
      <c r="D4" s="36" t="s">
        <v>48</v>
      </c>
      <c r="E4" s="39">
        <v>30.0</v>
      </c>
      <c r="F4" s="39">
        <v>13.0</v>
      </c>
      <c r="G4" s="44">
        <f t="shared" ref="G4:G44" si="1">IF(COUNT(E4:F4)&lt;2,"",E4-F4)</f>
        <v>17</v>
      </c>
      <c r="H4" s="45">
        <f t="shared" ref="H4:H57" si="2">IF(OR(G4="",E4=""),"",G4/E4)</f>
        <v>0.5666666667</v>
      </c>
      <c r="I4" s="38" t="s">
        <v>97</v>
      </c>
      <c r="J4" s="44">
        <f>SUMIFS('REGISTRO DE CUOTAS'!$F:$F,'REGISTRO DE CUOTAS'!$D:$D,$C4,'REGISTRO DE CUOTAS'!$E:$E,$B4)</f>
        <v>0</v>
      </c>
      <c r="K4" s="44">
        <f t="shared" ref="K4:K57" si="3">IF(E4="","",E4-J4)</f>
        <v>30</v>
      </c>
      <c r="L4" s="36"/>
      <c r="N4" s="32" t="s">
        <v>109</v>
      </c>
      <c r="O4" s="33">
        <f>COUNTA($B$4:$B$44)</f>
        <v>41</v>
      </c>
    </row>
    <row r="5" hidden="1">
      <c r="A5" s="38">
        <v>2.0</v>
      </c>
      <c r="B5" s="36" t="s">
        <v>90</v>
      </c>
      <c r="C5" s="36" t="s">
        <v>89</v>
      </c>
      <c r="D5" s="36" t="s">
        <v>48</v>
      </c>
      <c r="E5" s="39">
        <v>42.0</v>
      </c>
      <c r="F5" s="39">
        <v>20.0</v>
      </c>
      <c r="G5" s="44">
        <f t="shared" si="1"/>
        <v>22</v>
      </c>
      <c r="H5" s="45">
        <f t="shared" si="2"/>
        <v>0.5238095238</v>
      </c>
      <c r="I5" s="38" t="s">
        <v>97</v>
      </c>
      <c r="J5" s="44">
        <f>SUMIFS('REGISTRO DE CUOTAS'!$F:$F,'REGISTRO DE CUOTAS'!$D:$D,$C5,'REGISTRO DE CUOTAS'!$E:$E,$B5)</f>
        <v>0</v>
      </c>
      <c r="K5" s="44">
        <f t="shared" si="3"/>
        <v>42</v>
      </c>
      <c r="L5" s="36"/>
      <c r="N5" s="32" t="s">
        <v>125</v>
      </c>
      <c r="O5" s="42">
        <f>SUM(E:E)</f>
        <v>1299.5</v>
      </c>
    </row>
    <row r="6" hidden="1">
      <c r="A6" s="38">
        <v>3.0</v>
      </c>
      <c r="B6" s="36" t="s">
        <v>130</v>
      </c>
      <c r="C6" s="36" t="s">
        <v>76</v>
      </c>
      <c r="D6" s="36" t="s">
        <v>48</v>
      </c>
      <c r="E6" s="39">
        <v>42.0</v>
      </c>
      <c r="F6" s="39">
        <v>20.0</v>
      </c>
      <c r="G6" s="44">
        <f t="shared" si="1"/>
        <v>22</v>
      </c>
      <c r="H6" s="45">
        <f t="shared" si="2"/>
        <v>0.5238095238</v>
      </c>
      <c r="I6" s="38" t="s">
        <v>97</v>
      </c>
      <c r="J6" s="44">
        <f>SUMIFS('REGISTRO DE CUOTAS'!$F:$F,'REGISTRO DE CUOTAS'!$D:$D,$C6,'REGISTRO DE CUOTAS'!$E:$E,$B6)</f>
        <v>0</v>
      </c>
      <c r="K6" s="44">
        <f t="shared" si="3"/>
        <v>42</v>
      </c>
      <c r="L6" s="36"/>
      <c r="N6" s="32" t="s">
        <v>144</v>
      </c>
      <c r="O6" s="42">
        <f>SUM(F:F)</f>
        <v>737</v>
      </c>
    </row>
    <row r="7">
      <c r="A7" s="38">
        <v>4.0</v>
      </c>
      <c r="B7" s="36" t="s">
        <v>100</v>
      </c>
      <c r="C7" s="36" t="s">
        <v>99</v>
      </c>
      <c r="D7" s="36" t="s">
        <v>48</v>
      </c>
      <c r="E7" s="39">
        <v>42.0</v>
      </c>
      <c r="F7" s="39">
        <v>20.0</v>
      </c>
      <c r="G7" s="44">
        <f t="shared" si="1"/>
        <v>22</v>
      </c>
      <c r="H7" s="45">
        <f t="shared" si="2"/>
        <v>0.5238095238</v>
      </c>
      <c r="I7" s="38" t="s">
        <v>97</v>
      </c>
      <c r="J7" s="44">
        <f>SUMIFS('REGISTRO DE CUOTAS'!$F:$F,'REGISTRO DE CUOTAS'!$D:$D,$C7,'REGISTRO DE CUOTAS'!$E:$E,$B7)</f>
        <v>0</v>
      </c>
      <c r="K7" s="44">
        <f t="shared" si="3"/>
        <v>42</v>
      </c>
      <c r="L7" s="36"/>
      <c r="N7" s="32" t="s">
        <v>163</v>
      </c>
      <c r="O7" s="42">
        <f>SUM(G:G)</f>
        <v>555.5</v>
      </c>
    </row>
    <row r="8" hidden="1">
      <c r="A8" s="38">
        <v>5.0</v>
      </c>
      <c r="B8" s="36" t="s">
        <v>168</v>
      </c>
      <c r="C8" s="36" t="s">
        <v>171</v>
      </c>
      <c r="D8" s="36" t="s">
        <v>48</v>
      </c>
      <c r="E8" s="39">
        <v>30.0</v>
      </c>
      <c r="F8" s="39">
        <v>13.0</v>
      </c>
      <c r="G8" s="44">
        <f t="shared" si="1"/>
        <v>17</v>
      </c>
      <c r="H8" s="45">
        <f t="shared" si="2"/>
        <v>0.5666666667</v>
      </c>
      <c r="I8" s="38" t="s">
        <v>97</v>
      </c>
      <c r="J8" s="44">
        <f>SUMIFS('REGISTRO DE CUOTAS'!$F:$F,'REGISTRO DE CUOTAS'!$D:$D,$C8,'REGISTRO DE CUOTAS'!$E:$E,$B8)</f>
        <v>0</v>
      </c>
      <c r="K8" s="44">
        <f t="shared" si="3"/>
        <v>30</v>
      </c>
      <c r="L8" s="36"/>
      <c r="N8" s="32" t="s">
        <v>179</v>
      </c>
      <c r="O8" s="58">
        <f>IF(SUM(E:E)=0,"",SUM(G:G)/SUM(E:E))</f>
        <v>0.4274721047</v>
      </c>
    </row>
    <row r="9" hidden="1">
      <c r="A9" s="38">
        <v>6.0</v>
      </c>
      <c r="B9" s="36" t="s">
        <v>138</v>
      </c>
      <c r="C9" s="36" t="s">
        <v>136</v>
      </c>
      <c r="D9" s="36" t="s">
        <v>48</v>
      </c>
      <c r="E9" s="39">
        <v>30.0</v>
      </c>
      <c r="F9" s="39">
        <v>13.0</v>
      </c>
      <c r="G9" s="44">
        <f t="shared" si="1"/>
        <v>17</v>
      </c>
      <c r="H9" s="45">
        <f t="shared" si="2"/>
        <v>0.5666666667</v>
      </c>
      <c r="I9" s="38" t="s">
        <v>97</v>
      </c>
      <c r="J9" s="44">
        <f>SUMIFS('REGISTRO DE CUOTAS'!$F:$F,'REGISTRO DE CUOTAS'!$D:$D,$C9,'REGISTRO DE CUOTAS'!$E:$E,$B9)</f>
        <v>0</v>
      </c>
      <c r="K9" s="44">
        <f t="shared" si="3"/>
        <v>30</v>
      </c>
      <c r="L9" s="36"/>
      <c r="N9" s="32" t="s">
        <v>194</v>
      </c>
      <c r="O9" s="42">
        <f>SUM(J:J)</f>
        <v>0</v>
      </c>
    </row>
    <row r="10" hidden="1">
      <c r="A10" s="38">
        <v>7.0</v>
      </c>
      <c r="B10" s="36" t="s">
        <v>197</v>
      </c>
      <c r="C10" s="36" t="s">
        <v>198</v>
      </c>
      <c r="D10" s="36" t="s">
        <v>48</v>
      </c>
      <c r="E10" s="39">
        <v>24.0</v>
      </c>
      <c r="F10" s="39">
        <v>9.5</v>
      </c>
      <c r="G10" s="44">
        <f t="shared" si="1"/>
        <v>14.5</v>
      </c>
      <c r="H10" s="45">
        <f t="shared" si="2"/>
        <v>0.6041666667</v>
      </c>
      <c r="I10" s="38" t="s">
        <v>97</v>
      </c>
      <c r="J10" s="44">
        <f>SUMIFS('REGISTRO DE CUOTAS'!$F:$F,'REGISTRO DE CUOTAS'!$D:$D,$C10,'REGISTRO DE CUOTAS'!$E:$E,$B10)</f>
        <v>0</v>
      </c>
      <c r="K10" s="44">
        <f t="shared" si="3"/>
        <v>24</v>
      </c>
      <c r="L10" s="36"/>
      <c r="N10" s="32" t="s">
        <v>206</v>
      </c>
      <c r="O10" s="42" t="str">
        <f>SUM(K:K)</f>
        <v>#VALUE!</v>
      </c>
    </row>
    <row r="11" hidden="1">
      <c r="A11" s="38">
        <v>8.0</v>
      </c>
      <c r="B11" s="36" t="s">
        <v>209</v>
      </c>
      <c r="C11" s="36" t="s">
        <v>146</v>
      </c>
      <c r="D11" s="36" t="s">
        <v>48</v>
      </c>
      <c r="E11" s="39">
        <v>35.0</v>
      </c>
      <c r="F11" s="39">
        <v>12.0</v>
      </c>
      <c r="G11" s="44">
        <f t="shared" si="1"/>
        <v>23</v>
      </c>
      <c r="H11" s="45">
        <f t="shared" si="2"/>
        <v>0.6571428571</v>
      </c>
      <c r="I11" s="38" t="s">
        <v>97</v>
      </c>
      <c r="J11" s="44">
        <f>SUMIFS('REGISTRO DE CUOTAS'!$F:$F,'REGISTRO DE CUOTAS'!$D:$D,$C11,'REGISTRO DE CUOTAS'!$E:$E,$B11)</f>
        <v>0</v>
      </c>
      <c r="K11" s="44">
        <f t="shared" si="3"/>
        <v>35</v>
      </c>
      <c r="L11" s="36"/>
      <c r="N11" s="32" t="s">
        <v>228</v>
      </c>
      <c r="O11" s="33">
        <f>COUNTIF(G:G,"&lt;0")</f>
        <v>2</v>
      </c>
    </row>
    <row r="12" hidden="1">
      <c r="A12" s="38">
        <v>9.0</v>
      </c>
      <c r="B12" s="36" t="s">
        <v>234</v>
      </c>
      <c r="C12" s="36" t="s">
        <v>114</v>
      </c>
      <c r="D12" s="36" t="s">
        <v>48</v>
      </c>
      <c r="E12" s="39">
        <v>30.0</v>
      </c>
      <c r="F12" s="39">
        <v>12.0</v>
      </c>
      <c r="G12" s="44">
        <f t="shared" si="1"/>
        <v>18</v>
      </c>
      <c r="H12" s="45">
        <f t="shared" si="2"/>
        <v>0.6</v>
      </c>
      <c r="I12" s="38" t="s">
        <v>97</v>
      </c>
      <c r="J12" s="44">
        <f>SUMIFS('REGISTRO DE CUOTAS'!$F:$F,'REGISTRO DE CUOTAS'!$D:$D,$C12,'REGISTRO DE CUOTAS'!$E:$E,$B12)</f>
        <v>0</v>
      </c>
      <c r="K12" s="44">
        <f t="shared" si="3"/>
        <v>30</v>
      </c>
      <c r="L12" s="36"/>
    </row>
    <row r="13" hidden="1">
      <c r="A13" s="36"/>
      <c r="B13" s="36" t="s">
        <v>245</v>
      </c>
      <c r="C13" s="36" t="s">
        <v>205</v>
      </c>
      <c r="D13" s="36" t="s">
        <v>48</v>
      </c>
      <c r="E13" s="39">
        <v>30.0</v>
      </c>
      <c r="F13" s="39">
        <v>17.0</v>
      </c>
      <c r="G13" s="44">
        <f t="shared" si="1"/>
        <v>13</v>
      </c>
      <c r="H13" s="45">
        <f t="shared" si="2"/>
        <v>0.4333333333</v>
      </c>
      <c r="I13" s="38" t="s">
        <v>97</v>
      </c>
      <c r="J13" s="44">
        <f>SUMIFS('REGISTRO DE CUOTAS'!$F:$F,'REGISTRO DE CUOTAS'!$D:$D,$C13,'REGISTRO DE CUOTAS'!$E:$E,$B13)</f>
        <v>0</v>
      </c>
      <c r="K13" s="44">
        <f t="shared" si="3"/>
        <v>30</v>
      </c>
      <c r="L13" s="36"/>
      <c r="N13" s="65" t="s">
        <v>254</v>
      </c>
    </row>
    <row r="14" hidden="1">
      <c r="A14" s="36"/>
      <c r="B14" s="36" t="s">
        <v>196</v>
      </c>
      <c r="C14" s="36" t="s">
        <v>46</v>
      </c>
      <c r="D14" s="36" t="s">
        <v>48</v>
      </c>
      <c r="E14" s="39">
        <v>34.0</v>
      </c>
      <c r="F14" s="39">
        <v>18.0</v>
      </c>
      <c r="G14" s="44">
        <f t="shared" si="1"/>
        <v>16</v>
      </c>
      <c r="H14" s="45">
        <f t="shared" si="2"/>
        <v>0.4705882353</v>
      </c>
      <c r="I14" s="38" t="s">
        <v>97</v>
      </c>
      <c r="J14" s="44">
        <f>SUMIFS('REGISTRO DE CUOTAS'!$F:$F,'REGISTRO DE CUOTAS'!$D:$D,$C14,'REGISTRO DE CUOTAS'!$E:$E,$B14)</f>
        <v>0</v>
      </c>
      <c r="K14" s="44">
        <f t="shared" si="3"/>
        <v>34</v>
      </c>
      <c r="L14" s="36"/>
    </row>
    <row r="15" hidden="1">
      <c r="A15" s="38">
        <v>10.0</v>
      </c>
      <c r="B15" s="36" t="s">
        <v>264</v>
      </c>
      <c r="C15" s="36" t="s">
        <v>124</v>
      </c>
      <c r="D15" s="36" t="s">
        <v>48</v>
      </c>
      <c r="E15" s="39">
        <v>9.5</v>
      </c>
      <c r="F15" s="39">
        <v>22.0</v>
      </c>
      <c r="G15" s="44">
        <f t="shared" si="1"/>
        <v>-12.5</v>
      </c>
      <c r="H15" s="45">
        <f t="shared" si="2"/>
        <v>-1.315789474</v>
      </c>
      <c r="I15" s="38" t="s">
        <v>97</v>
      </c>
      <c r="J15" s="44">
        <f>SUMIFS('REGISTRO DE CUOTAS'!$F:$F,'REGISTRO DE CUOTAS'!$D:$D,$C15,'REGISTRO DE CUOTAS'!$E:$E,$B15)</f>
        <v>0</v>
      </c>
      <c r="K15" s="44">
        <f t="shared" si="3"/>
        <v>9.5</v>
      </c>
      <c r="L15" s="36"/>
    </row>
    <row r="16" hidden="1">
      <c r="A16" s="36"/>
      <c r="B16" s="36" t="s">
        <v>148</v>
      </c>
      <c r="C16" s="36" t="s">
        <v>146</v>
      </c>
      <c r="D16" s="36" t="s">
        <v>48</v>
      </c>
      <c r="E16" s="39">
        <v>30.0</v>
      </c>
      <c r="F16" s="39">
        <v>51.0</v>
      </c>
      <c r="G16" s="44">
        <f t="shared" si="1"/>
        <v>-21</v>
      </c>
      <c r="H16" s="45">
        <f t="shared" si="2"/>
        <v>-0.7</v>
      </c>
      <c r="I16" s="38" t="s">
        <v>97</v>
      </c>
      <c r="J16" s="44">
        <f>SUMIFS('REGISTRO DE CUOTAS'!$F:$F,'REGISTRO DE CUOTAS'!$D:$D,$C16,'REGISTRO DE CUOTAS'!$E:$E,$B16)</f>
        <v>0</v>
      </c>
      <c r="K16" s="44">
        <f t="shared" si="3"/>
        <v>30</v>
      </c>
      <c r="L16" s="36"/>
    </row>
    <row r="17" hidden="1">
      <c r="A17" s="38">
        <v>11.0</v>
      </c>
      <c r="B17" s="36" t="s">
        <v>223</v>
      </c>
      <c r="C17" s="36" t="s">
        <v>218</v>
      </c>
      <c r="D17" s="36" t="s">
        <v>221</v>
      </c>
      <c r="E17" s="39">
        <v>24.0</v>
      </c>
      <c r="F17" s="39">
        <v>12.0</v>
      </c>
      <c r="G17" s="44">
        <f t="shared" si="1"/>
        <v>12</v>
      </c>
      <c r="H17" s="45">
        <f t="shared" si="2"/>
        <v>0.5</v>
      </c>
      <c r="I17" s="38" t="s">
        <v>97</v>
      </c>
      <c r="J17" s="44">
        <f>SUMIFS('REGISTRO DE CUOTAS'!$F:$F,'REGISTRO DE CUOTAS'!$D:$D,$C17,'REGISTRO DE CUOTAS'!$E:$E,$B17)</f>
        <v>0</v>
      </c>
      <c r="K17" s="44">
        <f t="shared" si="3"/>
        <v>24</v>
      </c>
      <c r="L17" s="36"/>
    </row>
    <row r="18" hidden="1">
      <c r="A18" s="38">
        <v>12.0</v>
      </c>
      <c r="B18" s="36" t="s">
        <v>292</v>
      </c>
      <c r="C18" s="36" t="s">
        <v>167</v>
      </c>
      <c r="D18" s="36" t="s">
        <v>48</v>
      </c>
      <c r="E18" s="39">
        <v>24.0</v>
      </c>
      <c r="F18" s="39">
        <v>9.5</v>
      </c>
      <c r="G18" s="44">
        <f t="shared" si="1"/>
        <v>14.5</v>
      </c>
      <c r="H18" s="45">
        <f t="shared" si="2"/>
        <v>0.6041666667</v>
      </c>
      <c r="I18" s="38"/>
      <c r="J18" s="44">
        <f>SUMIFS('REGISTRO DE CUOTAS'!$F:$F,'REGISTRO DE CUOTAS'!$D:$D,$C18,'REGISTRO DE CUOTAS'!$E:$E,$B18)</f>
        <v>0</v>
      </c>
      <c r="K18" s="44">
        <f t="shared" si="3"/>
        <v>24</v>
      </c>
      <c r="L18" s="36"/>
    </row>
    <row r="19" hidden="1">
      <c r="A19" s="38">
        <v>13.0</v>
      </c>
      <c r="B19" s="36" t="s">
        <v>233</v>
      </c>
      <c r="C19" s="36" t="s">
        <v>231</v>
      </c>
      <c r="D19" s="36" t="s">
        <v>48</v>
      </c>
      <c r="E19" s="39">
        <v>12.0</v>
      </c>
      <c r="F19" s="39">
        <v>9.5</v>
      </c>
      <c r="G19" s="44">
        <f t="shared" si="1"/>
        <v>2.5</v>
      </c>
      <c r="H19" s="45">
        <f t="shared" si="2"/>
        <v>0.2083333333</v>
      </c>
      <c r="I19" s="38"/>
      <c r="J19" s="44">
        <f>SUMIFS('REGISTRO DE CUOTAS'!$F:$F,'REGISTRO DE CUOTAS'!$D:$D,$C19,'REGISTRO DE CUOTAS'!$E:$E,$B19)</f>
        <v>0</v>
      </c>
      <c r="K19" s="44">
        <f t="shared" si="3"/>
        <v>12</v>
      </c>
      <c r="L19" s="36"/>
    </row>
    <row r="20" hidden="1">
      <c r="A20" s="36"/>
      <c r="B20" s="36" t="s">
        <v>242</v>
      </c>
      <c r="C20" s="36" t="s">
        <v>231</v>
      </c>
      <c r="D20" s="36" t="s">
        <v>48</v>
      </c>
      <c r="E20" s="39">
        <v>16.0</v>
      </c>
      <c r="F20" s="39">
        <v>13.0</v>
      </c>
      <c r="G20" s="44">
        <f t="shared" si="1"/>
        <v>3</v>
      </c>
      <c r="H20" s="45">
        <f t="shared" si="2"/>
        <v>0.1875</v>
      </c>
      <c r="I20" s="38"/>
      <c r="J20" s="44">
        <f>SUMIFS('REGISTRO DE CUOTAS'!$F:$F,'REGISTRO DE CUOTAS'!$D:$D,$C20,'REGISTRO DE CUOTAS'!$E:$E,$B20)</f>
        <v>0</v>
      </c>
      <c r="K20" s="44">
        <f t="shared" si="3"/>
        <v>16</v>
      </c>
      <c r="L20" s="36"/>
    </row>
    <row r="21" ht="15.75" hidden="1" customHeight="1">
      <c r="A21" s="36"/>
      <c r="B21" s="36" t="s">
        <v>176</v>
      </c>
      <c r="C21" s="36" t="s">
        <v>146</v>
      </c>
      <c r="D21" s="36" t="s">
        <v>48</v>
      </c>
      <c r="E21" s="39">
        <v>24.0</v>
      </c>
      <c r="F21" s="39">
        <v>11.0</v>
      </c>
      <c r="G21" s="44">
        <f t="shared" si="1"/>
        <v>13</v>
      </c>
      <c r="H21" s="45">
        <f t="shared" si="2"/>
        <v>0.5416666667</v>
      </c>
      <c r="I21" s="38"/>
      <c r="J21" s="44">
        <f>SUMIFS('REGISTRO DE CUOTAS'!$F:$F,'REGISTRO DE CUOTAS'!$D:$D,$C21,'REGISTRO DE CUOTAS'!$E:$E,$B21)</f>
        <v>0</v>
      </c>
      <c r="K21" s="44">
        <f t="shared" si="3"/>
        <v>24</v>
      </c>
      <c r="L21" s="36"/>
    </row>
    <row r="22" ht="15.75" hidden="1" customHeight="1">
      <c r="A22" s="36"/>
      <c r="B22" s="36" t="s">
        <v>173</v>
      </c>
      <c r="C22" s="36" t="s">
        <v>171</v>
      </c>
      <c r="D22" s="36" t="s">
        <v>48</v>
      </c>
      <c r="E22" s="39">
        <v>24.0</v>
      </c>
      <c r="F22" s="39">
        <v>9.5</v>
      </c>
      <c r="G22" s="44">
        <f t="shared" si="1"/>
        <v>14.5</v>
      </c>
      <c r="H22" s="45">
        <f t="shared" si="2"/>
        <v>0.6041666667</v>
      </c>
      <c r="I22" s="38"/>
      <c r="J22" s="44">
        <f>SUMIFS('REGISTRO DE CUOTAS'!$F:$F,'REGISTRO DE CUOTAS'!$D:$D,$C22,'REGISTRO DE CUOTAS'!$E:$E,$B22)</f>
        <v>0</v>
      </c>
      <c r="K22" s="44">
        <f t="shared" si="3"/>
        <v>24</v>
      </c>
      <c r="L22" s="36"/>
    </row>
    <row r="23" ht="15.75" hidden="1" customHeight="1">
      <c r="A23" s="36"/>
      <c r="B23" s="36" t="s">
        <v>252</v>
      </c>
      <c r="C23" s="36" t="s">
        <v>124</v>
      </c>
      <c r="D23" s="36" t="s">
        <v>48</v>
      </c>
      <c r="E23" s="39">
        <v>22.0</v>
      </c>
      <c r="F23" s="39">
        <v>9.5</v>
      </c>
      <c r="G23" s="44">
        <f t="shared" si="1"/>
        <v>12.5</v>
      </c>
      <c r="H23" s="45">
        <f t="shared" si="2"/>
        <v>0.5681818182</v>
      </c>
      <c r="I23" s="38"/>
      <c r="J23" s="44">
        <f>SUMIFS('REGISTRO DE CUOTAS'!$F:$F,'REGISTRO DE CUOTAS'!$D:$D,$C23,'REGISTRO DE CUOTAS'!$E:$E,$B23)</f>
        <v>0</v>
      </c>
      <c r="K23" s="44">
        <f t="shared" si="3"/>
        <v>22</v>
      </c>
      <c r="L23" s="36"/>
    </row>
    <row r="24" ht="15.75" hidden="1" customHeight="1">
      <c r="A24" s="38">
        <v>14.0</v>
      </c>
      <c r="B24" s="36" t="s">
        <v>166</v>
      </c>
      <c r="C24" s="36" t="s">
        <v>274</v>
      </c>
      <c r="D24" s="36" t="s">
        <v>48</v>
      </c>
      <c r="E24" s="39">
        <v>22.0</v>
      </c>
      <c r="F24" s="39">
        <v>9.5</v>
      </c>
      <c r="G24" s="44">
        <f t="shared" si="1"/>
        <v>12.5</v>
      </c>
      <c r="H24" s="45">
        <f t="shared" si="2"/>
        <v>0.5681818182</v>
      </c>
      <c r="I24" s="38"/>
      <c r="J24" s="44">
        <f>SUMIFS('REGISTRO DE CUOTAS'!$F:$F,'REGISTRO DE CUOTAS'!$D:$D,$C24,'REGISTRO DE CUOTAS'!$E:$E,$B24)</f>
        <v>0</v>
      </c>
      <c r="K24" s="44">
        <f t="shared" si="3"/>
        <v>22</v>
      </c>
      <c r="L24" s="36"/>
    </row>
    <row r="25" ht="15.75" hidden="1" customHeight="1">
      <c r="A25" s="38">
        <v>15.0</v>
      </c>
      <c r="B25" s="36" t="s">
        <v>180</v>
      </c>
      <c r="C25" s="36" t="s">
        <v>281</v>
      </c>
      <c r="D25" s="36" t="s">
        <v>48</v>
      </c>
      <c r="E25" s="39">
        <v>22.0</v>
      </c>
      <c r="F25" s="39">
        <v>9.5</v>
      </c>
      <c r="G25" s="44">
        <f t="shared" si="1"/>
        <v>12.5</v>
      </c>
      <c r="H25" s="45">
        <f t="shared" si="2"/>
        <v>0.5681818182</v>
      </c>
      <c r="I25" s="38"/>
      <c r="J25" s="44">
        <f>SUMIFS('REGISTRO DE CUOTAS'!$F:$F,'REGISTRO DE CUOTAS'!$D:$D,$C25,'REGISTRO DE CUOTAS'!$E:$E,$B25)</f>
        <v>0</v>
      </c>
      <c r="K25" s="44">
        <f t="shared" si="3"/>
        <v>22</v>
      </c>
      <c r="L25" s="36"/>
    </row>
    <row r="26" ht="15.75" customHeight="1">
      <c r="A26" s="36"/>
      <c r="B26" s="36" t="s">
        <v>252</v>
      </c>
      <c r="C26" s="36" t="s">
        <v>99</v>
      </c>
      <c r="D26" s="36" t="s">
        <v>48</v>
      </c>
      <c r="E26" s="39">
        <v>24.0</v>
      </c>
      <c r="F26" s="39">
        <v>12.0</v>
      </c>
      <c r="G26" s="44">
        <f t="shared" si="1"/>
        <v>12</v>
      </c>
      <c r="H26" s="45">
        <f t="shared" si="2"/>
        <v>0.5</v>
      </c>
      <c r="I26" s="38"/>
      <c r="J26" s="44">
        <f>SUMIFS('REGISTRO DE CUOTAS'!$F:$F,'REGISTRO DE CUOTAS'!$D:$D,$C26,'REGISTRO DE CUOTAS'!$E:$E,$B26)</f>
        <v>0</v>
      </c>
      <c r="K26" s="44">
        <f t="shared" si="3"/>
        <v>24</v>
      </c>
      <c r="L26" s="36"/>
    </row>
    <row r="27" ht="15.75" customHeight="1">
      <c r="A27" s="38">
        <v>16.0</v>
      </c>
      <c r="B27" s="36" t="s">
        <v>137</v>
      </c>
      <c r="C27" s="36" t="s">
        <v>296</v>
      </c>
      <c r="D27" s="36" t="s">
        <v>48</v>
      </c>
      <c r="E27" s="39">
        <v>24.0</v>
      </c>
      <c r="F27" s="39">
        <v>12.0</v>
      </c>
      <c r="G27" s="44">
        <f t="shared" si="1"/>
        <v>12</v>
      </c>
      <c r="H27" s="45">
        <f t="shared" si="2"/>
        <v>0.5</v>
      </c>
      <c r="I27" s="38"/>
      <c r="J27" s="44">
        <f>SUMIFS('REGISTRO DE CUOTAS'!$F:$F,'REGISTRO DE CUOTAS'!$D:$D,$C27,'REGISTRO DE CUOTAS'!$E:$E,$B27)</f>
        <v>0</v>
      </c>
      <c r="K27" s="44">
        <f t="shared" si="3"/>
        <v>24</v>
      </c>
      <c r="L27" s="36"/>
    </row>
    <row r="28" ht="15.75" hidden="1" customHeight="1">
      <c r="A28" s="36"/>
      <c r="B28" s="36" t="s">
        <v>288</v>
      </c>
      <c r="C28" s="36" t="s">
        <v>300</v>
      </c>
      <c r="D28" s="36" t="s">
        <v>300</v>
      </c>
      <c r="E28" s="39">
        <v>18.0</v>
      </c>
      <c r="F28" s="39">
        <v>18.0</v>
      </c>
      <c r="G28" s="44">
        <f t="shared" si="1"/>
        <v>0</v>
      </c>
      <c r="H28" s="45">
        <f t="shared" si="2"/>
        <v>0</v>
      </c>
      <c r="I28" s="38" t="s">
        <v>360</v>
      </c>
      <c r="J28" s="44">
        <f>SUMIFS('REGISTRO DE CUOTAS'!$F:$F,'REGISTRO DE CUOTAS'!$D:$D,$C28,'REGISTRO DE CUOTAS'!$E:$E,$B28)</f>
        <v>0</v>
      </c>
      <c r="K28" s="44">
        <f t="shared" si="3"/>
        <v>18</v>
      </c>
      <c r="L28" s="54" t="s">
        <v>363</v>
      </c>
    </row>
    <row r="29" ht="15.75" hidden="1" customHeight="1">
      <c r="A29" s="36"/>
      <c r="B29" s="36" t="s">
        <v>176</v>
      </c>
      <c r="C29" s="36" t="s">
        <v>221</v>
      </c>
      <c r="D29" s="36" t="s">
        <v>221</v>
      </c>
      <c r="E29" s="39">
        <v>12.0</v>
      </c>
      <c r="F29" s="39">
        <v>12.0</v>
      </c>
      <c r="G29" s="44">
        <f t="shared" si="1"/>
        <v>0</v>
      </c>
      <c r="H29" s="45">
        <f t="shared" si="2"/>
        <v>0</v>
      </c>
      <c r="I29" s="38" t="s">
        <v>360</v>
      </c>
      <c r="J29" s="44">
        <f>SUMIFS('REGISTRO DE CUOTAS'!$F:$F,'REGISTRO DE CUOTAS'!$D:$D,$C29,'REGISTRO DE CUOTAS'!$E:$E,$B29)</f>
        <v>0</v>
      </c>
      <c r="K29" s="44">
        <f t="shared" si="3"/>
        <v>12</v>
      </c>
      <c r="L29" s="54" t="s">
        <v>370</v>
      </c>
    </row>
    <row r="30" ht="15.75" hidden="1" customHeight="1">
      <c r="A30" s="38">
        <v>17.0</v>
      </c>
      <c r="B30" s="36" t="s">
        <v>311</v>
      </c>
      <c r="C30" s="36" t="s">
        <v>310</v>
      </c>
      <c r="D30" s="36" t="s">
        <v>48</v>
      </c>
      <c r="E30" s="39">
        <v>22.0</v>
      </c>
      <c r="F30" s="39">
        <v>12.0</v>
      </c>
      <c r="G30" s="44">
        <f t="shared" si="1"/>
        <v>10</v>
      </c>
      <c r="H30" s="45">
        <f t="shared" si="2"/>
        <v>0.4545454545</v>
      </c>
      <c r="I30" s="38"/>
      <c r="J30" s="44">
        <f>SUMIFS('REGISTRO DE CUOTAS'!$F:$F,'REGISTRO DE CUOTAS'!$D:$D,$C30,'REGISTRO DE CUOTAS'!$E:$E,$B30)</f>
        <v>0</v>
      </c>
      <c r="K30" s="44">
        <f t="shared" si="3"/>
        <v>22</v>
      </c>
      <c r="L30" s="36"/>
    </row>
    <row r="31" ht="15.75" hidden="1" customHeight="1">
      <c r="A31" s="36"/>
      <c r="B31" s="36" t="s">
        <v>314</v>
      </c>
      <c r="C31" s="36" t="s">
        <v>310</v>
      </c>
      <c r="D31" s="36" t="s">
        <v>48</v>
      </c>
      <c r="E31" s="39">
        <v>22.0</v>
      </c>
      <c r="F31" s="39">
        <v>9.5</v>
      </c>
      <c r="G31" s="44">
        <f t="shared" si="1"/>
        <v>12.5</v>
      </c>
      <c r="H31" s="45">
        <f t="shared" si="2"/>
        <v>0.5681818182</v>
      </c>
      <c r="I31" s="38"/>
      <c r="J31" s="44">
        <f>SUMIFS('REGISTRO DE CUOTAS'!$F:$F,'REGISTRO DE CUOTAS'!$D:$D,$C31,'REGISTRO DE CUOTAS'!$E:$E,$B31)</f>
        <v>0</v>
      </c>
      <c r="K31" s="44">
        <f t="shared" si="3"/>
        <v>22</v>
      </c>
      <c r="L31" s="36"/>
    </row>
    <row r="32" ht="15.75" hidden="1" customHeight="1">
      <c r="A32" s="38">
        <v>18.0</v>
      </c>
      <c r="B32" s="36" t="s">
        <v>316</v>
      </c>
      <c r="C32" s="36" t="s">
        <v>315</v>
      </c>
      <c r="D32" s="36" t="s">
        <v>300</v>
      </c>
      <c r="E32" s="39">
        <v>22.0</v>
      </c>
      <c r="F32" s="39">
        <v>12.0</v>
      </c>
      <c r="G32" s="44">
        <f t="shared" si="1"/>
        <v>10</v>
      </c>
      <c r="H32" s="45">
        <f t="shared" si="2"/>
        <v>0.4545454545</v>
      </c>
      <c r="I32" s="38"/>
      <c r="J32" s="44">
        <f>SUMIFS('REGISTRO DE CUOTAS'!$F:$F,'REGISTRO DE CUOTAS'!$D:$D,$C32,'REGISTRO DE CUOTAS'!$E:$E,$B32)</f>
        <v>0</v>
      </c>
      <c r="K32" s="44">
        <f t="shared" si="3"/>
        <v>22</v>
      </c>
      <c r="L32" s="36"/>
    </row>
    <row r="33" ht="15.75" hidden="1" customHeight="1">
      <c r="A33" s="36"/>
      <c r="B33" s="36" t="s">
        <v>320</v>
      </c>
      <c r="C33" s="36" t="s">
        <v>315</v>
      </c>
      <c r="D33" s="36" t="s">
        <v>300</v>
      </c>
      <c r="E33" s="39">
        <v>22.0</v>
      </c>
      <c r="F33" s="39">
        <v>15.0</v>
      </c>
      <c r="G33" s="44">
        <f t="shared" si="1"/>
        <v>7</v>
      </c>
      <c r="H33" s="45">
        <f t="shared" si="2"/>
        <v>0.3181818182</v>
      </c>
      <c r="I33" s="38"/>
      <c r="J33" s="44">
        <f>SUMIFS('REGISTRO DE CUOTAS'!$F:$F,'REGISTRO DE CUOTAS'!$D:$D,$C33,'REGISTRO DE CUOTAS'!$E:$E,$B33)</f>
        <v>0</v>
      </c>
      <c r="K33" s="44">
        <f t="shared" si="3"/>
        <v>22</v>
      </c>
      <c r="L33" s="36"/>
    </row>
    <row r="34" ht="15.75" hidden="1" customHeight="1">
      <c r="A34" s="38">
        <v>19.0</v>
      </c>
      <c r="B34" s="36" t="s">
        <v>324</v>
      </c>
      <c r="C34" s="36" t="s">
        <v>323</v>
      </c>
      <c r="D34" s="36" t="s">
        <v>221</v>
      </c>
      <c r="E34" s="39">
        <v>42.0</v>
      </c>
      <c r="F34" s="39">
        <v>20.0</v>
      </c>
      <c r="G34" s="44">
        <f t="shared" si="1"/>
        <v>22</v>
      </c>
      <c r="H34" s="45">
        <f t="shared" si="2"/>
        <v>0.5238095238</v>
      </c>
      <c r="I34" s="38"/>
      <c r="J34" s="44">
        <f>SUMIFS('REGISTRO DE CUOTAS'!$F:$F,'REGISTRO DE CUOTAS'!$D:$D,$C34,'REGISTRO DE CUOTAS'!$E:$E,$B34)</f>
        <v>0</v>
      </c>
      <c r="K34" s="44">
        <f t="shared" si="3"/>
        <v>42</v>
      </c>
      <c r="L34" s="36"/>
    </row>
    <row r="35" ht="15.75" hidden="1" customHeight="1">
      <c r="A35" s="38">
        <v>20.0</v>
      </c>
      <c r="B35" s="36" t="s">
        <v>311</v>
      </c>
      <c r="C35" s="36" t="s">
        <v>329</v>
      </c>
      <c r="D35" s="36" t="s">
        <v>48</v>
      </c>
      <c r="E35" s="39">
        <v>24.0</v>
      </c>
      <c r="F35" s="39">
        <v>12.0</v>
      </c>
      <c r="G35" s="44">
        <f t="shared" si="1"/>
        <v>12</v>
      </c>
      <c r="H35" s="45">
        <f t="shared" si="2"/>
        <v>0.5</v>
      </c>
      <c r="I35" s="38"/>
      <c r="J35" s="44">
        <f>SUMIFS('REGISTRO DE CUOTAS'!$F:$F,'REGISTRO DE CUOTAS'!$D:$D,$C35,'REGISTRO DE CUOTAS'!$E:$E,$B35)</f>
        <v>0</v>
      </c>
      <c r="K35" s="44">
        <f t="shared" si="3"/>
        <v>24</v>
      </c>
      <c r="L35" s="36"/>
    </row>
    <row r="36" ht="15.75" hidden="1" customHeight="1">
      <c r="A36" s="36"/>
      <c r="B36" s="36" t="s">
        <v>263</v>
      </c>
      <c r="C36" s="36" t="s">
        <v>335</v>
      </c>
      <c r="D36" s="36" t="s">
        <v>300</v>
      </c>
      <c r="E36" s="39">
        <v>24.0</v>
      </c>
      <c r="F36" s="39">
        <v>12.0</v>
      </c>
      <c r="G36" s="44">
        <f t="shared" si="1"/>
        <v>12</v>
      </c>
      <c r="H36" s="45">
        <f t="shared" si="2"/>
        <v>0.5</v>
      </c>
      <c r="I36" s="38"/>
      <c r="J36" s="44">
        <f>SUMIFS('REGISTRO DE CUOTAS'!$F:$F,'REGISTRO DE CUOTAS'!$D:$D,$C36,'REGISTRO DE CUOTAS'!$E:$E,$B36)</f>
        <v>0</v>
      </c>
      <c r="K36" s="44">
        <f t="shared" si="3"/>
        <v>24</v>
      </c>
      <c r="L36" s="36"/>
    </row>
    <row r="37" ht="15.75" hidden="1" customHeight="1">
      <c r="A37" s="38">
        <v>21.0</v>
      </c>
      <c r="B37" s="36" t="s">
        <v>320</v>
      </c>
      <c r="C37" s="36" t="s">
        <v>338</v>
      </c>
      <c r="D37" s="36" t="s">
        <v>300</v>
      </c>
      <c r="E37" s="39">
        <v>32.0</v>
      </c>
      <c r="F37" s="39">
        <v>15.0</v>
      </c>
      <c r="G37" s="44">
        <f t="shared" si="1"/>
        <v>17</v>
      </c>
      <c r="H37" s="45">
        <f t="shared" si="2"/>
        <v>0.53125</v>
      </c>
      <c r="I37" s="38"/>
      <c r="J37" s="44">
        <f>SUMIFS('REGISTRO DE CUOTAS'!$F:$F,'REGISTRO DE CUOTAS'!$D:$D,$C37,'REGISTRO DE CUOTAS'!$E:$E,$B37)</f>
        <v>0</v>
      </c>
      <c r="K37" s="44">
        <f t="shared" si="3"/>
        <v>32</v>
      </c>
      <c r="L37" s="36"/>
    </row>
    <row r="38" ht="15.75" customHeight="1">
      <c r="A38" s="36"/>
      <c r="B38" s="36" t="s">
        <v>327</v>
      </c>
      <c r="C38" s="36" t="s">
        <v>342</v>
      </c>
      <c r="D38" s="36" t="s">
        <v>48</v>
      </c>
      <c r="E38" s="39">
        <v>19.0</v>
      </c>
      <c r="F38" s="39">
        <v>15.0</v>
      </c>
      <c r="G38" s="44">
        <f t="shared" si="1"/>
        <v>4</v>
      </c>
      <c r="H38" s="45">
        <f t="shared" si="2"/>
        <v>0.2105263158</v>
      </c>
      <c r="I38" s="38" t="s">
        <v>391</v>
      </c>
      <c r="J38" s="44">
        <f>SUMIFS('REGISTRO DE CUOTAS'!$F:$F,'REGISTRO DE CUOTAS'!$D:$D,$C38,'REGISTRO DE CUOTAS'!$E:$E,$B38)</f>
        <v>0</v>
      </c>
      <c r="K38" s="44">
        <f t="shared" si="3"/>
        <v>19</v>
      </c>
      <c r="L38" s="54" t="s">
        <v>346</v>
      </c>
    </row>
    <row r="39" ht="15.75" hidden="1" customHeight="1">
      <c r="A39" s="36"/>
      <c r="B39" s="36" t="s">
        <v>350</v>
      </c>
      <c r="C39" s="36" t="s">
        <v>349</v>
      </c>
      <c r="D39" s="36" t="s">
        <v>48</v>
      </c>
      <c r="E39" s="39">
        <v>70.0</v>
      </c>
      <c r="F39" s="39">
        <v>50.0</v>
      </c>
      <c r="G39" s="44">
        <f t="shared" si="1"/>
        <v>20</v>
      </c>
      <c r="H39" s="45">
        <f t="shared" si="2"/>
        <v>0.2857142857</v>
      </c>
      <c r="I39" s="38"/>
      <c r="J39" s="44">
        <f>SUMIFS('REGISTRO DE CUOTAS'!$F:$F,'REGISTRO DE CUOTAS'!$D:$D,$C39,'REGISTRO DE CUOTAS'!$E:$E,$B39)</f>
        <v>0</v>
      </c>
      <c r="K39" s="44">
        <f t="shared" si="3"/>
        <v>70</v>
      </c>
      <c r="L39" s="36"/>
    </row>
    <row r="40" ht="15.75" customHeight="1">
      <c r="A40" s="36"/>
      <c r="B40" s="36" t="s">
        <v>252</v>
      </c>
      <c r="C40" s="36" t="s">
        <v>342</v>
      </c>
      <c r="D40" s="36" t="s">
        <v>48</v>
      </c>
      <c r="E40" s="39">
        <v>16.0</v>
      </c>
      <c r="F40" s="39">
        <v>13.0</v>
      </c>
      <c r="G40" s="44">
        <f t="shared" si="1"/>
        <v>3</v>
      </c>
      <c r="H40" s="45">
        <f t="shared" si="2"/>
        <v>0.1875</v>
      </c>
      <c r="I40" s="38" t="s">
        <v>421</v>
      </c>
      <c r="J40" s="44">
        <f>SUMIFS('REGISTRO DE CUOTAS'!$F:$F,'REGISTRO DE CUOTAS'!$D:$D,$C40,'REGISTRO DE CUOTAS'!$E:$E,$B40)</f>
        <v>0</v>
      </c>
      <c r="K40" s="44">
        <f t="shared" si="3"/>
        <v>16</v>
      </c>
      <c r="L40" s="54" t="s">
        <v>425</v>
      </c>
    </row>
    <row r="41" ht="15.75" hidden="1" customHeight="1">
      <c r="A41" s="38">
        <v>22.0</v>
      </c>
      <c r="B41" s="36" t="s">
        <v>166</v>
      </c>
      <c r="C41" s="36" t="s">
        <v>429</v>
      </c>
      <c r="D41" s="36" t="s">
        <v>300</v>
      </c>
      <c r="E41" s="39">
        <v>22.0</v>
      </c>
      <c r="F41" s="39">
        <v>11.0</v>
      </c>
      <c r="G41" s="44">
        <f t="shared" si="1"/>
        <v>11</v>
      </c>
      <c r="H41" s="45">
        <f t="shared" si="2"/>
        <v>0.5</v>
      </c>
      <c r="I41" s="38"/>
      <c r="J41" s="44">
        <f>SUMIFS('REGISTRO DE CUOTAS'!$F:$F,'REGISTRO DE CUOTAS'!$D:$D,$C41,'REGISTRO DE CUOTAS'!$E:$E,$B41)</f>
        <v>0</v>
      </c>
      <c r="K41" s="44">
        <f t="shared" si="3"/>
        <v>22</v>
      </c>
      <c r="L41" s="36"/>
    </row>
    <row r="42" ht="15.75" hidden="1" customHeight="1">
      <c r="A42" s="36"/>
      <c r="B42" s="36" t="s">
        <v>311</v>
      </c>
      <c r="C42" s="36" t="s">
        <v>429</v>
      </c>
      <c r="D42" s="36" t="s">
        <v>300</v>
      </c>
      <c r="E42" s="39">
        <v>22.0</v>
      </c>
      <c r="F42" s="39">
        <v>13.0</v>
      </c>
      <c r="G42" s="44">
        <f t="shared" si="1"/>
        <v>9</v>
      </c>
      <c r="H42" s="45">
        <f t="shared" si="2"/>
        <v>0.4090909091</v>
      </c>
      <c r="I42" s="38"/>
      <c r="J42" s="44">
        <f>SUMIFS('REGISTRO DE CUOTAS'!$F:$F,'REGISTRO DE CUOTAS'!$D:$D,$C42,'REGISTRO DE CUOTAS'!$E:$E,$B42)</f>
        <v>0</v>
      </c>
      <c r="K42" s="44">
        <f t="shared" si="3"/>
        <v>22</v>
      </c>
      <c r="L42" s="36"/>
    </row>
    <row r="43" ht="15.75" hidden="1" customHeight="1">
      <c r="A43" s="38">
        <v>23.0</v>
      </c>
      <c r="B43" s="36" t="s">
        <v>291</v>
      </c>
      <c r="C43" s="36" t="s">
        <v>452</v>
      </c>
      <c r="D43" s="36" t="s">
        <v>300</v>
      </c>
      <c r="E43" s="39">
        <v>22.0</v>
      </c>
      <c r="F43" s="39">
        <v>12.0</v>
      </c>
      <c r="G43" s="44">
        <f t="shared" si="1"/>
        <v>10</v>
      </c>
      <c r="H43" s="45">
        <f t="shared" si="2"/>
        <v>0.4545454545</v>
      </c>
      <c r="I43" s="38"/>
      <c r="J43" s="44">
        <f>SUMIFS('REGISTRO DE CUOTAS'!$F:$F,'REGISTRO DE CUOTAS'!$D:$D,$C43,'REGISTRO DE CUOTAS'!$E:$E,$B43)</f>
        <v>0</v>
      </c>
      <c r="K43" s="44">
        <f t="shared" si="3"/>
        <v>22</v>
      </c>
      <c r="L43" s="36"/>
    </row>
    <row r="44" ht="15.75" hidden="1" customHeight="1">
      <c r="A44" s="38">
        <v>24.0</v>
      </c>
      <c r="B44" s="36" t="s">
        <v>455</v>
      </c>
      <c r="C44" s="36" t="s">
        <v>456</v>
      </c>
      <c r="D44" s="36" t="s">
        <v>300</v>
      </c>
      <c r="E44" s="39">
        <v>22.0</v>
      </c>
      <c r="F44" s="39">
        <v>10.0</v>
      </c>
      <c r="G44" s="44">
        <f t="shared" si="1"/>
        <v>12</v>
      </c>
      <c r="H44" s="45">
        <f t="shared" si="2"/>
        <v>0.5454545455</v>
      </c>
      <c r="I44" s="38"/>
      <c r="J44" s="44">
        <f>SUMIFS('REGISTRO DE CUOTAS'!$F:$F,'REGISTRO DE CUOTAS'!$D:$D,$C44,'REGISTRO DE CUOTAS'!$E:$E,$B44)</f>
        <v>0</v>
      </c>
      <c r="K44" s="44">
        <f t="shared" si="3"/>
        <v>22</v>
      </c>
      <c r="L44" s="36"/>
    </row>
    <row r="45" ht="15.75" hidden="1" customHeight="1">
      <c r="A45" s="76">
        <v>25.0</v>
      </c>
      <c r="B45" s="77" t="s">
        <v>459</v>
      </c>
      <c r="C45" s="77" t="s">
        <v>460</v>
      </c>
      <c r="D45" s="77" t="s">
        <v>48</v>
      </c>
      <c r="E45" s="78">
        <v>42.0</v>
      </c>
      <c r="F45" s="78">
        <v>15.0</v>
      </c>
      <c r="G45" s="78">
        <f t="shared" ref="G45:G46" si="4">IF(COUNT(E45:F45)&lt;2,"",E45-F45)</f>
        <v>27</v>
      </c>
      <c r="H45" s="79">
        <f t="shared" si="2"/>
        <v>0.6428571429</v>
      </c>
      <c r="I45" s="77"/>
      <c r="J45" s="78">
        <f>SUMIFS('REGISTRO DE CUOTAS'!$F:$F,'REGISTRO DE CUOTAS'!$D:$D,$C45,'REGISTRO DE CUOTAS'!$E:$E,$B45)</f>
        <v>0</v>
      </c>
      <c r="K45" s="78">
        <f t="shared" si="3"/>
        <v>42</v>
      </c>
      <c r="L45" s="80"/>
    </row>
    <row r="46" ht="15.75" hidden="1" customHeight="1">
      <c r="A46" s="76">
        <v>26.0</v>
      </c>
      <c r="B46" s="77" t="s">
        <v>462</v>
      </c>
      <c r="C46" s="77" t="s">
        <v>463</v>
      </c>
      <c r="D46" s="77" t="s">
        <v>48</v>
      </c>
      <c r="E46" s="78">
        <v>20.0</v>
      </c>
      <c r="F46" s="78">
        <v>10.0</v>
      </c>
      <c r="G46" s="78">
        <f t="shared" si="4"/>
        <v>10</v>
      </c>
      <c r="H46" s="79">
        <f t="shared" si="2"/>
        <v>0.5</v>
      </c>
      <c r="I46" s="77"/>
      <c r="J46" s="78">
        <f>SUMIFS('REGISTRO DE CUOTAS'!$F:$F,'REGISTRO DE CUOTAS'!$D:$D,$C46,'REGISTRO DE CUOTAS'!$E:$E,$B46)</f>
        <v>0</v>
      </c>
      <c r="K46" s="78">
        <f t="shared" si="3"/>
        <v>20</v>
      </c>
      <c r="L46" s="80"/>
    </row>
    <row r="47" ht="15.75" hidden="1" customHeight="1">
      <c r="A47" s="81"/>
      <c r="B47" s="77" t="s">
        <v>466</v>
      </c>
      <c r="C47" s="77" t="s">
        <v>463</v>
      </c>
      <c r="D47" s="77" t="s">
        <v>48</v>
      </c>
      <c r="E47" s="78">
        <v>22.0</v>
      </c>
      <c r="F47" s="78">
        <v>12.0</v>
      </c>
      <c r="G47" s="82"/>
      <c r="H47" s="83" t="str">
        <f t="shared" si="2"/>
        <v/>
      </c>
      <c r="I47" s="77"/>
      <c r="J47" s="78">
        <f>SUMIFS('REGISTRO DE CUOTAS'!$F:$F,'REGISTRO DE CUOTAS'!$D:$D,$C47,'REGISTRO DE CUOTAS'!$E:$E,$B47)</f>
        <v>0</v>
      </c>
      <c r="K47" s="78">
        <f t="shared" si="3"/>
        <v>22</v>
      </c>
      <c r="L47" s="80"/>
    </row>
    <row r="48" ht="15.75" hidden="1" customHeight="1">
      <c r="A48" s="76">
        <v>27.0</v>
      </c>
      <c r="B48" s="77" t="s">
        <v>166</v>
      </c>
      <c r="C48" s="77" t="s">
        <v>469</v>
      </c>
      <c r="D48" s="77" t="s">
        <v>48</v>
      </c>
      <c r="E48" s="78">
        <v>24.0</v>
      </c>
      <c r="F48" s="78">
        <v>11.0</v>
      </c>
      <c r="G48" s="82"/>
      <c r="H48" s="83" t="str">
        <f t="shared" si="2"/>
        <v/>
      </c>
      <c r="I48" s="77"/>
      <c r="J48" s="78">
        <f>SUMIFS('REGISTRO DE CUOTAS'!$F:$F,'REGISTRO DE CUOTAS'!$D:$D,$C48,'REGISTRO DE CUOTAS'!$E:$E,$B48)</f>
        <v>0</v>
      </c>
      <c r="K48" s="78">
        <f t="shared" si="3"/>
        <v>24</v>
      </c>
      <c r="L48" s="80"/>
    </row>
    <row r="49" ht="15.75" hidden="1" customHeight="1">
      <c r="A49" s="81"/>
      <c r="B49" s="77" t="s">
        <v>472</v>
      </c>
      <c r="C49" s="77" t="s">
        <v>473</v>
      </c>
      <c r="D49" s="77" t="s">
        <v>48</v>
      </c>
      <c r="E49" s="78">
        <v>40.0</v>
      </c>
      <c r="F49" s="78">
        <v>16.0</v>
      </c>
      <c r="G49" s="78">
        <f t="shared" ref="G49:G57" si="5">IF(COUNT(E49:F49)&lt;2,"",E49-F49)</f>
        <v>24</v>
      </c>
      <c r="H49" s="79">
        <f t="shared" si="2"/>
        <v>0.6</v>
      </c>
      <c r="I49" s="77"/>
      <c r="J49" s="78">
        <f>SUMIFS('REGISTRO DE CUOTAS'!$F:$F,'REGISTRO DE CUOTAS'!$D:$D,$C49,'REGISTRO DE CUOTAS'!$E:$E,$B49)</f>
        <v>0</v>
      </c>
      <c r="K49" s="78">
        <f t="shared" si="3"/>
        <v>40</v>
      </c>
      <c r="L49" s="80"/>
    </row>
    <row r="50" ht="15.75" hidden="1" customHeight="1">
      <c r="A50" s="81"/>
      <c r="B50" s="77" t="s">
        <v>474</v>
      </c>
      <c r="C50" s="77" t="s">
        <v>476</v>
      </c>
      <c r="D50" s="77" t="s">
        <v>48</v>
      </c>
      <c r="E50" s="78">
        <v>24.0</v>
      </c>
      <c r="F50" s="78">
        <v>13.0</v>
      </c>
      <c r="G50" s="78">
        <f t="shared" si="5"/>
        <v>11</v>
      </c>
      <c r="H50" s="79">
        <f t="shared" si="2"/>
        <v>0.4583333333</v>
      </c>
      <c r="I50" s="77"/>
      <c r="J50" s="78">
        <f>SUMIFS('REGISTRO DE CUOTAS'!$F:$F,'REGISTRO DE CUOTAS'!$D:$D,$C50,'REGISTRO DE CUOTAS'!$E:$E,$B50)</f>
        <v>0</v>
      </c>
      <c r="K50" s="78">
        <f t="shared" si="3"/>
        <v>24</v>
      </c>
      <c r="L50" s="80"/>
    </row>
    <row r="51" ht="15.75" customHeight="1">
      <c r="A51" s="84"/>
      <c r="B51" s="85" t="s">
        <v>477</v>
      </c>
      <c r="C51" s="85" t="s">
        <v>478</v>
      </c>
      <c r="D51" s="85" t="s">
        <v>48</v>
      </c>
      <c r="E51" s="86" t="s">
        <v>481</v>
      </c>
      <c r="F51" s="87">
        <v>16.0</v>
      </c>
      <c r="G51" s="86" t="str">
        <f t="shared" si="5"/>
        <v/>
      </c>
      <c r="H51" s="88" t="str">
        <f t="shared" si="2"/>
        <v/>
      </c>
      <c r="I51" s="85"/>
      <c r="J51" s="87">
        <f>SUMIFS('REGISTRO DE CUOTAS'!$F:$F,'REGISTRO DE CUOTAS'!$D:$D,$C51,'REGISTRO DE CUOTAS'!$E:$E,$B51)</f>
        <v>0</v>
      </c>
      <c r="K51" s="89" t="str">
        <f t="shared" si="3"/>
        <v>#VALUE!</v>
      </c>
      <c r="L51" s="90"/>
    </row>
    <row r="52" ht="15.75" customHeight="1">
      <c r="A52" s="91"/>
      <c r="B52" s="92" t="s">
        <v>484</v>
      </c>
      <c r="C52" s="92" t="s">
        <v>478</v>
      </c>
      <c r="D52" s="92" t="s">
        <v>48</v>
      </c>
      <c r="E52" s="93" t="s">
        <v>486</v>
      </c>
      <c r="F52" s="94"/>
      <c r="G52" s="95" t="str">
        <f t="shared" si="5"/>
        <v/>
      </c>
      <c r="H52" s="96" t="str">
        <f t="shared" si="2"/>
        <v/>
      </c>
      <c r="I52" s="91"/>
      <c r="J52" s="94">
        <f>SUMIFS('REGISTRO DE CUOTAS'!$F:$F,'REGISTRO DE CUOTAS'!$D:$D,$C52,'REGISTRO DE CUOTAS'!$E:$E,$B52)</f>
        <v>0</v>
      </c>
      <c r="K52" s="97" t="str">
        <f t="shared" si="3"/>
        <v>#VALUE!</v>
      </c>
      <c r="L52" s="91"/>
    </row>
    <row r="53" ht="15.75" hidden="1" customHeight="1">
      <c r="A53" s="91"/>
      <c r="B53" s="92" t="s">
        <v>488</v>
      </c>
      <c r="C53" s="92" t="s">
        <v>489</v>
      </c>
      <c r="D53" s="92" t="s">
        <v>48</v>
      </c>
      <c r="E53" s="93">
        <v>24.0</v>
      </c>
      <c r="F53" s="98">
        <v>12.0</v>
      </c>
      <c r="G53" s="95">
        <f t="shared" si="5"/>
        <v>12</v>
      </c>
      <c r="H53" s="96">
        <f t="shared" si="2"/>
        <v>0.5</v>
      </c>
      <c r="I53" s="91"/>
      <c r="J53" s="94">
        <f>SUMIFS('REGISTRO DE CUOTAS'!$F:$F,'REGISTRO DE CUOTAS'!$D:$D,$C53,'REGISTRO DE CUOTAS'!$E:$E,$B53)</f>
        <v>0</v>
      </c>
      <c r="K53" s="97">
        <f t="shared" si="3"/>
        <v>24</v>
      </c>
      <c r="L53" s="91"/>
    </row>
    <row r="54" ht="15.75" hidden="1" customHeight="1">
      <c r="A54" s="91"/>
      <c r="B54" s="92" t="s">
        <v>242</v>
      </c>
      <c r="C54" s="92" t="s">
        <v>463</v>
      </c>
      <c r="D54" s="92" t="s">
        <v>48</v>
      </c>
      <c r="E54" s="93">
        <v>24.0</v>
      </c>
      <c r="F54" s="98">
        <v>13.0</v>
      </c>
      <c r="G54" s="95">
        <f t="shared" si="5"/>
        <v>11</v>
      </c>
      <c r="H54" s="96">
        <f t="shared" si="2"/>
        <v>0.4583333333</v>
      </c>
      <c r="I54" s="91"/>
      <c r="J54" s="94">
        <f>SUMIFS('REGISTRO DE CUOTAS'!$F:$F,'REGISTRO DE CUOTAS'!$D:$D,$C54,'REGISTRO DE CUOTAS'!$E:$E,$B54)</f>
        <v>0</v>
      </c>
      <c r="K54" s="97">
        <f t="shared" si="3"/>
        <v>24</v>
      </c>
      <c r="L54" s="91"/>
    </row>
    <row r="55" ht="15.75" customHeight="1">
      <c r="A55" s="91"/>
      <c r="B55" s="92" t="s">
        <v>327</v>
      </c>
      <c r="C55" s="92" t="s">
        <v>478</v>
      </c>
      <c r="D55" s="92" t="s">
        <v>48</v>
      </c>
      <c r="E55" s="93" t="s">
        <v>494</v>
      </c>
      <c r="F55" s="98" t="s">
        <v>495</v>
      </c>
      <c r="G55" s="95" t="str">
        <f t="shared" si="5"/>
        <v/>
      </c>
      <c r="H55" s="96" t="str">
        <f t="shared" si="2"/>
        <v/>
      </c>
      <c r="I55" s="91"/>
      <c r="J55" s="94">
        <f>SUMIFS('REGISTRO DE CUOTAS'!$F:$F,'REGISTRO DE CUOTAS'!$D:$D,$C55,'REGISTRO DE CUOTAS'!$E:$E,$B55)</f>
        <v>0</v>
      </c>
      <c r="K55" s="97" t="str">
        <f t="shared" si="3"/>
        <v>#VALUE!</v>
      </c>
      <c r="L55" s="91"/>
    </row>
    <row r="56" ht="15.75" customHeight="1">
      <c r="A56" s="91"/>
      <c r="B56" s="92" t="s">
        <v>327</v>
      </c>
      <c r="C56" s="92" t="s">
        <v>478</v>
      </c>
      <c r="D56" s="92" t="s">
        <v>48</v>
      </c>
      <c r="E56" s="93" t="s">
        <v>494</v>
      </c>
      <c r="F56" s="98" t="s">
        <v>495</v>
      </c>
      <c r="G56" s="95" t="str">
        <f t="shared" si="5"/>
        <v/>
      </c>
      <c r="H56" s="96" t="str">
        <f t="shared" si="2"/>
        <v/>
      </c>
      <c r="I56" s="91"/>
      <c r="J56" s="94">
        <f>SUMIFS('REGISTRO DE CUOTAS'!$F:$F,'REGISTRO DE CUOTAS'!$D:$D,$C56,'REGISTRO DE CUOTAS'!$E:$E,$B56)</f>
        <v>0</v>
      </c>
      <c r="K56" s="97" t="str">
        <f t="shared" si="3"/>
        <v>#VALUE!</v>
      </c>
      <c r="L56" s="91"/>
    </row>
    <row r="57" ht="15.75" customHeight="1">
      <c r="A57" s="91"/>
      <c r="B57" s="92" t="s">
        <v>320</v>
      </c>
      <c r="C57" s="92" t="s">
        <v>478</v>
      </c>
      <c r="D57" s="92" t="s">
        <v>48</v>
      </c>
      <c r="E57" s="93" t="s">
        <v>494</v>
      </c>
      <c r="F57" s="98" t="s">
        <v>500</v>
      </c>
      <c r="G57" s="95" t="str">
        <f t="shared" si="5"/>
        <v/>
      </c>
      <c r="H57" s="96" t="str">
        <f t="shared" si="2"/>
        <v/>
      </c>
      <c r="I57" s="91"/>
      <c r="J57" s="94">
        <f>SUMIFS('REGISTRO DE CUOTAS'!$F:$F,'REGISTRO DE CUOTAS'!$D:$D,$C57,'REGISTRO DE CUOTAS'!$E:$E,$B57)</f>
        <v>0</v>
      </c>
      <c r="K57" s="97" t="str">
        <f t="shared" si="3"/>
        <v>#VALUE!</v>
      </c>
      <c r="L57" s="9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CCF2047E-9C5C-4186-A5EA-E51DF214BC83}" filter="1" showAutoFilter="1">
      <autoFilter ref="$A$3:$L$57"/>
    </customSheetView>
  </customSheetViews>
  <mergeCells count="2">
    <mergeCell ref="N3:O3"/>
    <mergeCell ref="N13:O15"/>
  </mergeCells>
  <conditionalFormatting sqref="G4:G44">
    <cfRule type="cellIs" dxfId="7" priority="1" operator="lessThan">
      <formula>0</formula>
    </cfRule>
  </conditionalFormatting>
  <conditionalFormatting sqref="K4:K44">
    <cfRule type="cellIs" dxfId="6" priority="2" operator="greaterThan">
      <formula>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E8FA3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13.0"/>
    <col customWidth="1" min="3" max="3" width="14.0"/>
    <col customWidth="1" min="4" max="4" width="22.0"/>
    <col customWidth="1" min="5" max="5" width="30.0"/>
    <col customWidth="1" min="6" max="6" width="18.0"/>
    <col customWidth="1" min="7" max="8" width="14.0"/>
    <col customWidth="1" min="9" max="9" width="34.0"/>
    <col customWidth="1" min="10" max="26" width="8.71"/>
  </cols>
  <sheetData>
    <row r="1">
      <c r="A1" s="1" t="s">
        <v>14</v>
      </c>
    </row>
    <row r="2">
      <c r="A2" s="9" t="s">
        <v>17</v>
      </c>
    </row>
    <row r="3" ht="30.0" customHeigh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>
      <c r="A4" s="10"/>
      <c r="B4" s="11"/>
      <c r="C4" s="10"/>
      <c r="D4" s="10"/>
      <c r="E4" s="10"/>
      <c r="F4" s="12"/>
      <c r="G4" s="10"/>
      <c r="H4" s="10"/>
      <c r="I4" s="10"/>
    </row>
    <row r="5">
      <c r="A5" s="16"/>
      <c r="B5" s="17"/>
      <c r="C5" s="16"/>
      <c r="D5" s="16"/>
      <c r="E5" s="16"/>
      <c r="F5" s="18"/>
      <c r="G5" s="16"/>
      <c r="H5" s="16"/>
      <c r="I5" s="16"/>
    </row>
    <row r="6">
      <c r="A6" s="10"/>
      <c r="B6" s="11"/>
      <c r="C6" s="10"/>
      <c r="D6" s="10"/>
      <c r="E6" s="10"/>
      <c r="F6" s="12"/>
      <c r="G6" s="10"/>
      <c r="H6" s="10"/>
      <c r="I6" s="10"/>
    </row>
    <row r="7">
      <c r="A7" s="16"/>
      <c r="B7" s="17"/>
      <c r="C7" s="16"/>
      <c r="D7" s="16"/>
      <c r="E7" s="16"/>
      <c r="F7" s="18"/>
      <c r="G7" s="16"/>
      <c r="H7" s="16"/>
      <c r="I7" s="16"/>
    </row>
    <row r="8">
      <c r="A8" s="10"/>
      <c r="B8" s="11"/>
      <c r="C8" s="10"/>
      <c r="D8" s="10"/>
      <c r="E8" s="10"/>
      <c r="F8" s="12"/>
      <c r="G8" s="10"/>
      <c r="H8" s="10"/>
      <c r="I8" s="10"/>
    </row>
    <row r="9">
      <c r="A9" s="16"/>
      <c r="B9" s="17"/>
      <c r="C9" s="16"/>
      <c r="D9" s="16"/>
      <c r="E9" s="16"/>
      <c r="F9" s="18"/>
      <c r="G9" s="16"/>
      <c r="H9" s="16"/>
      <c r="I9" s="16"/>
    </row>
    <row r="10">
      <c r="A10" s="10"/>
      <c r="B10" s="11"/>
      <c r="C10" s="10"/>
      <c r="D10" s="10"/>
      <c r="E10" s="10"/>
      <c r="F10" s="12"/>
      <c r="G10" s="10"/>
      <c r="H10" s="10"/>
      <c r="I10" s="10"/>
    </row>
    <row r="11">
      <c r="A11" s="16"/>
      <c r="B11" s="17"/>
      <c r="C11" s="16"/>
      <c r="D11" s="16"/>
      <c r="E11" s="16"/>
      <c r="F11" s="18"/>
      <c r="G11" s="16"/>
      <c r="H11" s="16"/>
      <c r="I11" s="16"/>
    </row>
    <row r="12">
      <c r="A12" s="10"/>
      <c r="B12" s="11"/>
      <c r="C12" s="10"/>
      <c r="D12" s="10"/>
      <c r="E12" s="10"/>
      <c r="F12" s="12"/>
      <c r="G12" s="10"/>
      <c r="H12" s="10"/>
      <c r="I12" s="10"/>
    </row>
    <row r="13">
      <c r="A13" s="16"/>
      <c r="B13" s="17"/>
      <c r="C13" s="16"/>
      <c r="D13" s="16"/>
      <c r="E13" s="16"/>
      <c r="F13" s="18"/>
      <c r="G13" s="16"/>
      <c r="H13" s="16"/>
      <c r="I13" s="16"/>
    </row>
    <row r="14">
      <c r="A14" s="10"/>
      <c r="B14" s="11"/>
      <c r="C14" s="10"/>
      <c r="D14" s="10"/>
      <c r="E14" s="10"/>
      <c r="F14" s="12"/>
      <c r="G14" s="10"/>
      <c r="H14" s="10"/>
      <c r="I14" s="10"/>
    </row>
    <row r="15">
      <c r="A15" s="16"/>
      <c r="B15" s="17"/>
      <c r="C15" s="16"/>
      <c r="D15" s="16"/>
      <c r="E15" s="16"/>
      <c r="F15" s="18"/>
      <c r="G15" s="16"/>
      <c r="H15" s="16"/>
      <c r="I15" s="16"/>
    </row>
    <row r="16">
      <c r="A16" s="10"/>
      <c r="B16" s="11"/>
      <c r="C16" s="10"/>
      <c r="D16" s="10"/>
      <c r="E16" s="10"/>
      <c r="F16" s="12"/>
      <c r="G16" s="10"/>
      <c r="H16" s="10"/>
      <c r="I16" s="10"/>
    </row>
    <row r="17">
      <c r="A17" s="16"/>
      <c r="B17" s="17"/>
      <c r="C17" s="16"/>
      <c r="D17" s="16"/>
      <c r="E17" s="16"/>
      <c r="F17" s="18"/>
      <c r="G17" s="16"/>
      <c r="H17" s="16"/>
      <c r="I17" s="16"/>
    </row>
    <row r="18">
      <c r="A18" s="10"/>
      <c r="B18" s="11"/>
      <c r="C18" s="10"/>
      <c r="D18" s="10"/>
      <c r="E18" s="10"/>
      <c r="F18" s="12"/>
      <c r="G18" s="10"/>
      <c r="H18" s="10"/>
      <c r="I18" s="10"/>
    </row>
    <row r="19">
      <c r="A19" s="16"/>
      <c r="B19" s="17"/>
      <c r="C19" s="16"/>
      <c r="D19" s="16"/>
      <c r="E19" s="16"/>
      <c r="F19" s="18"/>
      <c r="G19" s="16"/>
      <c r="H19" s="16"/>
      <c r="I19" s="16"/>
    </row>
    <row r="20">
      <c r="A20" s="10"/>
      <c r="B20" s="11"/>
      <c r="C20" s="10"/>
      <c r="D20" s="10"/>
      <c r="E20" s="10"/>
      <c r="F20" s="12"/>
      <c r="G20" s="10"/>
      <c r="H20" s="10"/>
      <c r="I20" s="10"/>
    </row>
    <row r="21" ht="15.75" customHeight="1">
      <c r="A21" s="16"/>
      <c r="B21" s="17"/>
      <c r="C21" s="16"/>
      <c r="D21" s="16"/>
      <c r="E21" s="16"/>
      <c r="F21" s="18"/>
      <c r="G21" s="16"/>
      <c r="H21" s="16"/>
      <c r="I21" s="16"/>
    </row>
    <row r="22" ht="15.75" customHeight="1">
      <c r="A22" s="10"/>
      <c r="B22" s="11"/>
      <c r="C22" s="10"/>
      <c r="D22" s="10"/>
      <c r="E22" s="10"/>
      <c r="F22" s="12"/>
      <c r="G22" s="10"/>
      <c r="H22" s="10"/>
      <c r="I22" s="10"/>
    </row>
    <row r="23" ht="15.75" customHeight="1">
      <c r="A23" s="16"/>
      <c r="B23" s="17"/>
      <c r="C23" s="16"/>
      <c r="D23" s="16"/>
      <c r="E23" s="16"/>
      <c r="F23" s="18"/>
      <c r="G23" s="16"/>
      <c r="H23" s="16"/>
      <c r="I23" s="16"/>
    </row>
    <row r="24" ht="15.75" customHeight="1">
      <c r="A24" s="10"/>
      <c r="B24" s="11"/>
      <c r="C24" s="10"/>
      <c r="D24" s="10"/>
      <c r="E24" s="10"/>
      <c r="F24" s="12"/>
      <c r="G24" s="10"/>
      <c r="H24" s="10"/>
      <c r="I24" s="10"/>
    </row>
    <row r="25" ht="15.75" customHeight="1">
      <c r="A25" s="16"/>
      <c r="B25" s="17"/>
      <c r="C25" s="16"/>
      <c r="D25" s="16"/>
      <c r="E25" s="16"/>
      <c r="F25" s="18"/>
      <c r="G25" s="16"/>
      <c r="H25" s="16"/>
      <c r="I25" s="16"/>
    </row>
    <row r="26" ht="15.75" customHeight="1">
      <c r="A26" s="10"/>
      <c r="B26" s="11"/>
      <c r="C26" s="10"/>
      <c r="D26" s="10"/>
      <c r="E26" s="10"/>
      <c r="F26" s="12"/>
      <c r="G26" s="10"/>
      <c r="H26" s="10"/>
      <c r="I26" s="10"/>
    </row>
    <row r="27" ht="15.75" customHeight="1">
      <c r="A27" s="16"/>
      <c r="B27" s="17"/>
      <c r="C27" s="16"/>
      <c r="D27" s="16"/>
      <c r="E27" s="16"/>
      <c r="F27" s="18"/>
      <c r="G27" s="16"/>
      <c r="H27" s="16"/>
      <c r="I27" s="16"/>
    </row>
    <row r="28" ht="15.75" customHeight="1">
      <c r="A28" s="10"/>
      <c r="B28" s="11"/>
      <c r="C28" s="10"/>
      <c r="D28" s="10"/>
      <c r="E28" s="10"/>
      <c r="F28" s="12"/>
      <c r="G28" s="10"/>
      <c r="H28" s="10"/>
      <c r="I28" s="10"/>
    </row>
    <row r="29" ht="15.75" customHeight="1">
      <c r="A29" s="16"/>
      <c r="B29" s="17"/>
      <c r="C29" s="16"/>
      <c r="D29" s="16"/>
      <c r="E29" s="16"/>
      <c r="F29" s="18"/>
      <c r="G29" s="16"/>
      <c r="H29" s="16"/>
      <c r="I29" s="16"/>
    </row>
    <row r="30" ht="15.75" customHeight="1">
      <c r="A30" s="10"/>
      <c r="B30" s="11"/>
      <c r="C30" s="10"/>
      <c r="D30" s="10"/>
      <c r="E30" s="10"/>
      <c r="F30" s="12"/>
      <c r="G30" s="10"/>
      <c r="H30" s="10"/>
      <c r="I30" s="10"/>
    </row>
    <row r="31" ht="15.75" customHeight="1">
      <c r="A31" s="16"/>
      <c r="B31" s="17"/>
      <c r="C31" s="16"/>
      <c r="D31" s="16"/>
      <c r="E31" s="16"/>
      <c r="F31" s="18"/>
      <c r="G31" s="16"/>
      <c r="H31" s="16"/>
      <c r="I31" s="16"/>
    </row>
    <row r="32" ht="15.75" customHeight="1">
      <c r="A32" s="10"/>
      <c r="B32" s="11"/>
      <c r="C32" s="10"/>
      <c r="D32" s="10"/>
      <c r="E32" s="10"/>
      <c r="F32" s="12"/>
      <c r="G32" s="10"/>
      <c r="H32" s="10"/>
      <c r="I32" s="10"/>
    </row>
    <row r="33" ht="15.75" customHeight="1">
      <c r="A33" s="16"/>
      <c r="B33" s="17"/>
      <c r="C33" s="16"/>
      <c r="D33" s="16"/>
      <c r="E33" s="16"/>
      <c r="F33" s="18"/>
      <c r="G33" s="16"/>
      <c r="H33" s="16"/>
      <c r="I33" s="16"/>
    </row>
    <row r="34" ht="15.75" customHeight="1">
      <c r="A34" s="10"/>
      <c r="B34" s="11"/>
      <c r="C34" s="10"/>
      <c r="D34" s="10"/>
      <c r="E34" s="10"/>
      <c r="F34" s="12"/>
      <c r="G34" s="10"/>
      <c r="H34" s="10"/>
      <c r="I34" s="10"/>
    </row>
    <row r="35" ht="15.75" customHeight="1">
      <c r="A35" s="16"/>
      <c r="B35" s="17"/>
      <c r="C35" s="16"/>
      <c r="D35" s="16"/>
      <c r="E35" s="16"/>
      <c r="F35" s="18"/>
      <c r="G35" s="16"/>
      <c r="H35" s="16"/>
      <c r="I35" s="16"/>
    </row>
    <row r="36" ht="15.75" customHeight="1">
      <c r="A36" s="10"/>
      <c r="B36" s="11"/>
      <c r="C36" s="10"/>
      <c r="D36" s="10"/>
      <c r="E36" s="10"/>
      <c r="F36" s="12"/>
      <c r="G36" s="10"/>
      <c r="H36" s="10"/>
      <c r="I36" s="10"/>
    </row>
    <row r="37" ht="15.75" customHeight="1">
      <c r="A37" s="16"/>
      <c r="B37" s="17"/>
      <c r="C37" s="16"/>
      <c r="D37" s="16"/>
      <c r="E37" s="16"/>
      <c r="F37" s="18"/>
      <c r="G37" s="16"/>
      <c r="H37" s="16"/>
      <c r="I37" s="16"/>
    </row>
    <row r="38" ht="15.75" customHeight="1">
      <c r="A38" s="10"/>
      <c r="B38" s="11"/>
      <c r="C38" s="10"/>
      <c r="D38" s="10"/>
      <c r="E38" s="10"/>
      <c r="F38" s="12"/>
      <c r="G38" s="10"/>
      <c r="H38" s="10"/>
      <c r="I38" s="10"/>
    </row>
    <row r="39" ht="15.75" customHeight="1">
      <c r="A39" s="16"/>
      <c r="B39" s="17"/>
      <c r="C39" s="16"/>
      <c r="D39" s="16"/>
      <c r="E39" s="16"/>
      <c r="F39" s="18"/>
      <c r="G39" s="16"/>
      <c r="H39" s="16"/>
      <c r="I39" s="16"/>
    </row>
    <row r="40" ht="15.75" customHeight="1">
      <c r="A40" s="10"/>
      <c r="B40" s="11"/>
      <c r="C40" s="10"/>
      <c r="D40" s="10"/>
      <c r="E40" s="10"/>
      <c r="F40" s="12"/>
      <c r="G40" s="10"/>
      <c r="H40" s="10"/>
      <c r="I40" s="10"/>
    </row>
    <row r="41" ht="15.75" customHeight="1">
      <c r="A41" s="16"/>
      <c r="B41" s="17"/>
      <c r="C41" s="16"/>
      <c r="D41" s="16"/>
      <c r="E41" s="16"/>
      <c r="F41" s="18"/>
      <c r="G41" s="16"/>
      <c r="H41" s="16"/>
      <c r="I41" s="16"/>
    </row>
    <row r="42" ht="15.75" customHeight="1">
      <c r="A42" s="10"/>
      <c r="B42" s="11"/>
      <c r="C42" s="10"/>
      <c r="D42" s="10"/>
      <c r="E42" s="10"/>
      <c r="F42" s="12"/>
      <c r="G42" s="10"/>
      <c r="H42" s="10"/>
      <c r="I42" s="10"/>
    </row>
    <row r="43" ht="15.75" customHeight="1">
      <c r="A43" s="16"/>
      <c r="B43" s="17"/>
      <c r="C43" s="16"/>
      <c r="D43" s="16"/>
      <c r="E43" s="16"/>
      <c r="F43" s="18"/>
      <c r="G43" s="16"/>
      <c r="H43" s="16"/>
      <c r="I43" s="16"/>
    </row>
    <row r="44" ht="15.75" customHeight="1">
      <c r="A44" s="10"/>
      <c r="B44" s="11"/>
      <c r="C44" s="10"/>
      <c r="D44" s="10"/>
      <c r="E44" s="10"/>
      <c r="F44" s="12"/>
      <c r="G44" s="10"/>
      <c r="H44" s="10"/>
      <c r="I44" s="10"/>
    </row>
    <row r="45" ht="15.75" customHeight="1">
      <c r="A45" s="16"/>
      <c r="B45" s="17"/>
      <c r="C45" s="16"/>
      <c r="D45" s="16"/>
      <c r="E45" s="16"/>
      <c r="F45" s="18"/>
      <c r="G45" s="16"/>
      <c r="H45" s="16"/>
      <c r="I45" s="16"/>
    </row>
    <row r="46" ht="15.75" customHeight="1">
      <c r="A46" s="10"/>
      <c r="B46" s="11"/>
      <c r="C46" s="10"/>
      <c r="D46" s="10"/>
      <c r="E46" s="10"/>
      <c r="F46" s="12"/>
      <c r="G46" s="10"/>
      <c r="H46" s="10"/>
      <c r="I46" s="10"/>
    </row>
    <row r="47" ht="15.75" customHeight="1">
      <c r="A47" s="16"/>
      <c r="B47" s="17"/>
      <c r="C47" s="16"/>
      <c r="D47" s="16"/>
      <c r="E47" s="16"/>
      <c r="F47" s="18"/>
      <c r="G47" s="16"/>
      <c r="H47" s="16"/>
      <c r="I47" s="16"/>
    </row>
    <row r="48" ht="15.75" customHeight="1">
      <c r="A48" s="10"/>
      <c r="B48" s="11"/>
      <c r="C48" s="10"/>
      <c r="D48" s="10"/>
      <c r="E48" s="10"/>
      <c r="F48" s="12"/>
      <c r="G48" s="10"/>
      <c r="H48" s="10"/>
      <c r="I48" s="10"/>
    </row>
    <row r="49" ht="15.75" customHeight="1">
      <c r="A49" s="16"/>
      <c r="B49" s="17"/>
      <c r="C49" s="16"/>
      <c r="D49" s="16"/>
      <c r="E49" s="16"/>
      <c r="F49" s="18"/>
      <c r="G49" s="16"/>
      <c r="H49" s="16"/>
      <c r="I49" s="16"/>
    </row>
    <row r="50" ht="15.75" customHeight="1">
      <c r="A50" s="10"/>
      <c r="B50" s="11"/>
      <c r="C50" s="10"/>
      <c r="D50" s="10"/>
      <c r="E50" s="10"/>
      <c r="F50" s="12"/>
      <c r="G50" s="10"/>
      <c r="H50" s="10"/>
      <c r="I50" s="10"/>
    </row>
    <row r="51" ht="15.75" customHeight="1">
      <c r="A51" s="16"/>
      <c r="B51" s="17"/>
      <c r="C51" s="16"/>
      <c r="D51" s="16"/>
      <c r="E51" s="16"/>
      <c r="F51" s="18"/>
      <c r="G51" s="16"/>
      <c r="H51" s="16"/>
      <c r="I51" s="16"/>
    </row>
    <row r="52" ht="15.75" customHeight="1">
      <c r="A52" s="10"/>
      <c r="B52" s="11"/>
      <c r="C52" s="10"/>
      <c r="D52" s="10"/>
      <c r="E52" s="10"/>
      <c r="F52" s="12"/>
      <c r="G52" s="10"/>
      <c r="H52" s="10"/>
      <c r="I52" s="10"/>
    </row>
    <row r="53" ht="15.75" customHeight="1">
      <c r="A53" s="16"/>
      <c r="B53" s="17"/>
      <c r="C53" s="16"/>
      <c r="D53" s="16"/>
      <c r="E53" s="16"/>
      <c r="F53" s="18"/>
      <c r="G53" s="16"/>
      <c r="H53" s="16"/>
      <c r="I53" s="16"/>
    </row>
    <row r="54" ht="15.75" customHeight="1">
      <c r="A54" s="10"/>
      <c r="B54" s="11"/>
      <c r="C54" s="10"/>
      <c r="D54" s="10"/>
      <c r="E54" s="10"/>
      <c r="F54" s="12"/>
      <c r="G54" s="10"/>
      <c r="H54" s="10"/>
      <c r="I54" s="10"/>
    </row>
    <row r="55" ht="15.75" customHeight="1">
      <c r="A55" s="16"/>
      <c r="B55" s="17"/>
      <c r="C55" s="16"/>
      <c r="D55" s="16"/>
      <c r="E55" s="16"/>
      <c r="F55" s="18"/>
      <c r="G55" s="16"/>
      <c r="H55" s="16"/>
      <c r="I55" s="16"/>
    </row>
    <row r="56" ht="15.75" customHeight="1">
      <c r="A56" s="10"/>
      <c r="B56" s="11"/>
      <c r="C56" s="10"/>
      <c r="D56" s="10"/>
      <c r="E56" s="10"/>
      <c r="F56" s="12"/>
      <c r="G56" s="10"/>
      <c r="H56" s="10"/>
      <c r="I56" s="10"/>
    </row>
    <row r="57" ht="15.75" customHeight="1">
      <c r="A57" s="16"/>
      <c r="B57" s="17"/>
      <c r="C57" s="16"/>
      <c r="D57" s="16"/>
      <c r="E57" s="16"/>
      <c r="F57" s="18"/>
      <c r="G57" s="16"/>
      <c r="H57" s="16"/>
      <c r="I57" s="16"/>
    </row>
    <row r="58" ht="15.75" customHeight="1">
      <c r="A58" s="10"/>
      <c r="B58" s="11"/>
      <c r="C58" s="10"/>
      <c r="D58" s="10"/>
      <c r="E58" s="10"/>
      <c r="F58" s="12"/>
      <c r="G58" s="10"/>
      <c r="H58" s="10"/>
      <c r="I58" s="10"/>
    </row>
    <row r="59" ht="15.75" customHeight="1">
      <c r="A59" s="16"/>
      <c r="B59" s="17"/>
      <c r="C59" s="16"/>
      <c r="D59" s="16"/>
      <c r="E59" s="16"/>
      <c r="F59" s="18"/>
      <c r="G59" s="16"/>
      <c r="H59" s="16"/>
      <c r="I59" s="16"/>
    </row>
    <row r="60" ht="15.75" customHeight="1">
      <c r="A60" s="10"/>
      <c r="B60" s="11"/>
      <c r="C60" s="10"/>
      <c r="D60" s="10"/>
      <c r="E60" s="10"/>
      <c r="F60" s="12"/>
      <c r="G60" s="10"/>
      <c r="H60" s="10"/>
      <c r="I60" s="10"/>
    </row>
    <row r="61" ht="15.75" customHeight="1">
      <c r="A61" s="16"/>
      <c r="B61" s="17"/>
      <c r="C61" s="16"/>
      <c r="D61" s="16"/>
      <c r="E61" s="16"/>
      <c r="F61" s="18"/>
      <c r="G61" s="16"/>
      <c r="H61" s="16"/>
      <c r="I61" s="16"/>
    </row>
    <row r="62" ht="15.75" customHeight="1">
      <c r="A62" s="10"/>
      <c r="B62" s="11"/>
      <c r="C62" s="10"/>
      <c r="D62" s="10"/>
      <c r="E62" s="10"/>
      <c r="F62" s="12"/>
      <c r="G62" s="10"/>
      <c r="H62" s="10"/>
      <c r="I62" s="10"/>
    </row>
    <row r="63" ht="15.75" customHeight="1">
      <c r="A63" s="16"/>
      <c r="B63" s="17"/>
      <c r="C63" s="16"/>
      <c r="D63" s="16"/>
      <c r="E63" s="16"/>
      <c r="F63" s="18"/>
      <c r="G63" s="16"/>
      <c r="H63" s="16"/>
      <c r="I63" s="16"/>
    </row>
    <row r="64" ht="15.75" customHeight="1">
      <c r="A64" s="10"/>
      <c r="B64" s="11"/>
      <c r="C64" s="10"/>
      <c r="D64" s="10"/>
      <c r="E64" s="10"/>
      <c r="F64" s="12"/>
      <c r="G64" s="10"/>
      <c r="H64" s="10"/>
      <c r="I64" s="10"/>
    </row>
    <row r="65" ht="15.75" customHeight="1">
      <c r="A65" s="16"/>
      <c r="B65" s="17"/>
      <c r="C65" s="16"/>
      <c r="D65" s="16"/>
      <c r="E65" s="16"/>
      <c r="F65" s="18"/>
      <c r="G65" s="16"/>
      <c r="H65" s="16"/>
      <c r="I65" s="16"/>
    </row>
    <row r="66" ht="15.75" customHeight="1">
      <c r="A66" s="10"/>
      <c r="B66" s="11"/>
      <c r="C66" s="10"/>
      <c r="D66" s="10"/>
      <c r="E66" s="10"/>
      <c r="F66" s="12"/>
      <c r="G66" s="10"/>
      <c r="H66" s="10"/>
      <c r="I66" s="10"/>
    </row>
    <row r="67" ht="15.75" customHeight="1">
      <c r="A67" s="16"/>
      <c r="B67" s="17"/>
      <c r="C67" s="16"/>
      <c r="D67" s="16"/>
      <c r="E67" s="16"/>
      <c r="F67" s="18"/>
      <c r="G67" s="16"/>
      <c r="H67" s="16"/>
      <c r="I67" s="16"/>
    </row>
    <row r="68" ht="15.75" customHeight="1">
      <c r="A68" s="10"/>
      <c r="B68" s="11"/>
      <c r="C68" s="10"/>
      <c r="D68" s="10"/>
      <c r="E68" s="10"/>
      <c r="F68" s="12"/>
      <c r="G68" s="10"/>
      <c r="H68" s="10"/>
      <c r="I68" s="10"/>
    </row>
    <row r="69" ht="15.75" customHeight="1">
      <c r="A69" s="16"/>
      <c r="B69" s="17"/>
      <c r="C69" s="16"/>
      <c r="D69" s="16"/>
      <c r="E69" s="16"/>
      <c r="F69" s="18"/>
      <c r="G69" s="16"/>
      <c r="H69" s="16"/>
      <c r="I69" s="16"/>
    </row>
    <row r="70" ht="15.75" customHeight="1">
      <c r="A70" s="10"/>
      <c r="B70" s="11"/>
      <c r="C70" s="10"/>
      <c r="D70" s="10"/>
      <c r="E70" s="10"/>
      <c r="F70" s="12"/>
      <c r="G70" s="10"/>
      <c r="H70" s="10"/>
      <c r="I70" s="10"/>
    </row>
    <row r="71" ht="15.75" customHeight="1">
      <c r="A71" s="16"/>
      <c r="B71" s="17"/>
      <c r="C71" s="16"/>
      <c r="D71" s="16"/>
      <c r="E71" s="16"/>
      <c r="F71" s="18"/>
      <c r="G71" s="16"/>
      <c r="H71" s="16"/>
      <c r="I71" s="16"/>
    </row>
    <row r="72" ht="15.75" customHeight="1">
      <c r="A72" s="10"/>
      <c r="B72" s="11"/>
      <c r="C72" s="10"/>
      <c r="D72" s="10"/>
      <c r="E72" s="10"/>
      <c r="F72" s="12"/>
      <c r="G72" s="10"/>
      <c r="H72" s="10"/>
      <c r="I72" s="10"/>
    </row>
    <row r="73" ht="15.75" customHeight="1">
      <c r="A73" s="16"/>
      <c r="B73" s="17"/>
      <c r="C73" s="16"/>
      <c r="D73" s="16"/>
      <c r="E73" s="16"/>
      <c r="F73" s="18"/>
      <c r="G73" s="16"/>
      <c r="H73" s="16"/>
      <c r="I73" s="16"/>
    </row>
    <row r="74" ht="15.75" customHeight="1">
      <c r="A74" s="10"/>
      <c r="B74" s="11"/>
      <c r="C74" s="10"/>
      <c r="D74" s="10"/>
      <c r="E74" s="10"/>
      <c r="F74" s="12"/>
      <c r="G74" s="10"/>
      <c r="H74" s="10"/>
      <c r="I74" s="10"/>
    </row>
    <row r="75" ht="15.75" customHeight="1">
      <c r="A75" s="16"/>
      <c r="B75" s="17"/>
      <c r="C75" s="16"/>
      <c r="D75" s="16"/>
      <c r="E75" s="16"/>
      <c r="F75" s="18"/>
      <c r="G75" s="16"/>
      <c r="H75" s="16"/>
      <c r="I75" s="16"/>
    </row>
    <row r="76" ht="15.75" customHeight="1">
      <c r="A76" s="10"/>
      <c r="B76" s="11"/>
      <c r="C76" s="10"/>
      <c r="D76" s="10"/>
      <c r="E76" s="10"/>
      <c r="F76" s="12"/>
      <c r="G76" s="10"/>
      <c r="H76" s="10"/>
      <c r="I76" s="10"/>
    </row>
    <row r="77" ht="15.75" customHeight="1">
      <c r="A77" s="16"/>
      <c r="B77" s="17"/>
      <c r="C77" s="16"/>
      <c r="D77" s="16"/>
      <c r="E77" s="16"/>
      <c r="F77" s="18"/>
      <c r="G77" s="16"/>
      <c r="H77" s="16"/>
      <c r="I77" s="16"/>
    </row>
    <row r="78" ht="15.75" customHeight="1">
      <c r="A78" s="10"/>
      <c r="B78" s="11"/>
      <c r="C78" s="10"/>
      <c r="D78" s="10"/>
      <c r="E78" s="10"/>
      <c r="F78" s="12"/>
      <c r="G78" s="10"/>
      <c r="H78" s="10"/>
      <c r="I78" s="10"/>
    </row>
    <row r="79" ht="15.75" customHeight="1">
      <c r="A79" s="16"/>
      <c r="B79" s="17"/>
      <c r="C79" s="16"/>
      <c r="D79" s="16"/>
      <c r="E79" s="16"/>
      <c r="F79" s="18"/>
      <c r="G79" s="16"/>
      <c r="H79" s="16"/>
      <c r="I79" s="16"/>
    </row>
    <row r="80" ht="15.75" customHeight="1">
      <c r="A80" s="10"/>
      <c r="B80" s="11"/>
      <c r="C80" s="10"/>
      <c r="D80" s="10"/>
      <c r="E80" s="10"/>
      <c r="F80" s="12"/>
      <c r="G80" s="10"/>
      <c r="H80" s="10"/>
      <c r="I80" s="10"/>
    </row>
    <row r="81" ht="15.75" customHeight="1">
      <c r="A81" s="16"/>
      <c r="B81" s="17"/>
      <c r="C81" s="16"/>
      <c r="D81" s="16"/>
      <c r="E81" s="16"/>
      <c r="F81" s="18"/>
      <c r="G81" s="16"/>
      <c r="H81" s="16"/>
      <c r="I81" s="16"/>
    </row>
    <row r="82" ht="15.75" customHeight="1">
      <c r="A82" s="10"/>
      <c r="B82" s="11"/>
      <c r="C82" s="10"/>
      <c r="D82" s="10"/>
      <c r="E82" s="10"/>
      <c r="F82" s="12"/>
      <c r="G82" s="10"/>
      <c r="H82" s="10"/>
      <c r="I82" s="10"/>
    </row>
    <row r="83" ht="15.75" customHeight="1">
      <c r="A83" s="16"/>
      <c r="B83" s="17"/>
      <c r="C83" s="16"/>
      <c r="D83" s="16"/>
      <c r="E83" s="16"/>
      <c r="F83" s="18"/>
      <c r="G83" s="16"/>
      <c r="H83" s="16"/>
      <c r="I83" s="16"/>
    </row>
    <row r="84" ht="15.75" customHeight="1">
      <c r="A84" s="10"/>
      <c r="B84" s="11"/>
      <c r="C84" s="10"/>
      <c r="D84" s="10"/>
      <c r="E84" s="10"/>
      <c r="F84" s="12"/>
      <c r="G84" s="10"/>
      <c r="H84" s="10"/>
      <c r="I84" s="10"/>
    </row>
    <row r="85" ht="15.75" customHeight="1">
      <c r="A85" s="16"/>
      <c r="B85" s="17"/>
      <c r="C85" s="16"/>
      <c r="D85" s="16"/>
      <c r="E85" s="16"/>
      <c r="F85" s="18"/>
      <c r="G85" s="16"/>
      <c r="H85" s="16"/>
      <c r="I85" s="16"/>
    </row>
    <row r="86" ht="15.75" customHeight="1">
      <c r="A86" s="10"/>
      <c r="B86" s="11"/>
      <c r="C86" s="10"/>
      <c r="D86" s="10"/>
      <c r="E86" s="10"/>
      <c r="F86" s="12"/>
      <c r="G86" s="10"/>
      <c r="H86" s="10"/>
      <c r="I86" s="10"/>
    </row>
    <row r="87" ht="15.75" customHeight="1">
      <c r="A87" s="16"/>
      <c r="B87" s="17"/>
      <c r="C87" s="16"/>
      <c r="D87" s="16"/>
      <c r="E87" s="16"/>
      <c r="F87" s="18"/>
      <c r="G87" s="16"/>
      <c r="H87" s="16"/>
      <c r="I87" s="16"/>
    </row>
    <row r="88" ht="15.75" customHeight="1">
      <c r="A88" s="10"/>
      <c r="B88" s="11"/>
      <c r="C88" s="10"/>
      <c r="D88" s="10"/>
      <c r="E88" s="10"/>
      <c r="F88" s="12"/>
      <c r="G88" s="10"/>
      <c r="H88" s="10"/>
      <c r="I88" s="10"/>
    </row>
    <row r="89" ht="15.75" customHeight="1">
      <c r="A89" s="16"/>
      <c r="B89" s="17"/>
      <c r="C89" s="16"/>
      <c r="D89" s="16"/>
      <c r="E89" s="16"/>
      <c r="F89" s="18"/>
      <c r="G89" s="16"/>
      <c r="H89" s="16"/>
      <c r="I89" s="16"/>
    </row>
    <row r="90" ht="15.75" customHeight="1">
      <c r="A90" s="10"/>
      <c r="B90" s="11"/>
      <c r="C90" s="10"/>
      <c r="D90" s="10"/>
      <c r="E90" s="10"/>
      <c r="F90" s="12"/>
      <c r="G90" s="10"/>
      <c r="H90" s="10"/>
      <c r="I90" s="10"/>
    </row>
    <row r="91" ht="15.75" customHeight="1">
      <c r="A91" s="16"/>
      <c r="B91" s="17"/>
      <c r="C91" s="16"/>
      <c r="D91" s="16"/>
      <c r="E91" s="16"/>
      <c r="F91" s="18"/>
      <c r="G91" s="16"/>
      <c r="H91" s="16"/>
      <c r="I91" s="16"/>
    </row>
    <row r="92" ht="15.75" customHeight="1">
      <c r="A92" s="10"/>
      <c r="B92" s="11"/>
      <c r="C92" s="10"/>
      <c r="D92" s="10"/>
      <c r="E92" s="10"/>
      <c r="F92" s="12"/>
      <c r="G92" s="10"/>
      <c r="H92" s="10"/>
      <c r="I92" s="10"/>
    </row>
    <row r="93" ht="15.75" customHeight="1">
      <c r="A93" s="16"/>
      <c r="B93" s="17"/>
      <c r="C93" s="16"/>
      <c r="D93" s="16"/>
      <c r="E93" s="16"/>
      <c r="F93" s="18"/>
      <c r="G93" s="16"/>
      <c r="H93" s="16"/>
      <c r="I93" s="16"/>
    </row>
    <row r="94" ht="15.75" customHeight="1">
      <c r="A94" s="10"/>
      <c r="B94" s="11"/>
      <c r="C94" s="10"/>
      <c r="D94" s="10"/>
      <c r="E94" s="10"/>
      <c r="F94" s="12"/>
      <c r="G94" s="10"/>
      <c r="H94" s="10"/>
      <c r="I94" s="10"/>
    </row>
    <row r="95" ht="15.75" customHeight="1">
      <c r="A95" s="16"/>
      <c r="B95" s="17"/>
      <c r="C95" s="16"/>
      <c r="D95" s="16"/>
      <c r="E95" s="16"/>
      <c r="F95" s="18"/>
      <c r="G95" s="16"/>
      <c r="H95" s="16"/>
      <c r="I95" s="16"/>
    </row>
    <row r="96" ht="15.75" customHeight="1">
      <c r="A96" s="10"/>
      <c r="B96" s="11"/>
      <c r="C96" s="10"/>
      <c r="D96" s="10"/>
      <c r="E96" s="10"/>
      <c r="F96" s="12"/>
      <c r="G96" s="10"/>
      <c r="H96" s="10"/>
      <c r="I96" s="10"/>
    </row>
    <row r="97" ht="15.75" customHeight="1">
      <c r="A97" s="16"/>
      <c r="B97" s="17"/>
      <c r="C97" s="16"/>
      <c r="D97" s="16"/>
      <c r="E97" s="16"/>
      <c r="F97" s="18"/>
      <c r="G97" s="16"/>
      <c r="H97" s="16"/>
      <c r="I97" s="16"/>
    </row>
    <row r="98" ht="15.75" customHeight="1">
      <c r="A98" s="10"/>
      <c r="B98" s="11"/>
      <c r="C98" s="10"/>
      <c r="D98" s="10"/>
      <c r="E98" s="10"/>
      <c r="F98" s="12"/>
      <c r="G98" s="10"/>
      <c r="H98" s="10"/>
      <c r="I98" s="10"/>
    </row>
    <row r="99" ht="15.75" customHeight="1">
      <c r="A99" s="16"/>
      <c r="B99" s="17"/>
      <c r="C99" s="16"/>
      <c r="D99" s="16"/>
      <c r="E99" s="16"/>
      <c r="F99" s="18"/>
      <c r="G99" s="16"/>
      <c r="H99" s="16"/>
      <c r="I99" s="16"/>
    </row>
    <row r="100" ht="15.75" customHeight="1">
      <c r="A100" s="10"/>
      <c r="B100" s="11"/>
      <c r="C100" s="10"/>
      <c r="D100" s="10"/>
      <c r="E100" s="10"/>
      <c r="F100" s="12"/>
      <c r="G100" s="10"/>
      <c r="H100" s="10"/>
      <c r="I100" s="10"/>
    </row>
    <row r="101" ht="15.75" customHeight="1">
      <c r="A101" s="16"/>
      <c r="B101" s="17"/>
      <c r="C101" s="16"/>
      <c r="D101" s="16"/>
      <c r="E101" s="16"/>
      <c r="F101" s="18"/>
      <c r="G101" s="16"/>
      <c r="H101" s="16"/>
      <c r="I101" s="16"/>
    </row>
    <row r="102" ht="15.75" customHeight="1">
      <c r="A102" s="10"/>
      <c r="B102" s="11"/>
      <c r="C102" s="10"/>
      <c r="D102" s="10"/>
      <c r="E102" s="10"/>
      <c r="F102" s="12"/>
      <c r="G102" s="10"/>
      <c r="H102" s="10"/>
      <c r="I102" s="10"/>
    </row>
    <row r="103" ht="15.75" customHeight="1">
      <c r="A103" s="16"/>
      <c r="B103" s="17"/>
      <c r="C103" s="16"/>
      <c r="D103" s="16"/>
      <c r="E103" s="16"/>
      <c r="F103" s="18"/>
      <c r="G103" s="16"/>
      <c r="H103" s="16"/>
      <c r="I103" s="16"/>
    </row>
    <row r="104" ht="15.75" customHeight="1">
      <c r="A104" s="10"/>
      <c r="B104" s="11"/>
      <c r="C104" s="10"/>
      <c r="D104" s="10"/>
      <c r="E104" s="10"/>
      <c r="F104" s="12"/>
      <c r="G104" s="10"/>
      <c r="H104" s="10"/>
      <c r="I104" s="10"/>
    </row>
    <row r="105" ht="15.75" customHeight="1">
      <c r="A105" s="16"/>
      <c r="B105" s="17"/>
      <c r="C105" s="16"/>
      <c r="D105" s="16"/>
      <c r="E105" s="16"/>
      <c r="F105" s="18"/>
      <c r="G105" s="16"/>
      <c r="H105" s="16"/>
      <c r="I105" s="16"/>
    </row>
    <row r="106" ht="15.75" customHeight="1">
      <c r="A106" s="10"/>
      <c r="B106" s="11"/>
      <c r="C106" s="10"/>
      <c r="D106" s="10"/>
      <c r="E106" s="10"/>
      <c r="F106" s="12"/>
      <c r="G106" s="10"/>
      <c r="H106" s="10"/>
      <c r="I106" s="10"/>
    </row>
    <row r="107" ht="15.75" customHeight="1">
      <c r="A107" s="16"/>
      <c r="B107" s="17"/>
      <c r="C107" s="16"/>
      <c r="D107" s="16"/>
      <c r="E107" s="16"/>
      <c r="F107" s="18"/>
      <c r="G107" s="16"/>
      <c r="H107" s="16"/>
      <c r="I107" s="16"/>
    </row>
    <row r="108" ht="15.75" customHeight="1">
      <c r="A108" s="10"/>
      <c r="B108" s="11"/>
      <c r="C108" s="10"/>
      <c r="D108" s="10"/>
      <c r="E108" s="10"/>
      <c r="F108" s="12"/>
      <c r="G108" s="10"/>
      <c r="H108" s="10"/>
      <c r="I108" s="10"/>
    </row>
    <row r="109" ht="15.75" customHeight="1">
      <c r="A109" s="16"/>
      <c r="B109" s="17"/>
      <c r="C109" s="16"/>
      <c r="D109" s="16"/>
      <c r="E109" s="16"/>
      <c r="F109" s="18"/>
      <c r="G109" s="16"/>
      <c r="H109" s="16"/>
      <c r="I109" s="16"/>
    </row>
    <row r="110" ht="15.75" customHeight="1">
      <c r="A110" s="10"/>
      <c r="B110" s="11"/>
      <c r="C110" s="10"/>
      <c r="D110" s="10"/>
      <c r="E110" s="10"/>
      <c r="F110" s="12"/>
      <c r="G110" s="10"/>
      <c r="H110" s="10"/>
      <c r="I110" s="10"/>
    </row>
    <row r="111" ht="15.75" customHeight="1">
      <c r="A111" s="16"/>
      <c r="B111" s="17"/>
      <c r="C111" s="16"/>
      <c r="D111" s="16"/>
      <c r="E111" s="16"/>
      <c r="F111" s="18"/>
      <c r="G111" s="16"/>
      <c r="H111" s="16"/>
      <c r="I111" s="16"/>
    </row>
    <row r="112" ht="15.75" customHeight="1">
      <c r="A112" s="10"/>
      <c r="B112" s="11"/>
      <c r="C112" s="10"/>
      <c r="D112" s="10"/>
      <c r="E112" s="10"/>
      <c r="F112" s="12"/>
      <c r="G112" s="10"/>
      <c r="H112" s="10"/>
      <c r="I112" s="10"/>
    </row>
    <row r="113" ht="15.75" customHeight="1">
      <c r="A113" s="16"/>
      <c r="B113" s="17"/>
      <c r="C113" s="16"/>
      <c r="D113" s="16"/>
      <c r="E113" s="16"/>
      <c r="F113" s="18"/>
      <c r="G113" s="16"/>
      <c r="H113" s="16"/>
      <c r="I113" s="16"/>
    </row>
    <row r="114" ht="15.75" customHeight="1">
      <c r="A114" s="10"/>
      <c r="B114" s="11"/>
      <c r="C114" s="10"/>
      <c r="D114" s="10"/>
      <c r="E114" s="10"/>
      <c r="F114" s="12"/>
      <c r="G114" s="10"/>
      <c r="H114" s="10"/>
      <c r="I114" s="10"/>
    </row>
    <row r="115" ht="15.75" customHeight="1">
      <c r="A115" s="16"/>
      <c r="B115" s="17"/>
      <c r="C115" s="16"/>
      <c r="D115" s="16"/>
      <c r="E115" s="16"/>
      <c r="F115" s="18"/>
      <c r="G115" s="16"/>
      <c r="H115" s="16"/>
      <c r="I115" s="16"/>
    </row>
    <row r="116" ht="15.75" customHeight="1">
      <c r="A116" s="10"/>
      <c r="B116" s="11"/>
      <c r="C116" s="10"/>
      <c r="D116" s="10"/>
      <c r="E116" s="10"/>
      <c r="F116" s="12"/>
      <c r="G116" s="10"/>
      <c r="H116" s="10"/>
      <c r="I116" s="10"/>
    </row>
    <row r="117" ht="15.75" customHeight="1">
      <c r="A117" s="16"/>
      <c r="B117" s="17"/>
      <c r="C117" s="16"/>
      <c r="D117" s="16"/>
      <c r="E117" s="16"/>
      <c r="F117" s="18"/>
      <c r="G117" s="16"/>
      <c r="H117" s="16"/>
      <c r="I117" s="16"/>
    </row>
    <row r="118" ht="15.75" customHeight="1">
      <c r="A118" s="10"/>
      <c r="B118" s="11"/>
      <c r="C118" s="10"/>
      <c r="D118" s="10"/>
      <c r="E118" s="10"/>
      <c r="F118" s="12"/>
      <c r="G118" s="10"/>
      <c r="H118" s="10"/>
      <c r="I118" s="10"/>
    </row>
    <row r="119" ht="15.75" customHeight="1">
      <c r="A119" s="16"/>
      <c r="B119" s="17"/>
      <c r="C119" s="16"/>
      <c r="D119" s="16"/>
      <c r="E119" s="16"/>
      <c r="F119" s="18"/>
      <c r="G119" s="16"/>
      <c r="H119" s="16"/>
      <c r="I119" s="16"/>
    </row>
    <row r="120" ht="15.75" customHeight="1">
      <c r="A120" s="10"/>
      <c r="B120" s="11"/>
      <c r="C120" s="10"/>
      <c r="D120" s="10"/>
      <c r="E120" s="10"/>
      <c r="F120" s="12"/>
      <c r="G120" s="10"/>
      <c r="H120" s="10"/>
      <c r="I120" s="10"/>
    </row>
    <row r="121" ht="15.75" customHeight="1">
      <c r="A121" s="16"/>
      <c r="B121" s="17"/>
      <c r="C121" s="16"/>
      <c r="D121" s="16"/>
      <c r="E121" s="16"/>
      <c r="F121" s="18"/>
      <c r="G121" s="16"/>
      <c r="H121" s="16"/>
      <c r="I121" s="16"/>
    </row>
    <row r="122" ht="15.75" customHeight="1">
      <c r="A122" s="10"/>
      <c r="B122" s="11"/>
      <c r="C122" s="10"/>
      <c r="D122" s="10"/>
      <c r="E122" s="10"/>
      <c r="F122" s="12"/>
      <c r="G122" s="10"/>
      <c r="H122" s="10"/>
      <c r="I122" s="10"/>
    </row>
    <row r="123" ht="15.75" customHeight="1">
      <c r="A123" s="16"/>
      <c r="B123" s="17"/>
      <c r="C123" s="16"/>
      <c r="D123" s="16"/>
      <c r="E123" s="16"/>
      <c r="F123" s="18"/>
      <c r="G123" s="16"/>
      <c r="H123" s="16"/>
      <c r="I123" s="16"/>
    </row>
    <row r="124" ht="15.75" customHeight="1">
      <c r="A124" s="10"/>
      <c r="B124" s="11"/>
      <c r="C124" s="10"/>
      <c r="D124" s="10"/>
      <c r="E124" s="10"/>
      <c r="F124" s="12"/>
      <c r="G124" s="10"/>
      <c r="H124" s="10"/>
      <c r="I124" s="10"/>
    </row>
    <row r="125" ht="15.75" customHeight="1">
      <c r="A125" s="16"/>
      <c r="B125" s="17"/>
      <c r="C125" s="16"/>
      <c r="D125" s="16"/>
      <c r="E125" s="16"/>
      <c r="F125" s="18"/>
      <c r="G125" s="16"/>
      <c r="H125" s="16"/>
      <c r="I125" s="16"/>
    </row>
    <row r="126" ht="15.75" customHeight="1">
      <c r="A126" s="10"/>
      <c r="B126" s="11"/>
      <c r="C126" s="10"/>
      <c r="D126" s="10"/>
      <c r="E126" s="10"/>
      <c r="F126" s="12"/>
      <c r="G126" s="10"/>
      <c r="H126" s="10"/>
      <c r="I126" s="10"/>
    </row>
    <row r="127" ht="15.75" customHeight="1">
      <c r="A127" s="16"/>
      <c r="B127" s="17"/>
      <c r="C127" s="16"/>
      <c r="D127" s="16"/>
      <c r="E127" s="16"/>
      <c r="F127" s="18"/>
      <c r="G127" s="16"/>
      <c r="H127" s="16"/>
      <c r="I127" s="16"/>
    </row>
    <row r="128" ht="15.75" customHeight="1">
      <c r="A128" s="10"/>
      <c r="B128" s="11"/>
      <c r="C128" s="10"/>
      <c r="D128" s="10"/>
      <c r="E128" s="10"/>
      <c r="F128" s="12"/>
      <c r="G128" s="10"/>
      <c r="H128" s="10"/>
      <c r="I128" s="10"/>
    </row>
    <row r="129" ht="15.75" customHeight="1">
      <c r="A129" s="16"/>
      <c r="B129" s="17"/>
      <c r="C129" s="16"/>
      <c r="D129" s="16"/>
      <c r="E129" s="16"/>
      <c r="F129" s="18"/>
      <c r="G129" s="16"/>
      <c r="H129" s="16"/>
      <c r="I129" s="16"/>
    </row>
    <row r="130" ht="15.75" customHeight="1">
      <c r="A130" s="10"/>
      <c r="B130" s="11"/>
      <c r="C130" s="10"/>
      <c r="D130" s="10"/>
      <c r="E130" s="10"/>
      <c r="F130" s="12"/>
      <c r="G130" s="10"/>
      <c r="H130" s="10"/>
      <c r="I130" s="10"/>
    </row>
    <row r="131" ht="15.75" customHeight="1">
      <c r="A131" s="16"/>
      <c r="B131" s="17"/>
      <c r="C131" s="16"/>
      <c r="D131" s="16"/>
      <c r="E131" s="16"/>
      <c r="F131" s="18"/>
      <c r="G131" s="16"/>
      <c r="H131" s="16"/>
      <c r="I131" s="16"/>
    </row>
    <row r="132" ht="15.75" customHeight="1">
      <c r="A132" s="10"/>
      <c r="B132" s="11"/>
      <c r="C132" s="10"/>
      <c r="D132" s="10"/>
      <c r="E132" s="10"/>
      <c r="F132" s="12"/>
      <c r="G132" s="10"/>
      <c r="H132" s="10"/>
      <c r="I132" s="10"/>
    </row>
    <row r="133" ht="15.75" customHeight="1">
      <c r="A133" s="16"/>
      <c r="B133" s="17"/>
      <c r="C133" s="16"/>
      <c r="D133" s="16"/>
      <c r="E133" s="16"/>
      <c r="F133" s="18"/>
      <c r="G133" s="16"/>
      <c r="H133" s="16"/>
      <c r="I133" s="16"/>
    </row>
    <row r="134" ht="15.75" customHeight="1">
      <c r="A134" s="10"/>
      <c r="B134" s="11"/>
      <c r="C134" s="10"/>
      <c r="D134" s="10"/>
      <c r="E134" s="10"/>
      <c r="F134" s="12"/>
      <c r="G134" s="10"/>
      <c r="H134" s="10"/>
      <c r="I134" s="10"/>
    </row>
    <row r="135" ht="15.75" customHeight="1">
      <c r="A135" s="16"/>
      <c r="B135" s="17"/>
      <c r="C135" s="16"/>
      <c r="D135" s="16"/>
      <c r="E135" s="16"/>
      <c r="F135" s="18"/>
      <c r="G135" s="16"/>
      <c r="H135" s="16"/>
      <c r="I135" s="16"/>
    </row>
    <row r="136" ht="15.75" customHeight="1">
      <c r="A136" s="10"/>
      <c r="B136" s="11"/>
      <c r="C136" s="10"/>
      <c r="D136" s="10"/>
      <c r="E136" s="10"/>
      <c r="F136" s="12"/>
      <c r="G136" s="10"/>
      <c r="H136" s="10"/>
      <c r="I136" s="10"/>
    </row>
    <row r="137" ht="15.75" customHeight="1">
      <c r="A137" s="16"/>
      <c r="B137" s="17"/>
      <c r="C137" s="16"/>
      <c r="D137" s="16"/>
      <c r="E137" s="16"/>
      <c r="F137" s="18"/>
      <c r="G137" s="16"/>
      <c r="H137" s="16"/>
      <c r="I137" s="16"/>
    </row>
    <row r="138" ht="15.75" customHeight="1">
      <c r="A138" s="10"/>
      <c r="B138" s="11"/>
      <c r="C138" s="10"/>
      <c r="D138" s="10"/>
      <c r="E138" s="10"/>
      <c r="F138" s="12"/>
      <c r="G138" s="10"/>
      <c r="H138" s="10"/>
      <c r="I138" s="10"/>
    </row>
    <row r="139" ht="15.75" customHeight="1">
      <c r="A139" s="16"/>
      <c r="B139" s="17"/>
      <c r="C139" s="16"/>
      <c r="D139" s="16"/>
      <c r="E139" s="16"/>
      <c r="F139" s="18"/>
      <c r="G139" s="16"/>
      <c r="H139" s="16"/>
      <c r="I139" s="16"/>
    </row>
    <row r="140" ht="15.75" customHeight="1">
      <c r="A140" s="10"/>
      <c r="B140" s="11"/>
      <c r="C140" s="10"/>
      <c r="D140" s="10"/>
      <c r="E140" s="10"/>
      <c r="F140" s="12"/>
      <c r="G140" s="10"/>
      <c r="H140" s="10"/>
      <c r="I140" s="10"/>
    </row>
    <row r="141" ht="15.75" customHeight="1">
      <c r="A141" s="16"/>
      <c r="B141" s="17"/>
      <c r="C141" s="16"/>
      <c r="D141" s="16"/>
      <c r="E141" s="16"/>
      <c r="F141" s="18"/>
      <c r="G141" s="16"/>
      <c r="H141" s="16"/>
      <c r="I141" s="16"/>
    </row>
    <row r="142" ht="15.75" customHeight="1">
      <c r="A142" s="10"/>
      <c r="B142" s="11"/>
      <c r="C142" s="10"/>
      <c r="D142" s="10"/>
      <c r="E142" s="10"/>
      <c r="F142" s="12"/>
      <c r="G142" s="10"/>
      <c r="H142" s="10"/>
      <c r="I142" s="10"/>
    </row>
    <row r="143" ht="15.75" customHeight="1">
      <c r="A143" s="16"/>
      <c r="B143" s="17"/>
      <c r="C143" s="16"/>
      <c r="D143" s="16"/>
      <c r="E143" s="16"/>
      <c r="F143" s="18"/>
      <c r="G143" s="16"/>
      <c r="H143" s="16"/>
      <c r="I143" s="16"/>
    </row>
    <row r="144" ht="15.75" customHeight="1">
      <c r="A144" s="10"/>
      <c r="B144" s="11"/>
      <c r="C144" s="10"/>
      <c r="D144" s="10"/>
      <c r="E144" s="10"/>
      <c r="F144" s="12"/>
      <c r="G144" s="10"/>
      <c r="H144" s="10"/>
      <c r="I144" s="10"/>
    </row>
    <row r="145" ht="15.75" customHeight="1">
      <c r="A145" s="16"/>
      <c r="B145" s="17"/>
      <c r="C145" s="16"/>
      <c r="D145" s="16"/>
      <c r="E145" s="16"/>
      <c r="F145" s="18"/>
      <c r="G145" s="16"/>
      <c r="H145" s="16"/>
      <c r="I145" s="16"/>
    </row>
    <row r="146" ht="15.75" customHeight="1">
      <c r="A146" s="10"/>
      <c r="B146" s="11"/>
      <c r="C146" s="10"/>
      <c r="D146" s="10"/>
      <c r="E146" s="10"/>
      <c r="F146" s="12"/>
      <c r="G146" s="10"/>
      <c r="H146" s="10"/>
      <c r="I146" s="10"/>
    </row>
    <row r="147" ht="15.75" customHeight="1">
      <c r="A147" s="16"/>
      <c r="B147" s="17"/>
      <c r="C147" s="16"/>
      <c r="D147" s="16"/>
      <c r="E147" s="16"/>
      <c r="F147" s="18"/>
      <c r="G147" s="16"/>
      <c r="H147" s="16"/>
      <c r="I147" s="16"/>
    </row>
    <row r="148" ht="15.75" customHeight="1">
      <c r="A148" s="10"/>
      <c r="B148" s="11"/>
      <c r="C148" s="10"/>
      <c r="D148" s="10"/>
      <c r="E148" s="10"/>
      <c r="F148" s="12"/>
      <c r="G148" s="10"/>
      <c r="H148" s="10"/>
      <c r="I148" s="10"/>
    </row>
    <row r="149" ht="15.75" customHeight="1">
      <c r="A149" s="16"/>
      <c r="B149" s="17"/>
      <c r="C149" s="16"/>
      <c r="D149" s="16"/>
      <c r="E149" s="16"/>
      <c r="F149" s="18"/>
      <c r="G149" s="16"/>
      <c r="H149" s="16"/>
      <c r="I149" s="16"/>
    </row>
    <row r="150" ht="15.75" customHeight="1">
      <c r="A150" s="10"/>
      <c r="B150" s="11"/>
      <c r="C150" s="10"/>
      <c r="D150" s="10"/>
      <c r="E150" s="10"/>
      <c r="F150" s="12"/>
      <c r="G150" s="10"/>
      <c r="H150" s="10"/>
      <c r="I150" s="10"/>
    </row>
    <row r="151" ht="15.75" customHeight="1">
      <c r="A151" s="16"/>
      <c r="B151" s="17"/>
      <c r="C151" s="16"/>
      <c r="D151" s="16"/>
      <c r="E151" s="16"/>
      <c r="F151" s="18"/>
      <c r="G151" s="16"/>
      <c r="H151" s="16"/>
      <c r="I151" s="16"/>
    </row>
    <row r="152" ht="15.75" customHeight="1">
      <c r="A152" s="10"/>
      <c r="B152" s="11"/>
      <c r="C152" s="10"/>
      <c r="D152" s="10"/>
      <c r="E152" s="10"/>
      <c r="F152" s="12"/>
      <c r="G152" s="10"/>
      <c r="H152" s="10"/>
      <c r="I152" s="10"/>
    </row>
    <row r="153" ht="15.75" customHeight="1">
      <c r="A153" s="16"/>
      <c r="B153" s="17"/>
      <c r="C153" s="16"/>
      <c r="D153" s="16"/>
      <c r="E153" s="16"/>
      <c r="F153" s="18"/>
      <c r="G153" s="16"/>
      <c r="H153" s="16"/>
      <c r="I153" s="16"/>
    </row>
    <row r="154" ht="15.75" customHeight="1">
      <c r="A154" s="10"/>
      <c r="B154" s="11"/>
      <c r="C154" s="10"/>
      <c r="D154" s="10"/>
      <c r="E154" s="10"/>
      <c r="F154" s="12"/>
      <c r="G154" s="10"/>
      <c r="H154" s="10"/>
      <c r="I154" s="10"/>
    </row>
    <row r="155" ht="15.75" customHeight="1">
      <c r="A155" s="16"/>
      <c r="B155" s="17"/>
      <c r="C155" s="16"/>
      <c r="D155" s="16"/>
      <c r="E155" s="16"/>
      <c r="F155" s="18"/>
      <c r="G155" s="16"/>
      <c r="H155" s="16"/>
      <c r="I155" s="16"/>
    </row>
    <row r="156" ht="15.75" customHeight="1">
      <c r="A156" s="10"/>
      <c r="B156" s="11"/>
      <c r="C156" s="10"/>
      <c r="D156" s="10"/>
      <c r="E156" s="10"/>
      <c r="F156" s="12"/>
      <c r="G156" s="10"/>
      <c r="H156" s="10"/>
      <c r="I156" s="10"/>
    </row>
    <row r="157" ht="15.75" customHeight="1">
      <c r="A157" s="16"/>
      <c r="B157" s="17"/>
      <c r="C157" s="16"/>
      <c r="D157" s="16"/>
      <c r="E157" s="16"/>
      <c r="F157" s="18"/>
      <c r="G157" s="16"/>
      <c r="H157" s="16"/>
      <c r="I157" s="16"/>
    </row>
    <row r="158" ht="15.75" customHeight="1">
      <c r="A158" s="10"/>
      <c r="B158" s="11"/>
      <c r="C158" s="10"/>
      <c r="D158" s="10"/>
      <c r="E158" s="10"/>
      <c r="F158" s="12"/>
      <c r="G158" s="10"/>
      <c r="H158" s="10"/>
      <c r="I158" s="10"/>
    </row>
    <row r="159" ht="15.75" customHeight="1">
      <c r="A159" s="16"/>
      <c r="B159" s="17"/>
      <c r="C159" s="16"/>
      <c r="D159" s="16"/>
      <c r="E159" s="16"/>
      <c r="F159" s="18"/>
      <c r="G159" s="16"/>
      <c r="H159" s="16"/>
      <c r="I159" s="16"/>
    </row>
    <row r="160" ht="15.75" customHeight="1">
      <c r="A160" s="10"/>
      <c r="B160" s="11"/>
      <c r="C160" s="10"/>
      <c r="D160" s="10"/>
      <c r="E160" s="10"/>
      <c r="F160" s="12"/>
      <c r="G160" s="10"/>
      <c r="H160" s="10"/>
      <c r="I160" s="10"/>
    </row>
    <row r="161" ht="15.75" customHeight="1">
      <c r="A161" s="16"/>
      <c r="B161" s="17"/>
      <c r="C161" s="16"/>
      <c r="D161" s="16"/>
      <c r="E161" s="16"/>
      <c r="F161" s="18"/>
      <c r="G161" s="16"/>
      <c r="H161" s="16"/>
      <c r="I161" s="16"/>
    </row>
    <row r="162" ht="15.75" customHeight="1">
      <c r="A162" s="10"/>
      <c r="B162" s="11"/>
      <c r="C162" s="10"/>
      <c r="D162" s="10"/>
      <c r="E162" s="10"/>
      <c r="F162" s="12"/>
      <c r="G162" s="10"/>
      <c r="H162" s="10"/>
      <c r="I162" s="10"/>
    </row>
    <row r="163" ht="15.75" customHeight="1">
      <c r="A163" s="16"/>
      <c r="B163" s="17"/>
      <c r="C163" s="16"/>
      <c r="D163" s="16"/>
      <c r="E163" s="16"/>
      <c r="F163" s="18"/>
      <c r="G163" s="16"/>
      <c r="H163" s="16"/>
      <c r="I163" s="16"/>
    </row>
    <row r="164" ht="15.75" customHeight="1">
      <c r="A164" s="10"/>
      <c r="B164" s="11"/>
      <c r="C164" s="10"/>
      <c r="D164" s="10"/>
      <c r="E164" s="10"/>
      <c r="F164" s="12"/>
      <c r="G164" s="10"/>
      <c r="H164" s="10"/>
      <c r="I164" s="10"/>
    </row>
    <row r="165" ht="15.75" customHeight="1">
      <c r="A165" s="16"/>
      <c r="B165" s="17"/>
      <c r="C165" s="16"/>
      <c r="D165" s="16"/>
      <c r="E165" s="16"/>
      <c r="F165" s="18"/>
      <c r="G165" s="16"/>
      <c r="H165" s="16"/>
      <c r="I165" s="16"/>
    </row>
    <row r="166" ht="15.75" customHeight="1">
      <c r="A166" s="10"/>
      <c r="B166" s="11"/>
      <c r="C166" s="10"/>
      <c r="D166" s="10"/>
      <c r="E166" s="10"/>
      <c r="F166" s="12"/>
      <c r="G166" s="10"/>
      <c r="H166" s="10"/>
      <c r="I166" s="10"/>
    </row>
    <row r="167" ht="15.75" customHeight="1">
      <c r="A167" s="16"/>
      <c r="B167" s="17"/>
      <c r="C167" s="16"/>
      <c r="D167" s="16"/>
      <c r="E167" s="16"/>
      <c r="F167" s="18"/>
      <c r="G167" s="16"/>
      <c r="H167" s="16"/>
      <c r="I167" s="16"/>
    </row>
    <row r="168" ht="15.75" customHeight="1">
      <c r="A168" s="10"/>
      <c r="B168" s="11"/>
      <c r="C168" s="10"/>
      <c r="D168" s="10"/>
      <c r="E168" s="10"/>
      <c r="F168" s="12"/>
      <c r="G168" s="10"/>
      <c r="H168" s="10"/>
      <c r="I168" s="10"/>
    </row>
    <row r="169" ht="15.75" customHeight="1">
      <c r="A169" s="16"/>
      <c r="B169" s="17"/>
      <c r="C169" s="16"/>
      <c r="D169" s="16"/>
      <c r="E169" s="16"/>
      <c r="F169" s="18"/>
      <c r="G169" s="16"/>
      <c r="H169" s="16"/>
      <c r="I169" s="16"/>
    </row>
    <row r="170" ht="15.75" customHeight="1">
      <c r="A170" s="10"/>
      <c r="B170" s="11"/>
      <c r="C170" s="10"/>
      <c r="D170" s="10"/>
      <c r="E170" s="10"/>
      <c r="F170" s="12"/>
      <c r="G170" s="10"/>
      <c r="H170" s="10"/>
      <c r="I170" s="10"/>
    </row>
    <row r="171" ht="15.75" customHeight="1">
      <c r="A171" s="16"/>
      <c r="B171" s="17"/>
      <c r="C171" s="16"/>
      <c r="D171" s="16"/>
      <c r="E171" s="16"/>
      <c r="F171" s="18"/>
      <c r="G171" s="16"/>
      <c r="H171" s="16"/>
      <c r="I171" s="16"/>
    </row>
    <row r="172" ht="15.75" customHeight="1">
      <c r="A172" s="10"/>
      <c r="B172" s="11"/>
      <c r="C172" s="10"/>
      <c r="D172" s="10"/>
      <c r="E172" s="10"/>
      <c r="F172" s="12"/>
      <c r="G172" s="10"/>
      <c r="H172" s="10"/>
      <c r="I172" s="10"/>
    </row>
    <row r="173" ht="15.75" customHeight="1">
      <c r="A173" s="16"/>
      <c r="B173" s="17"/>
      <c r="C173" s="16"/>
      <c r="D173" s="16"/>
      <c r="E173" s="16"/>
      <c r="F173" s="18"/>
      <c r="G173" s="16"/>
      <c r="H173" s="16"/>
      <c r="I173" s="16"/>
    </row>
    <row r="174" ht="15.75" customHeight="1">
      <c r="A174" s="10"/>
      <c r="B174" s="11"/>
      <c r="C174" s="10"/>
      <c r="D174" s="10"/>
      <c r="E174" s="10"/>
      <c r="F174" s="12"/>
      <c r="G174" s="10"/>
      <c r="H174" s="10"/>
      <c r="I174" s="10"/>
    </row>
    <row r="175" ht="15.75" customHeight="1">
      <c r="A175" s="16"/>
      <c r="B175" s="17"/>
      <c r="C175" s="16"/>
      <c r="D175" s="16"/>
      <c r="E175" s="16"/>
      <c r="F175" s="18"/>
      <c r="G175" s="16"/>
      <c r="H175" s="16"/>
      <c r="I175" s="16"/>
    </row>
    <row r="176" ht="15.75" customHeight="1">
      <c r="A176" s="10"/>
      <c r="B176" s="11"/>
      <c r="C176" s="10"/>
      <c r="D176" s="10"/>
      <c r="E176" s="10"/>
      <c r="F176" s="12"/>
      <c r="G176" s="10"/>
      <c r="H176" s="10"/>
      <c r="I176" s="10"/>
    </row>
    <row r="177" ht="15.75" customHeight="1">
      <c r="A177" s="16"/>
      <c r="B177" s="17"/>
      <c r="C177" s="16"/>
      <c r="D177" s="16"/>
      <c r="E177" s="16"/>
      <c r="F177" s="18"/>
      <c r="G177" s="16"/>
      <c r="H177" s="16"/>
      <c r="I177" s="16"/>
    </row>
    <row r="178" ht="15.75" customHeight="1">
      <c r="A178" s="10"/>
      <c r="B178" s="11"/>
      <c r="C178" s="10"/>
      <c r="D178" s="10"/>
      <c r="E178" s="10"/>
      <c r="F178" s="12"/>
      <c r="G178" s="10"/>
      <c r="H178" s="10"/>
      <c r="I178" s="10"/>
    </row>
    <row r="179" ht="15.75" customHeight="1">
      <c r="A179" s="16"/>
      <c r="B179" s="17"/>
      <c r="C179" s="16"/>
      <c r="D179" s="16"/>
      <c r="E179" s="16"/>
      <c r="F179" s="18"/>
      <c r="G179" s="16"/>
      <c r="H179" s="16"/>
      <c r="I179" s="16"/>
    </row>
    <row r="180" ht="15.75" customHeight="1">
      <c r="A180" s="10"/>
      <c r="B180" s="11"/>
      <c r="C180" s="10"/>
      <c r="D180" s="10"/>
      <c r="E180" s="10"/>
      <c r="F180" s="12"/>
      <c r="G180" s="10"/>
      <c r="H180" s="10"/>
      <c r="I180" s="10"/>
    </row>
    <row r="181" ht="15.75" customHeight="1">
      <c r="A181" s="16"/>
      <c r="B181" s="17"/>
      <c r="C181" s="16"/>
      <c r="D181" s="16"/>
      <c r="E181" s="16"/>
      <c r="F181" s="18"/>
      <c r="G181" s="16"/>
      <c r="H181" s="16"/>
      <c r="I181" s="16"/>
    </row>
    <row r="182" ht="15.75" customHeight="1">
      <c r="A182" s="10"/>
      <c r="B182" s="11"/>
      <c r="C182" s="10"/>
      <c r="D182" s="10"/>
      <c r="E182" s="10"/>
      <c r="F182" s="12"/>
      <c r="G182" s="10"/>
      <c r="H182" s="10"/>
      <c r="I182" s="10"/>
    </row>
    <row r="183" ht="15.75" customHeight="1">
      <c r="A183" s="16"/>
      <c r="B183" s="17"/>
      <c r="C183" s="16"/>
      <c r="D183" s="16"/>
      <c r="E183" s="16"/>
      <c r="F183" s="18"/>
      <c r="G183" s="16"/>
      <c r="H183" s="16"/>
      <c r="I183" s="16"/>
    </row>
    <row r="184" ht="15.75" customHeight="1">
      <c r="A184" s="10"/>
      <c r="B184" s="11"/>
      <c r="C184" s="10"/>
      <c r="D184" s="10"/>
      <c r="E184" s="10"/>
      <c r="F184" s="12"/>
      <c r="G184" s="10"/>
      <c r="H184" s="10"/>
      <c r="I184" s="10"/>
    </row>
    <row r="185" ht="15.75" customHeight="1">
      <c r="A185" s="16"/>
      <c r="B185" s="17"/>
      <c r="C185" s="16"/>
      <c r="D185" s="16"/>
      <c r="E185" s="16"/>
      <c r="F185" s="18"/>
      <c r="G185" s="16"/>
      <c r="H185" s="16"/>
      <c r="I185" s="16"/>
    </row>
    <row r="186" ht="15.75" customHeight="1">
      <c r="A186" s="10"/>
      <c r="B186" s="11"/>
      <c r="C186" s="10"/>
      <c r="D186" s="10"/>
      <c r="E186" s="10"/>
      <c r="F186" s="12"/>
      <c r="G186" s="10"/>
      <c r="H186" s="10"/>
      <c r="I186" s="10"/>
    </row>
    <row r="187" ht="15.75" customHeight="1">
      <c r="A187" s="16"/>
      <c r="B187" s="17"/>
      <c r="C187" s="16"/>
      <c r="D187" s="16"/>
      <c r="E187" s="16"/>
      <c r="F187" s="18"/>
      <c r="G187" s="16"/>
      <c r="H187" s="16"/>
      <c r="I187" s="16"/>
    </row>
    <row r="188" ht="15.75" customHeight="1">
      <c r="A188" s="10"/>
      <c r="B188" s="11"/>
      <c r="C188" s="10"/>
      <c r="D188" s="10"/>
      <c r="E188" s="10"/>
      <c r="F188" s="12"/>
      <c r="G188" s="10"/>
      <c r="H188" s="10"/>
      <c r="I188" s="10"/>
    </row>
    <row r="189" ht="15.75" customHeight="1">
      <c r="A189" s="16"/>
      <c r="B189" s="17"/>
      <c r="C189" s="16"/>
      <c r="D189" s="16"/>
      <c r="E189" s="16"/>
      <c r="F189" s="18"/>
      <c r="G189" s="16"/>
      <c r="H189" s="16"/>
      <c r="I189" s="16"/>
    </row>
    <row r="190" ht="15.75" customHeight="1">
      <c r="A190" s="10"/>
      <c r="B190" s="11"/>
      <c r="C190" s="10"/>
      <c r="D190" s="10"/>
      <c r="E190" s="10"/>
      <c r="F190" s="12"/>
      <c r="G190" s="10"/>
      <c r="H190" s="10"/>
      <c r="I190" s="10"/>
    </row>
    <row r="191" ht="15.75" customHeight="1">
      <c r="A191" s="16"/>
      <c r="B191" s="17"/>
      <c r="C191" s="16"/>
      <c r="D191" s="16"/>
      <c r="E191" s="16"/>
      <c r="F191" s="18"/>
      <c r="G191" s="16"/>
      <c r="H191" s="16"/>
      <c r="I191" s="16"/>
    </row>
    <row r="192" ht="15.75" customHeight="1">
      <c r="A192" s="10"/>
      <c r="B192" s="11"/>
      <c r="C192" s="10"/>
      <c r="D192" s="10"/>
      <c r="E192" s="10"/>
      <c r="F192" s="12"/>
      <c r="G192" s="10"/>
      <c r="H192" s="10"/>
      <c r="I192" s="10"/>
    </row>
    <row r="193" ht="15.75" customHeight="1">
      <c r="A193" s="16"/>
      <c r="B193" s="17"/>
      <c r="C193" s="16"/>
      <c r="D193" s="16"/>
      <c r="E193" s="16"/>
      <c r="F193" s="18"/>
      <c r="G193" s="16"/>
      <c r="H193" s="16"/>
      <c r="I193" s="16"/>
    </row>
    <row r="194" ht="15.75" customHeight="1">
      <c r="A194" s="10"/>
      <c r="B194" s="11"/>
      <c r="C194" s="10"/>
      <c r="D194" s="10"/>
      <c r="E194" s="10"/>
      <c r="F194" s="12"/>
      <c r="G194" s="10"/>
      <c r="H194" s="10"/>
      <c r="I194" s="10"/>
    </row>
    <row r="195" ht="15.75" customHeight="1">
      <c r="A195" s="16"/>
      <c r="B195" s="17"/>
      <c r="C195" s="16"/>
      <c r="D195" s="16"/>
      <c r="E195" s="16"/>
      <c r="F195" s="18"/>
      <c r="G195" s="16"/>
      <c r="H195" s="16"/>
      <c r="I195" s="16"/>
    </row>
    <row r="196" ht="15.75" customHeight="1">
      <c r="A196" s="10"/>
      <c r="B196" s="11"/>
      <c r="C196" s="10"/>
      <c r="D196" s="10"/>
      <c r="E196" s="10"/>
      <c r="F196" s="12"/>
      <c r="G196" s="10"/>
      <c r="H196" s="10"/>
      <c r="I196" s="10"/>
    </row>
    <row r="197" ht="15.75" customHeight="1">
      <c r="A197" s="16"/>
      <c r="B197" s="17"/>
      <c r="C197" s="16"/>
      <c r="D197" s="16"/>
      <c r="E197" s="16"/>
      <c r="F197" s="18"/>
      <c r="G197" s="16"/>
      <c r="H197" s="16"/>
      <c r="I197" s="16"/>
    </row>
    <row r="198" ht="15.75" customHeight="1">
      <c r="A198" s="10"/>
      <c r="B198" s="11"/>
      <c r="C198" s="10"/>
      <c r="D198" s="10"/>
      <c r="E198" s="10"/>
      <c r="F198" s="12"/>
      <c r="G198" s="10"/>
      <c r="H198" s="10"/>
      <c r="I198" s="10"/>
    </row>
    <row r="199" ht="15.75" customHeight="1">
      <c r="A199" s="16"/>
      <c r="B199" s="17"/>
      <c r="C199" s="16"/>
      <c r="D199" s="16"/>
      <c r="E199" s="16"/>
      <c r="F199" s="18"/>
      <c r="G199" s="16"/>
      <c r="H199" s="16"/>
      <c r="I199" s="16"/>
    </row>
    <row r="200" ht="15.75" customHeight="1">
      <c r="A200" s="10"/>
      <c r="B200" s="11"/>
      <c r="C200" s="10"/>
      <c r="D200" s="10"/>
      <c r="E200" s="10"/>
      <c r="F200" s="12"/>
      <c r="G200" s="10"/>
      <c r="H200" s="10"/>
      <c r="I200" s="10"/>
    </row>
    <row r="201" ht="15.75" customHeight="1">
      <c r="A201" s="16"/>
      <c r="B201" s="17"/>
      <c r="C201" s="16"/>
      <c r="D201" s="16"/>
      <c r="E201" s="16"/>
      <c r="F201" s="18"/>
      <c r="G201" s="16"/>
      <c r="H201" s="16"/>
      <c r="I201" s="16"/>
    </row>
    <row r="202" ht="15.75" customHeight="1">
      <c r="A202" s="10"/>
      <c r="B202" s="11"/>
      <c r="C202" s="10"/>
      <c r="D202" s="10"/>
      <c r="E202" s="10"/>
      <c r="F202" s="12"/>
      <c r="G202" s="10"/>
      <c r="H202" s="10"/>
      <c r="I202" s="10"/>
    </row>
    <row r="203" ht="15.75" customHeight="1">
      <c r="A203" s="16"/>
      <c r="B203" s="17"/>
      <c r="C203" s="16"/>
      <c r="D203" s="16"/>
      <c r="E203" s="16"/>
      <c r="F203" s="18"/>
      <c r="G203" s="16"/>
      <c r="H203" s="16"/>
      <c r="I203" s="16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I$203"/>
  <mergeCells count="1">
    <mergeCell ref="A2:I2"/>
  </mergeCells>
  <dataValidations>
    <dataValidation type="list" allowBlank="1" sqref="G4:G203">
      <formula1>"EFECTIVO,PAGO MÓVIL,BINANCE/USDT,TRANSFERENCIA,ZELLE,OTRO"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C6A3F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42.0"/>
    <col customWidth="1" min="2" max="2" width="13.43"/>
    <col customWidth="1" min="3" max="3" width="12.43"/>
    <col customWidth="1" min="4" max="4" width="42.0"/>
    <col customWidth="1" min="5" max="5" width="11.43"/>
    <col customWidth="1" min="6" max="6" width="14.43"/>
    <col customWidth="1" min="7" max="7" width="9.43"/>
    <col customWidth="1" min="8" max="8" width="52.0"/>
    <col customWidth="1" min="9" max="9" width="3.0"/>
    <col customWidth="1" min="10" max="10" width="28.0"/>
    <col customWidth="1" min="11" max="13" width="20.0"/>
    <col customWidth="1" min="14" max="26" width="8.71"/>
  </cols>
  <sheetData>
    <row r="1">
      <c r="A1" s="1" t="s">
        <v>50</v>
      </c>
    </row>
    <row r="2">
      <c r="A2" s="2" t="s">
        <v>51</v>
      </c>
    </row>
    <row r="3" ht="30.0" customHeight="1">
      <c r="A3" s="19" t="s">
        <v>53</v>
      </c>
      <c r="B3" s="19" t="s">
        <v>56</v>
      </c>
      <c r="C3" s="19" t="s">
        <v>58</v>
      </c>
      <c r="D3" s="19" t="s">
        <v>59</v>
      </c>
      <c r="E3" s="19" t="s">
        <v>61</v>
      </c>
      <c r="F3" s="19" t="s">
        <v>63</v>
      </c>
      <c r="G3" s="19" t="s">
        <v>66</v>
      </c>
      <c r="H3" s="19" t="s">
        <v>67</v>
      </c>
      <c r="J3" s="20" t="s">
        <v>69</v>
      </c>
      <c r="K3" s="27"/>
      <c r="L3" s="27"/>
      <c r="M3" s="21"/>
    </row>
    <row r="4" ht="30.0" customHeight="1">
      <c r="A4" s="28" t="s">
        <v>71</v>
      </c>
      <c r="B4" s="29">
        <v>46192.0</v>
      </c>
      <c r="C4" s="31" t="s">
        <v>72</v>
      </c>
      <c r="D4" s="28" t="s">
        <v>71</v>
      </c>
      <c r="E4" s="28"/>
      <c r="F4" s="28"/>
      <c r="G4" s="31" t="s">
        <v>74</v>
      </c>
      <c r="H4" s="34" t="s">
        <v>75</v>
      </c>
      <c r="J4" s="35" t="s">
        <v>53</v>
      </c>
      <c r="K4" s="35" t="s">
        <v>77</v>
      </c>
      <c r="L4" s="35" t="s">
        <v>78</v>
      </c>
      <c r="M4" s="35" t="s">
        <v>80</v>
      </c>
    </row>
    <row r="5">
      <c r="A5" s="36" t="s">
        <v>71</v>
      </c>
      <c r="B5" s="37">
        <v>46192.0</v>
      </c>
      <c r="C5" s="38" t="s">
        <v>82</v>
      </c>
      <c r="D5" s="36" t="s">
        <v>84</v>
      </c>
      <c r="E5" s="39">
        <v>20.0</v>
      </c>
      <c r="F5" s="36"/>
      <c r="G5" s="38"/>
      <c r="H5" s="40" t="s">
        <v>85</v>
      </c>
      <c r="J5" s="41" t="s">
        <v>71</v>
      </c>
      <c r="K5" s="43">
        <f t="shared" ref="K5:K12" si="1">SUMIFS($E:$E,$A:$A,$J5,$C:$C,"ÍTEM")</f>
        <v>99</v>
      </c>
      <c r="L5" s="43">
        <f t="shared" ref="L5:L12" si="2">SUMIFS($E:$E,$A:$A,$J5,$C:$C,"SUBTOTAL")</f>
        <v>99</v>
      </c>
      <c r="M5" s="43">
        <f t="shared" ref="M5:M12" si="3">IF(L5=0,"",L5-K5)</f>
        <v>0</v>
      </c>
    </row>
    <row r="6">
      <c r="A6" s="36" t="s">
        <v>71</v>
      </c>
      <c r="B6" s="37">
        <v>46192.0</v>
      </c>
      <c r="C6" s="38" t="s">
        <v>82</v>
      </c>
      <c r="D6" s="36" t="s">
        <v>93</v>
      </c>
      <c r="E6" s="39">
        <v>13.0</v>
      </c>
      <c r="F6" s="36"/>
      <c r="G6" s="38"/>
      <c r="H6" s="40" t="s">
        <v>94</v>
      </c>
      <c r="J6" s="41" t="s">
        <v>95</v>
      </c>
      <c r="K6" s="43">
        <f t="shared" si="1"/>
        <v>235.5</v>
      </c>
      <c r="L6" s="43">
        <f t="shared" si="2"/>
        <v>236</v>
      </c>
      <c r="M6" s="43">
        <f t="shared" si="3"/>
        <v>0.5</v>
      </c>
    </row>
    <row r="7">
      <c r="A7" s="36" t="s">
        <v>71</v>
      </c>
      <c r="B7" s="37">
        <v>46192.0</v>
      </c>
      <c r="C7" s="38" t="s">
        <v>82</v>
      </c>
      <c r="D7" s="36" t="s">
        <v>98</v>
      </c>
      <c r="E7" s="39">
        <v>20.0</v>
      </c>
      <c r="F7" s="36"/>
      <c r="G7" s="38"/>
      <c r="H7" s="40" t="s">
        <v>101</v>
      </c>
      <c r="J7" s="41" t="s">
        <v>102</v>
      </c>
      <c r="K7" s="43">
        <f t="shared" si="1"/>
        <v>30</v>
      </c>
      <c r="L7" s="43">
        <f t="shared" si="2"/>
        <v>30</v>
      </c>
      <c r="M7" s="43">
        <f t="shared" si="3"/>
        <v>0</v>
      </c>
    </row>
    <row r="8">
      <c r="A8" s="36" t="s">
        <v>71</v>
      </c>
      <c r="B8" s="37">
        <v>46192.0</v>
      </c>
      <c r="C8" s="38" t="s">
        <v>82</v>
      </c>
      <c r="D8" s="36" t="s">
        <v>104</v>
      </c>
      <c r="E8" s="39">
        <v>13.0</v>
      </c>
      <c r="F8" s="36"/>
      <c r="G8" s="38"/>
      <c r="H8" s="40" t="s">
        <v>106</v>
      </c>
      <c r="J8" s="41" t="s">
        <v>107</v>
      </c>
      <c r="K8" s="43">
        <f t="shared" si="1"/>
        <v>176</v>
      </c>
      <c r="L8" s="43">
        <f t="shared" si="2"/>
        <v>176</v>
      </c>
      <c r="M8" s="43">
        <f t="shared" si="3"/>
        <v>0</v>
      </c>
    </row>
    <row r="9">
      <c r="A9" s="36" t="s">
        <v>71</v>
      </c>
      <c r="B9" s="37">
        <v>46192.0</v>
      </c>
      <c r="C9" s="38" t="s">
        <v>82</v>
      </c>
      <c r="D9" s="36" t="s">
        <v>110</v>
      </c>
      <c r="E9" s="39">
        <v>13.0</v>
      </c>
      <c r="F9" s="36"/>
      <c r="G9" s="38"/>
      <c r="H9" s="40" t="s">
        <v>112</v>
      </c>
      <c r="J9" s="41" t="s">
        <v>113</v>
      </c>
      <c r="K9" s="43">
        <f t="shared" si="1"/>
        <v>109</v>
      </c>
      <c r="L9" s="43">
        <f t="shared" si="2"/>
        <v>109</v>
      </c>
      <c r="M9" s="43">
        <f t="shared" si="3"/>
        <v>0</v>
      </c>
    </row>
    <row r="10">
      <c r="A10" s="36" t="s">
        <v>71</v>
      </c>
      <c r="B10" s="37">
        <v>46192.0</v>
      </c>
      <c r="C10" s="38" t="s">
        <v>82</v>
      </c>
      <c r="D10" s="36" t="s">
        <v>116</v>
      </c>
      <c r="E10" s="39">
        <v>20.0</v>
      </c>
      <c r="F10" s="36"/>
      <c r="G10" s="38"/>
      <c r="H10" s="40" t="s">
        <v>118</v>
      </c>
      <c r="J10" s="41" t="s">
        <v>119</v>
      </c>
      <c r="K10" s="43">
        <f t="shared" si="1"/>
        <v>15</v>
      </c>
      <c r="L10" s="43">
        <f t="shared" si="2"/>
        <v>15</v>
      </c>
      <c r="M10" s="43">
        <f t="shared" si="3"/>
        <v>0</v>
      </c>
    </row>
    <row r="11">
      <c r="A11" s="47" t="s">
        <v>71</v>
      </c>
      <c r="B11" s="48">
        <v>46192.0</v>
      </c>
      <c r="C11" s="49" t="s">
        <v>121</v>
      </c>
      <c r="D11" s="47" t="s">
        <v>123</v>
      </c>
      <c r="E11" s="50">
        <v>99.0</v>
      </c>
      <c r="F11" s="47"/>
      <c r="G11" s="49" t="s">
        <v>74</v>
      </c>
      <c r="H11" s="51" t="s">
        <v>126</v>
      </c>
      <c r="J11" s="41" t="s">
        <v>128</v>
      </c>
      <c r="K11" s="43">
        <f t="shared" si="1"/>
        <v>57.15</v>
      </c>
      <c r="L11" s="43">
        <f t="shared" si="2"/>
        <v>59</v>
      </c>
      <c r="M11" s="43">
        <f t="shared" si="3"/>
        <v>1.85</v>
      </c>
    </row>
    <row r="12">
      <c r="A12" s="28" t="s">
        <v>95</v>
      </c>
      <c r="B12" s="29">
        <v>46199.0</v>
      </c>
      <c r="C12" s="31" t="s">
        <v>72</v>
      </c>
      <c r="D12" s="28" t="s">
        <v>95</v>
      </c>
      <c r="E12" s="28"/>
      <c r="F12" s="28"/>
      <c r="G12" s="31" t="s">
        <v>74</v>
      </c>
      <c r="H12" s="34" t="s">
        <v>133</v>
      </c>
      <c r="J12" s="41" t="s">
        <v>134</v>
      </c>
      <c r="K12" s="43">
        <f t="shared" si="1"/>
        <v>50</v>
      </c>
      <c r="L12" s="43">
        <f t="shared" si="2"/>
        <v>0</v>
      </c>
      <c r="M12" s="43" t="str">
        <f t="shared" si="3"/>
        <v/>
      </c>
    </row>
    <row r="13">
      <c r="A13" s="36" t="s">
        <v>95</v>
      </c>
      <c r="B13" s="37">
        <v>46199.0</v>
      </c>
      <c r="C13" s="38" t="s">
        <v>82</v>
      </c>
      <c r="D13" s="36" t="s">
        <v>137</v>
      </c>
      <c r="E13" s="39">
        <v>12.0</v>
      </c>
      <c r="F13" s="36"/>
      <c r="G13" s="38"/>
      <c r="H13" s="40" t="s">
        <v>139</v>
      </c>
      <c r="J13" s="52" t="s">
        <v>141</v>
      </c>
      <c r="K13" s="53">
        <f>SUMIF($C:$C,"ÍTEM",$E:$E)</f>
        <v>771.65</v>
      </c>
      <c r="L13" s="53">
        <f>SUMIF($C:$C,"SUBTOTAL",$E:$E)</f>
        <v>724</v>
      </c>
      <c r="M13" s="53">
        <f>SUM(M5:M12)</f>
        <v>2.35</v>
      </c>
    </row>
    <row r="14">
      <c r="A14" s="36" t="s">
        <v>95</v>
      </c>
      <c r="B14" s="37">
        <v>46199.0</v>
      </c>
      <c r="C14" s="38" t="s">
        <v>82</v>
      </c>
      <c r="D14" s="36" t="s">
        <v>147</v>
      </c>
      <c r="E14" s="39">
        <v>9.5</v>
      </c>
      <c r="F14" s="36"/>
      <c r="G14" s="38"/>
      <c r="H14" s="40" t="s">
        <v>149</v>
      </c>
      <c r="J14" s="55" t="s">
        <v>150</v>
      </c>
      <c r="K14" s="56">
        <f>SUMIF($C:$C,"GASTO",$E:$E)</f>
        <v>19.26</v>
      </c>
    </row>
    <row r="15">
      <c r="A15" s="36" t="s">
        <v>95</v>
      </c>
      <c r="B15" s="37">
        <v>46199.0</v>
      </c>
      <c r="C15" s="38" t="s">
        <v>82</v>
      </c>
      <c r="D15" s="36" t="s">
        <v>153</v>
      </c>
      <c r="E15" s="39">
        <v>9.5</v>
      </c>
      <c r="F15" s="36"/>
      <c r="G15" s="38"/>
      <c r="H15" s="40" t="s">
        <v>154</v>
      </c>
      <c r="J15" s="55" t="s">
        <v>155</v>
      </c>
      <c r="K15" s="57">
        <f>SUM($F:$F)</f>
        <v>15932</v>
      </c>
    </row>
    <row r="16">
      <c r="A16" s="36" t="s">
        <v>95</v>
      </c>
      <c r="B16" s="37">
        <v>46199.0</v>
      </c>
      <c r="C16" s="38" t="s">
        <v>82</v>
      </c>
      <c r="D16" s="36" t="s">
        <v>158</v>
      </c>
      <c r="E16" s="39">
        <v>9.5</v>
      </c>
      <c r="F16" s="36"/>
      <c r="G16" s="38"/>
      <c r="H16" s="40" t="s">
        <v>160</v>
      </c>
      <c r="J16" s="55" t="s">
        <v>161</v>
      </c>
      <c r="K16" s="56">
        <f>K13+K14</f>
        <v>790.91</v>
      </c>
    </row>
    <row r="17">
      <c r="A17" s="36" t="s">
        <v>95</v>
      </c>
      <c r="B17" s="37">
        <v>46199.0</v>
      </c>
      <c r="C17" s="38" t="s">
        <v>82</v>
      </c>
      <c r="D17" s="36"/>
      <c r="E17" s="39">
        <v>9.5</v>
      </c>
      <c r="F17" s="36"/>
      <c r="G17" s="38"/>
      <c r="H17" s="40" t="s">
        <v>165</v>
      </c>
    </row>
    <row r="18">
      <c r="A18" s="36" t="s">
        <v>95</v>
      </c>
      <c r="B18" s="37">
        <v>46199.0</v>
      </c>
      <c r="C18" s="38" t="s">
        <v>82</v>
      </c>
      <c r="D18" s="36" t="s">
        <v>166</v>
      </c>
      <c r="E18" s="39">
        <v>9.5</v>
      </c>
      <c r="F18" s="36"/>
      <c r="G18" s="38"/>
      <c r="H18" s="40" t="s">
        <v>170</v>
      </c>
    </row>
    <row r="19">
      <c r="A19" s="36" t="s">
        <v>95</v>
      </c>
      <c r="B19" s="37">
        <v>46199.0</v>
      </c>
      <c r="C19" s="38" t="s">
        <v>82</v>
      </c>
      <c r="D19" s="36" t="s">
        <v>173</v>
      </c>
      <c r="E19" s="39">
        <v>9.5</v>
      </c>
      <c r="F19" s="36"/>
      <c r="G19" s="38"/>
      <c r="H19" s="40" t="s">
        <v>174</v>
      </c>
    </row>
    <row r="20">
      <c r="A20" s="36" t="s">
        <v>95</v>
      </c>
      <c r="B20" s="37">
        <v>46199.0</v>
      </c>
      <c r="C20" s="38" t="s">
        <v>82</v>
      </c>
      <c r="D20" s="36" t="s">
        <v>176</v>
      </c>
      <c r="E20" s="39">
        <v>9.5</v>
      </c>
      <c r="F20" s="36"/>
      <c r="G20" s="38"/>
      <c r="H20" s="40" t="s">
        <v>177</v>
      </c>
    </row>
    <row r="21" ht="15.75" customHeight="1">
      <c r="A21" s="36" t="s">
        <v>95</v>
      </c>
      <c r="B21" s="37">
        <v>46199.0</v>
      </c>
      <c r="C21" s="38" t="s">
        <v>82</v>
      </c>
      <c r="D21" s="36" t="s">
        <v>180</v>
      </c>
      <c r="E21" s="39">
        <v>9.5</v>
      </c>
      <c r="F21" s="36"/>
      <c r="G21" s="38"/>
      <c r="H21" s="40" t="s">
        <v>182</v>
      </c>
    </row>
    <row r="22" ht="15.75" customHeight="1">
      <c r="A22" s="36" t="s">
        <v>95</v>
      </c>
      <c r="B22" s="37">
        <v>46199.0</v>
      </c>
      <c r="C22" s="38" t="s">
        <v>82</v>
      </c>
      <c r="D22" s="36" t="s">
        <v>183</v>
      </c>
      <c r="E22" s="39">
        <v>9.5</v>
      </c>
      <c r="F22" s="36"/>
      <c r="G22" s="38"/>
      <c r="H22" s="40" t="s">
        <v>185</v>
      </c>
    </row>
    <row r="23" ht="15.75" customHeight="1">
      <c r="A23" s="36" t="s">
        <v>95</v>
      </c>
      <c r="B23" s="37">
        <v>46199.0</v>
      </c>
      <c r="C23" s="38" t="s">
        <v>82</v>
      </c>
      <c r="D23" s="36" t="s">
        <v>186</v>
      </c>
      <c r="E23" s="39">
        <v>9.5</v>
      </c>
      <c r="F23" s="36"/>
      <c r="G23" s="38"/>
      <c r="H23" s="40" t="s">
        <v>187</v>
      </c>
    </row>
    <row r="24" ht="15.75" customHeight="1">
      <c r="A24" s="36" t="s">
        <v>95</v>
      </c>
      <c r="B24" s="37">
        <v>46199.0</v>
      </c>
      <c r="C24" s="38" t="s">
        <v>82</v>
      </c>
      <c r="D24" s="36" t="s">
        <v>189</v>
      </c>
      <c r="E24" s="39">
        <v>9.5</v>
      </c>
      <c r="F24" s="36"/>
      <c r="G24" s="38"/>
      <c r="H24" s="40" t="s">
        <v>191</v>
      </c>
    </row>
    <row r="25" ht="15.75" customHeight="1">
      <c r="A25" s="36" t="s">
        <v>95</v>
      </c>
      <c r="B25" s="37">
        <v>46199.0</v>
      </c>
      <c r="C25" s="38" t="s">
        <v>82</v>
      </c>
      <c r="D25" s="36" t="s">
        <v>192</v>
      </c>
      <c r="E25" s="39">
        <v>17.0</v>
      </c>
      <c r="F25" s="36"/>
      <c r="G25" s="38"/>
      <c r="H25" s="40" t="s">
        <v>195</v>
      </c>
    </row>
    <row r="26" ht="15.75" customHeight="1">
      <c r="A26" s="36" t="s">
        <v>95</v>
      </c>
      <c r="B26" s="37">
        <v>46199.0</v>
      </c>
      <c r="C26" s="38" t="s">
        <v>82</v>
      </c>
      <c r="D26" s="36" t="s">
        <v>98</v>
      </c>
      <c r="E26" s="39">
        <v>20.0</v>
      </c>
      <c r="F26" s="36"/>
      <c r="G26" s="38"/>
      <c r="H26" s="40" t="s">
        <v>101</v>
      </c>
    </row>
    <row r="27" ht="15.75" customHeight="1">
      <c r="A27" s="36" t="s">
        <v>95</v>
      </c>
      <c r="B27" s="37">
        <v>46199.0</v>
      </c>
      <c r="C27" s="38" t="s">
        <v>82</v>
      </c>
      <c r="D27" s="36" t="s">
        <v>202</v>
      </c>
      <c r="E27" s="39">
        <v>20.0</v>
      </c>
      <c r="F27" s="36"/>
      <c r="G27" s="38"/>
      <c r="H27" s="40" t="s">
        <v>204</v>
      </c>
    </row>
    <row r="28" ht="15.75" customHeight="1">
      <c r="A28" s="36" t="s">
        <v>95</v>
      </c>
      <c r="B28" s="37">
        <v>46199.0</v>
      </c>
      <c r="C28" s="38" t="s">
        <v>82</v>
      </c>
      <c r="D28" s="36" t="s">
        <v>208</v>
      </c>
      <c r="E28" s="39">
        <v>20.0</v>
      </c>
      <c r="F28" s="36"/>
      <c r="G28" s="38"/>
      <c r="H28" s="40" t="s">
        <v>210</v>
      </c>
    </row>
    <row r="29" ht="15.75" customHeight="1">
      <c r="A29" s="36" t="s">
        <v>95</v>
      </c>
      <c r="B29" s="37">
        <v>46199.0</v>
      </c>
      <c r="C29" s="38" t="s">
        <v>82</v>
      </c>
      <c r="D29" s="36" t="s">
        <v>211</v>
      </c>
      <c r="E29" s="39">
        <v>12.0</v>
      </c>
      <c r="F29" s="36"/>
      <c r="G29" s="38"/>
      <c r="H29" s="40" t="s">
        <v>214</v>
      </c>
    </row>
    <row r="30" ht="15.75" customHeight="1">
      <c r="A30" s="36" t="s">
        <v>95</v>
      </c>
      <c r="B30" s="37">
        <v>46199.0</v>
      </c>
      <c r="C30" s="38" t="s">
        <v>82</v>
      </c>
      <c r="D30" s="36" t="s">
        <v>216</v>
      </c>
      <c r="E30" s="39">
        <v>13.0</v>
      </c>
      <c r="F30" s="36"/>
      <c r="G30" s="38"/>
      <c r="H30" s="40" t="s">
        <v>220</v>
      </c>
    </row>
    <row r="31" ht="15.75" customHeight="1">
      <c r="A31" s="36" t="s">
        <v>95</v>
      </c>
      <c r="B31" s="37">
        <v>46199.0</v>
      </c>
      <c r="C31" s="38" t="s">
        <v>82</v>
      </c>
      <c r="D31" s="36" t="s">
        <v>225</v>
      </c>
      <c r="E31" s="39">
        <v>17.0</v>
      </c>
      <c r="F31" s="36"/>
      <c r="G31" s="38"/>
      <c r="H31" s="40" t="s">
        <v>227</v>
      </c>
    </row>
    <row r="32" ht="15.75" customHeight="1">
      <c r="A32" s="47" t="s">
        <v>95</v>
      </c>
      <c r="B32" s="48">
        <v>46199.0</v>
      </c>
      <c r="C32" s="49" t="s">
        <v>121</v>
      </c>
      <c r="D32" s="47" t="s">
        <v>123</v>
      </c>
      <c r="E32" s="50">
        <v>236.0</v>
      </c>
      <c r="F32" s="47"/>
      <c r="G32" s="49" t="s">
        <v>74</v>
      </c>
      <c r="H32" s="51" t="s">
        <v>229</v>
      </c>
    </row>
    <row r="33" ht="15.75" customHeight="1">
      <c r="A33" s="28" t="s">
        <v>102</v>
      </c>
      <c r="B33" s="29">
        <v>46204.0</v>
      </c>
      <c r="C33" s="31" t="s">
        <v>72</v>
      </c>
      <c r="D33" s="28" t="s">
        <v>102</v>
      </c>
      <c r="E33" s="28"/>
      <c r="F33" s="28"/>
      <c r="G33" s="31"/>
      <c r="H33" s="34" t="s">
        <v>232</v>
      </c>
    </row>
    <row r="34" ht="15.75" customHeight="1">
      <c r="A34" s="36" t="s">
        <v>102</v>
      </c>
      <c r="B34" s="37">
        <v>46204.0</v>
      </c>
      <c r="C34" s="38" t="s">
        <v>82</v>
      </c>
      <c r="D34" s="36" t="s">
        <v>235</v>
      </c>
      <c r="E34" s="39">
        <v>12.0</v>
      </c>
      <c r="F34" s="36"/>
      <c r="G34" s="38"/>
      <c r="H34" s="40" t="s">
        <v>236</v>
      </c>
    </row>
    <row r="35" ht="15.75" customHeight="1">
      <c r="A35" s="36" t="s">
        <v>102</v>
      </c>
      <c r="B35" s="37">
        <v>46204.0</v>
      </c>
      <c r="C35" s="38" t="s">
        <v>82</v>
      </c>
      <c r="D35" s="36" t="s">
        <v>237</v>
      </c>
      <c r="E35" s="39">
        <v>18.0</v>
      </c>
      <c r="F35" s="36"/>
      <c r="G35" s="38"/>
      <c r="H35" s="40" t="s">
        <v>239</v>
      </c>
    </row>
    <row r="36" ht="15.75" customHeight="1">
      <c r="A36" s="47" t="s">
        <v>102</v>
      </c>
      <c r="B36" s="48">
        <v>46204.0</v>
      </c>
      <c r="C36" s="49" t="s">
        <v>121</v>
      </c>
      <c r="D36" s="47" t="s">
        <v>123</v>
      </c>
      <c r="E36" s="50">
        <v>30.0</v>
      </c>
      <c r="F36" s="47"/>
      <c r="G36" s="49" t="s">
        <v>74</v>
      </c>
      <c r="H36" s="51" t="s">
        <v>243</v>
      </c>
    </row>
    <row r="37" ht="15.75" customHeight="1">
      <c r="A37" s="28" t="s">
        <v>107</v>
      </c>
      <c r="B37" s="29">
        <v>46242.0</v>
      </c>
      <c r="C37" s="31" t="s">
        <v>72</v>
      </c>
      <c r="D37" s="28" t="s">
        <v>107</v>
      </c>
      <c r="E37" s="28"/>
      <c r="F37" s="28"/>
      <c r="G37" s="31"/>
      <c r="H37" s="34" t="s">
        <v>246</v>
      </c>
    </row>
    <row r="38" ht="15.75" customHeight="1">
      <c r="A38" s="36" t="s">
        <v>107</v>
      </c>
      <c r="B38" s="37">
        <v>46242.0</v>
      </c>
      <c r="C38" s="38" t="s">
        <v>82</v>
      </c>
      <c r="D38" s="36" t="s">
        <v>248</v>
      </c>
      <c r="E38" s="39">
        <v>12.0</v>
      </c>
      <c r="F38" s="36"/>
      <c r="G38" s="38"/>
      <c r="H38" s="40" t="s">
        <v>250</v>
      </c>
    </row>
    <row r="39" ht="15.75" customHeight="1">
      <c r="A39" s="36" t="s">
        <v>107</v>
      </c>
      <c r="B39" s="37">
        <v>46242.0</v>
      </c>
      <c r="C39" s="38" t="s">
        <v>82</v>
      </c>
      <c r="D39" s="36" t="s">
        <v>252</v>
      </c>
      <c r="E39" s="39">
        <v>12.0</v>
      </c>
      <c r="F39" s="36"/>
      <c r="G39" s="38"/>
      <c r="H39" s="40" t="s">
        <v>255</v>
      </c>
    </row>
    <row r="40" ht="15.75" customHeight="1">
      <c r="A40" s="36" t="s">
        <v>107</v>
      </c>
      <c r="B40" s="37">
        <v>46242.0</v>
      </c>
      <c r="C40" s="38" t="s">
        <v>82</v>
      </c>
      <c r="D40" s="36" t="s">
        <v>258</v>
      </c>
      <c r="E40" s="39">
        <v>12.0</v>
      </c>
      <c r="F40" s="36"/>
      <c r="G40" s="38"/>
      <c r="H40" s="40" t="s">
        <v>259</v>
      </c>
    </row>
    <row r="41" ht="15.75" customHeight="1">
      <c r="A41" s="36" t="s">
        <v>107</v>
      </c>
      <c r="B41" s="37">
        <v>46242.0</v>
      </c>
      <c r="C41" s="38" t="s">
        <v>82</v>
      </c>
      <c r="D41" s="36" t="s">
        <v>260</v>
      </c>
      <c r="E41" s="39">
        <v>12.0</v>
      </c>
      <c r="F41" s="36"/>
      <c r="G41" s="38"/>
      <c r="H41" s="40" t="s">
        <v>262</v>
      </c>
    </row>
    <row r="42" ht="15.75" customHeight="1">
      <c r="A42" s="36" t="s">
        <v>107</v>
      </c>
      <c r="B42" s="37">
        <v>46242.0</v>
      </c>
      <c r="C42" s="38" t="s">
        <v>82</v>
      </c>
      <c r="D42" s="36" t="s">
        <v>263</v>
      </c>
      <c r="E42" s="39">
        <v>12.0</v>
      </c>
      <c r="F42" s="36"/>
      <c r="G42" s="38"/>
      <c r="H42" s="40" t="s">
        <v>266</v>
      </c>
    </row>
    <row r="43" ht="15.75" customHeight="1">
      <c r="A43" s="36" t="s">
        <v>107</v>
      </c>
      <c r="B43" s="37">
        <v>46242.0</v>
      </c>
      <c r="C43" s="38" t="s">
        <v>82</v>
      </c>
      <c r="D43" s="36" t="s">
        <v>267</v>
      </c>
      <c r="E43" s="39">
        <v>12.0</v>
      </c>
      <c r="F43" s="36"/>
      <c r="G43" s="38"/>
      <c r="H43" s="40" t="s">
        <v>268</v>
      </c>
    </row>
    <row r="44" ht="15.75" customHeight="1">
      <c r="A44" s="36" t="s">
        <v>107</v>
      </c>
      <c r="B44" s="37">
        <v>46242.0</v>
      </c>
      <c r="C44" s="38" t="s">
        <v>82</v>
      </c>
      <c r="D44" s="36" t="s">
        <v>271</v>
      </c>
      <c r="E44" s="39">
        <v>12.0</v>
      </c>
      <c r="F44" s="36"/>
      <c r="G44" s="38"/>
      <c r="H44" s="40" t="s">
        <v>272</v>
      </c>
    </row>
    <row r="45" ht="15.75" customHeight="1">
      <c r="A45" s="36" t="s">
        <v>107</v>
      </c>
      <c r="B45" s="37">
        <v>46242.0</v>
      </c>
      <c r="C45" s="38" t="s">
        <v>82</v>
      </c>
      <c r="D45" s="36" t="s">
        <v>273</v>
      </c>
      <c r="E45" s="39">
        <v>12.0</v>
      </c>
      <c r="F45" s="36"/>
      <c r="G45" s="38"/>
      <c r="H45" s="40" t="s">
        <v>275</v>
      </c>
    </row>
    <row r="46" ht="15.75" customHeight="1">
      <c r="A46" s="36" t="s">
        <v>107</v>
      </c>
      <c r="B46" s="37">
        <v>46242.0</v>
      </c>
      <c r="C46" s="38" t="s">
        <v>82</v>
      </c>
      <c r="D46" s="36" t="s">
        <v>278</v>
      </c>
      <c r="E46" s="39">
        <v>12.0</v>
      </c>
      <c r="F46" s="36"/>
      <c r="G46" s="38"/>
      <c r="H46" s="40" t="s">
        <v>279</v>
      </c>
    </row>
    <row r="47" ht="15.75" customHeight="1">
      <c r="A47" s="36" t="s">
        <v>107</v>
      </c>
      <c r="B47" s="37">
        <v>46242.0</v>
      </c>
      <c r="C47" s="38" t="s">
        <v>82</v>
      </c>
      <c r="D47" s="36" t="s">
        <v>280</v>
      </c>
      <c r="E47" s="39">
        <v>12.0</v>
      </c>
      <c r="F47" s="36"/>
      <c r="G47" s="38"/>
      <c r="H47" s="40" t="s">
        <v>282</v>
      </c>
    </row>
    <row r="48" ht="15.75" customHeight="1">
      <c r="A48" s="36" t="s">
        <v>107</v>
      </c>
      <c r="B48" s="37">
        <v>46242.0</v>
      </c>
      <c r="C48" s="38" t="s">
        <v>82</v>
      </c>
      <c r="D48" s="36" t="s">
        <v>283</v>
      </c>
      <c r="E48" s="39">
        <v>12.0</v>
      </c>
      <c r="F48" s="36"/>
      <c r="G48" s="38"/>
      <c r="H48" s="40" t="s">
        <v>287</v>
      </c>
    </row>
    <row r="49" ht="15.75" customHeight="1">
      <c r="A49" s="36" t="s">
        <v>107</v>
      </c>
      <c r="B49" s="37">
        <v>46242.0</v>
      </c>
      <c r="C49" s="38" t="s">
        <v>82</v>
      </c>
      <c r="D49" s="36" t="s">
        <v>288</v>
      </c>
      <c r="E49" s="39">
        <v>18.0</v>
      </c>
      <c r="F49" s="36"/>
      <c r="G49" s="38"/>
      <c r="H49" s="40" t="s">
        <v>289</v>
      </c>
    </row>
    <row r="50" ht="15.75" customHeight="1">
      <c r="A50" s="36" t="s">
        <v>107</v>
      </c>
      <c r="B50" s="37">
        <v>46242.0</v>
      </c>
      <c r="C50" s="38" t="s">
        <v>82</v>
      </c>
      <c r="D50" s="36" t="s">
        <v>291</v>
      </c>
      <c r="E50" s="39">
        <v>12.0</v>
      </c>
      <c r="F50" s="36"/>
      <c r="G50" s="38"/>
      <c r="H50" s="40" t="s">
        <v>293</v>
      </c>
    </row>
    <row r="51" ht="15.75" customHeight="1">
      <c r="A51" s="36" t="s">
        <v>107</v>
      </c>
      <c r="B51" s="37">
        <v>46242.0</v>
      </c>
      <c r="C51" s="38" t="s">
        <v>82</v>
      </c>
      <c r="D51" s="36" t="s">
        <v>295</v>
      </c>
      <c r="E51" s="39">
        <v>14.0</v>
      </c>
      <c r="F51" s="36"/>
      <c r="G51" s="38"/>
      <c r="H51" s="40" t="s">
        <v>297</v>
      </c>
    </row>
    <row r="52" ht="15.75" customHeight="1">
      <c r="A52" s="47" t="s">
        <v>107</v>
      </c>
      <c r="B52" s="48">
        <v>46242.0</v>
      </c>
      <c r="C52" s="49" t="s">
        <v>121</v>
      </c>
      <c r="D52" s="47" t="s">
        <v>123</v>
      </c>
      <c r="E52" s="50">
        <v>176.0</v>
      </c>
      <c r="F52" s="47"/>
      <c r="G52" s="49" t="s">
        <v>74</v>
      </c>
      <c r="H52" s="51" t="s">
        <v>299</v>
      </c>
    </row>
    <row r="53" ht="15.75" customHeight="1">
      <c r="A53" s="28" t="s">
        <v>113</v>
      </c>
      <c r="B53" s="29">
        <v>46244.0</v>
      </c>
      <c r="C53" s="31" t="s">
        <v>72</v>
      </c>
      <c r="D53" s="28" t="s">
        <v>113</v>
      </c>
      <c r="E53" s="28"/>
      <c r="F53" s="28"/>
      <c r="G53" s="31"/>
      <c r="H53" s="34" t="s">
        <v>302</v>
      </c>
    </row>
    <row r="54" ht="15.75" customHeight="1">
      <c r="A54" s="36" t="s">
        <v>113</v>
      </c>
      <c r="B54" s="37">
        <v>46244.0</v>
      </c>
      <c r="C54" s="38" t="s">
        <v>82</v>
      </c>
      <c r="D54" s="36" t="s">
        <v>303</v>
      </c>
      <c r="E54" s="39">
        <v>1.0</v>
      </c>
      <c r="F54" s="36"/>
      <c r="G54" s="38"/>
      <c r="H54" s="40" t="s">
        <v>304</v>
      </c>
    </row>
    <row r="55" ht="15.75" customHeight="1">
      <c r="A55" s="36" t="s">
        <v>113</v>
      </c>
      <c r="B55" s="37">
        <v>46244.0</v>
      </c>
      <c r="C55" s="38" t="s">
        <v>82</v>
      </c>
      <c r="D55" s="36" t="s">
        <v>295</v>
      </c>
      <c r="E55" s="39">
        <v>15.0</v>
      </c>
      <c r="F55" s="36"/>
      <c r="G55" s="38"/>
      <c r="H55" s="40" t="s">
        <v>307</v>
      </c>
    </row>
    <row r="56" ht="15.75" customHeight="1">
      <c r="A56" s="36" t="s">
        <v>113</v>
      </c>
      <c r="B56" s="37">
        <v>46244.0</v>
      </c>
      <c r="C56" s="38" t="s">
        <v>82</v>
      </c>
      <c r="D56" s="36" t="s">
        <v>295</v>
      </c>
      <c r="E56" s="39">
        <v>15.0</v>
      </c>
      <c r="F56" s="36"/>
      <c r="G56" s="38"/>
      <c r="H56" s="40" t="s">
        <v>307</v>
      </c>
    </row>
    <row r="57" ht="15.75" customHeight="1">
      <c r="A57" s="36" t="s">
        <v>113</v>
      </c>
      <c r="B57" s="37">
        <v>46244.0</v>
      </c>
      <c r="C57" s="38" t="s">
        <v>82</v>
      </c>
      <c r="D57" s="36" t="s">
        <v>278</v>
      </c>
      <c r="E57" s="39">
        <v>13.0</v>
      </c>
      <c r="F57" s="36"/>
      <c r="G57" s="38"/>
      <c r="H57" s="40" t="s">
        <v>312</v>
      </c>
    </row>
    <row r="58" ht="15.75" customHeight="1">
      <c r="A58" s="36" t="s">
        <v>113</v>
      </c>
      <c r="B58" s="37">
        <v>46244.0</v>
      </c>
      <c r="C58" s="38" t="s">
        <v>82</v>
      </c>
      <c r="D58" s="36" t="s">
        <v>278</v>
      </c>
      <c r="E58" s="39">
        <v>13.0</v>
      </c>
      <c r="F58" s="36"/>
      <c r="G58" s="38"/>
      <c r="H58" s="40" t="s">
        <v>312</v>
      </c>
    </row>
    <row r="59" ht="15.75" customHeight="1">
      <c r="A59" s="36" t="s">
        <v>113</v>
      </c>
      <c r="B59" s="37">
        <v>46244.0</v>
      </c>
      <c r="C59" s="38" t="s">
        <v>82</v>
      </c>
      <c r="D59" s="36" t="s">
        <v>278</v>
      </c>
      <c r="E59" s="39">
        <v>13.0</v>
      </c>
      <c r="F59" s="36"/>
      <c r="G59" s="38"/>
      <c r="H59" s="40" t="s">
        <v>312</v>
      </c>
    </row>
    <row r="60" ht="15.75" customHeight="1">
      <c r="A60" s="36" t="s">
        <v>113</v>
      </c>
      <c r="B60" s="37">
        <v>46244.0</v>
      </c>
      <c r="C60" s="38" t="s">
        <v>82</v>
      </c>
      <c r="D60" s="36" t="s">
        <v>278</v>
      </c>
      <c r="E60" s="39">
        <v>13.0</v>
      </c>
      <c r="F60" s="36"/>
      <c r="G60" s="38"/>
      <c r="H60" s="40" t="s">
        <v>312</v>
      </c>
    </row>
    <row r="61" ht="15.75" customHeight="1">
      <c r="A61" s="36" t="s">
        <v>113</v>
      </c>
      <c r="B61" s="37">
        <v>46244.0</v>
      </c>
      <c r="C61" s="38" t="s">
        <v>82</v>
      </c>
      <c r="D61" s="36" t="s">
        <v>317</v>
      </c>
      <c r="E61" s="39">
        <v>13.0</v>
      </c>
      <c r="F61" s="36"/>
      <c r="G61" s="38"/>
      <c r="H61" s="40" t="s">
        <v>318</v>
      </c>
    </row>
    <row r="62" ht="15.75" customHeight="1">
      <c r="A62" s="36" t="s">
        <v>113</v>
      </c>
      <c r="B62" s="37">
        <v>46244.0</v>
      </c>
      <c r="C62" s="38" t="s">
        <v>82</v>
      </c>
      <c r="D62" s="36" t="s">
        <v>317</v>
      </c>
      <c r="E62" s="39">
        <v>13.0</v>
      </c>
      <c r="F62" s="36"/>
      <c r="G62" s="38"/>
      <c r="H62" s="40" t="s">
        <v>318</v>
      </c>
    </row>
    <row r="63" ht="15.75" customHeight="1">
      <c r="A63" s="47" t="s">
        <v>113</v>
      </c>
      <c r="B63" s="48">
        <v>46244.0</v>
      </c>
      <c r="C63" s="49" t="s">
        <v>121</v>
      </c>
      <c r="D63" s="47" t="s">
        <v>123</v>
      </c>
      <c r="E63" s="50">
        <v>109.0</v>
      </c>
      <c r="F63" s="47"/>
      <c r="G63" s="49" t="s">
        <v>74</v>
      </c>
      <c r="H63" s="51" t="s">
        <v>322</v>
      </c>
    </row>
    <row r="64" ht="15.75" customHeight="1">
      <c r="A64" s="28" t="s">
        <v>119</v>
      </c>
      <c r="B64" s="29">
        <v>46185.0</v>
      </c>
      <c r="C64" s="31" t="s">
        <v>72</v>
      </c>
      <c r="D64" s="28" t="s">
        <v>119</v>
      </c>
      <c r="E64" s="28"/>
      <c r="F64" s="28"/>
      <c r="G64" s="31"/>
      <c r="H64" s="34" t="s">
        <v>325</v>
      </c>
    </row>
    <row r="65" ht="15.75" customHeight="1">
      <c r="A65" s="36" t="s">
        <v>119</v>
      </c>
      <c r="B65" s="37">
        <v>46185.0</v>
      </c>
      <c r="C65" s="38" t="s">
        <v>82</v>
      </c>
      <c r="D65" s="36" t="s">
        <v>327</v>
      </c>
      <c r="E65" s="39">
        <v>15.0</v>
      </c>
      <c r="F65" s="36"/>
      <c r="G65" s="38"/>
      <c r="H65" s="40" t="s">
        <v>328</v>
      </c>
    </row>
    <row r="66" ht="15.75" customHeight="1">
      <c r="A66" s="47" t="s">
        <v>119</v>
      </c>
      <c r="B66" s="48">
        <v>46185.0</v>
      </c>
      <c r="C66" s="49" t="s">
        <v>121</v>
      </c>
      <c r="D66" s="47" t="s">
        <v>123</v>
      </c>
      <c r="E66" s="50">
        <v>15.0</v>
      </c>
      <c r="F66" s="47"/>
      <c r="G66" s="49" t="s">
        <v>74</v>
      </c>
      <c r="H66" s="51" t="s">
        <v>331</v>
      </c>
    </row>
    <row r="67" ht="15.75" customHeight="1">
      <c r="A67" s="28" t="s">
        <v>128</v>
      </c>
      <c r="B67" s="31"/>
      <c r="C67" s="31" t="s">
        <v>72</v>
      </c>
      <c r="D67" s="28" t="s">
        <v>128</v>
      </c>
      <c r="E67" s="28"/>
      <c r="F67" s="28"/>
      <c r="G67" s="31"/>
      <c r="H67" s="34" t="s">
        <v>333</v>
      </c>
    </row>
    <row r="68" ht="15.75" customHeight="1">
      <c r="A68" s="36" t="s">
        <v>128</v>
      </c>
      <c r="B68" s="38"/>
      <c r="C68" s="38" t="s">
        <v>82</v>
      </c>
      <c r="D68" s="36" t="s">
        <v>166</v>
      </c>
      <c r="E68" s="39">
        <v>9.1</v>
      </c>
      <c r="F68" s="36"/>
      <c r="G68" s="38"/>
      <c r="H68" s="40" t="s">
        <v>336</v>
      </c>
    </row>
    <row r="69" ht="15.75" customHeight="1">
      <c r="A69" s="36" t="s">
        <v>128</v>
      </c>
      <c r="B69" s="38"/>
      <c r="C69" s="38" t="s">
        <v>82</v>
      </c>
      <c r="D69" s="36" t="s">
        <v>166</v>
      </c>
      <c r="E69" s="39">
        <v>9.1</v>
      </c>
      <c r="F69" s="36"/>
      <c r="G69" s="38"/>
      <c r="H69" s="40" t="s">
        <v>336</v>
      </c>
    </row>
    <row r="70" ht="15.75" customHeight="1">
      <c r="A70" s="36" t="s">
        <v>128</v>
      </c>
      <c r="B70" s="38"/>
      <c r="C70" s="38" t="s">
        <v>82</v>
      </c>
      <c r="D70" s="36" t="s">
        <v>340</v>
      </c>
      <c r="E70" s="39">
        <v>7.5</v>
      </c>
      <c r="F70" s="36"/>
      <c r="G70" s="38"/>
      <c r="H70" s="40" t="s">
        <v>341</v>
      </c>
    </row>
    <row r="71" ht="15.75" customHeight="1">
      <c r="A71" s="36" t="s">
        <v>128</v>
      </c>
      <c r="B71" s="38"/>
      <c r="C71" s="38" t="s">
        <v>82</v>
      </c>
      <c r="D71" s="36" t="s">
        <v>340</v>
      </c>
      <c r="E71" s="39">
        <v>7.5</v>
      </c>
      <c r="F71" s="36"/>
      <c r="G71" s="38"/>
      <c r="H71" s="40" t="s">
        <v>341</v>
      </c>
    </row>
    <row r="72" ht="15.75" customHeight="1">
      <c r="A72" s="36" t="s">
        <v>128</v>
      </c>
      <c r="B72" s="38"/>
      <c r="C72" s="38" t="s">
        <v>82</v>
      </c>
      <c r="D72" s="36" t="s">
        <v>340</v>
      </c>
      <c r="E72" s="39">
        <v>7.5</v>
      </c>
      <c r="F72" s="36"/>
      <c r="G72" s="38"/>
      <c r="H72" s="40" t="s">
        <v>341</v>
      </c>
    </row>
    <row r="73" ht="15.75" customHeight="1">
      <c r="A73" s="36" t="s">
        <v>128</v>
      </c>
      <c r="B73" s="38"/>
      <c r="C73" s="38" t="s">
        <v>82</v>
      </c>
      <c r="D73" s="36" t="s">
        <v>345</v>
      </c>
      <c r="E73" s="39">
        <v>9.1</v>
      </c>
      <c r="F73" s="36"/>
      <c r="G73" s="38"/>
      <c r="H73" s="40" t="s">
        <v>347</v>
      </c>
    </row>
    <row r="74" ht="15.75" customHeight="1">
      <c r="A74" s="36" t="s">
        <v>128</v>
      </c>
      <c r="B74" s="38"/>
      <c r="C74" s="38" t="s">
        <v>82</v>
      </c>
      <c r="D74" s="36" t="s">
        <v>180</v>
      </c>
      <c r="E74" s="39">
        <v>7.35</v>
      </c>
      <c r="F74" s="36"/>
      <c r="G74" s="38"/>
      <c r="H74" s="40" t="s">
        <v>351</v>
      </c>
    </row>
    <row r="75" ht="15.75" customHeight="1">
      <c r="A75" s="47" t="s">
        <v>128</v>
      </c>
      <c r="B75" s="49"/>
      <c r="C75" s="49" t="s">
        <v>121</v>
      </c>
      <c r="D75" s="47" t="s">
        <v>123</v>
      </c>
      <c r="E75" s="50">
        <v>59.0</v>
      </c>
      <c r="F75" s="47"/>
      <c r="G75" s="49" t="s">
        <v>74</v>
      </c>
      <c r="H75" s="51" t="s">
        <v>353</v>
      </c>
    </row>
    <row r="76" ht="15.75" customHeight="1">
      <c r="A76" s="66" t="s">
        <v>128</v>
      </c>
      <c r="B76" s="67"/>
      <c r="C76" s="67" t="s">
        <v>355</v>
      </c>
      <c r="D76" s="66" t="s">
        <v>356</v>
      </c>
      <c r="E76" s="68">
        <v>14.92</v>
      </c>
      <c r="F76" s="69">
        <v>13000.0</v>
      </c>
      <c r="G76" s="67" t="s">
        <v>74</v>
      </c>
      <c r="H76" s="70" t="s">
        <v>357</v>
      </c>
    </row>
    <row r="77" ht="15.75" customHeight="1">
      <c r="A77" s="28" t="s">
        <v>134</v>
      </c>
      <c r="B77" s="29">
        <v>46246.0</v>
      </c>
      <c r="C77" s="31" t="s">
        <v>72</v>
      </c>
      <c r="D77" s="28" t="s">
        <v>134</v>
      </c>
      <c r="E77" s="28"/>
      <c r="F77" s="28"/>
      <c r="G77" s="31"/>
      <c r="H77" s="34" t="s">
        <v>359</v>
      </c>
    </row>
    <row r="78" ht="15.75" customHeight="1">
      <c r="A78" s="36" t="s">
        <v>134</v>
      </c>
      <c r="B78" s="37">
        <v>46246.0</v>
      </c>
      <c r="C78" s="38" t="s">
        <v>82</v>
      </c>
      <c r="D78" s="36" t="s">
        <v>361</v>
      </c>
      <c r="E78" s="39">
        <v>50.0</v>
      </c>
      <c r="F78" s="36"/>
      <c r="G78" s="38" t="s">
        <v>74</v>
      </c>
      <c r="H78" s="40" t="s">
        <v>362</v>
      </c>
    </row>
    <row r="79" ht="15.75" customHeight="1">
      <c r="A79" s="66" t="s">
        <v>134</v>
      </c>
      <c r="B79" s="71">
        <v>46246.0</v>
      </c>
      <c r="C79" s="67" t="s">
        <v>355</v>
      </c>
      <c r="D79" s="66" t="s">
        <v>364</v>
      </c>
      <c r="E79" s="68">
        <v>1.0</v>
      </c>
      <c r="F79" s="66"/>
      <c r="G79" s="67"/>
      <c r="H79" s="70" t="s">
        <v>366</v>
      </c>
    </row>
    <row r="80" ht="15.75" customHeight="1">
      <c r="A80" s="66" t="s">
        <v>134</v>
      </c>
      <c r="B80" s="71">
        <v>46246.0</v>
      </c>
      <c r="C80" s="67" t="s">
        <v>355</v>
      </c>
      <c r="D80" s="66" t="s">
        <v>367</v>
      </c>
      <c r="E80" s="68">
        <v>3.34</v>
      </c>
      <c r="F80" s="69">
        <v>2932.0</v>
      </c>
      <c r="G80" s="67" t="s">
        <v>74</v>
      </c>
      <c r="H80" s="70" t="s">
        <v>369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8827C0C-D469-480B-B52D-851A2E24F112}" filter="1" showAutoFilter="1">
      <autoFilter ref="$A$3:$H$80"/>
    </customSheetView>
  </customSheetViews>
  <mergeCells count="2">
    <mergeCell ref="A2:G2"/>
    <mergeCell ref="J3:M3"/>
  </mergeCells>
  <conditionalFormatting sqref="M5:M13">
    <cfRule type="cellIs" dxfId="7" priority="1" operator="notEqual">
      <formula>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6F82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6.0"/>
    <col customWidth="1" min="2" max="4" width="21.0"/>
    <col customWidth="1" min="5" max="26" width="8.71"/>
  </cols>
  <sheetData>
    <row r="1">
      <c r="A1" s="1" t="s">
        <v>212</v>
      </c>
    </row>
    <row r="2">
      <c r="A2" s="2" t="s">
        <v>213</v>
      </c>
    </row>
    <row r="3" ht="30.0" customHeight="1">
      <c r="A3" s="19" t="s">
        <v>22</v>
      </c>
      <c r="B3" s="19" t="s">
        <v>217</v>
      </c>
      <c r="C3" s="19" t="s">
        <v>219</v>
      </c>
      <c r="D3" s="19" t="s">
        <v>222</v>
      </c>
    </row>
    <row r="4">
      <c r="A4" s="36" t="s">
        <v>224</v>
      </c>
      <c r="B4" s="62">
        <v>50.0</v>
      </c>
      <c r="C4" s="44">
        <f>IF(B4="","",ROUND(B4*(1-DESC_TEAM),2))</f>
        <v>37.5</v>
      </c>
      <c r="D4" s="44">
        <f>IF(B4="","",ROUND(B4*(1-DESC_REVENDEDOR),2))</f>
        <v>42.5</v>
      </c>
    </row>
    <row r="5">
      <c r="A5" s="36" t="s">
        <v>241</v>
      </c>
      <c r="B5" s="62">
        <v>50.0</v>
      </c>
      <c r="C5" s="44">
        <f>IF(B5="","",ROUND(B5*(1-DESC_TEAM),2))</f>
        <v>37.5</v>
      </c>
      <c r="D5" s="44">
        <f>IF(B5="","",ROUND(B5*(1-DESC_REVENDEDOR),2))</f>
        <v>42.5</v>
      </c>
    </row>
    <row r="6">
      <c r="A6" s="36" t="s">
        <v>244</v>
      </c>
      <c r="B6" s="62">
        <v>50.0</v>
      </c>
      <c r="C6" s="44">
        <f>IF(B6="","",ROUND(B6*(1-DESC_TEAM),2))</f>
        <v>37.5</v>
      </c>
      <c r="D6" s="44">
        <f>IF(B6="","",ROUND(B6*(1-DESC_REVENDEDOR),2))</f>
        <v>42.5</v>
      </c>
    </row>
    <row r="7">
      <c r="A7" s="36" t="s">
        <v>251</v>
      </c>
      <c r="B7" s="62">
        <v>50.0</v>
      </c>
      <c r="C7" s="44">
        <f>IF(B7="","",ROUND(B7*(1-DESC_TEAM),2))</f>
        <v>37.5</v>
      </c>
      <c r="D7" s="44">
        <f>IF(B7="","",ROUND(B7*(1-DESC_REVENDEDOR),2))</f>
        <v>42.5</v>
      </c>
    </row>
    <row r="8">
      <c r="A8" s="36" t="s">
        <v>257</v>
      </c>
      <c r="B8" s="62">
        <v>50.0</v>
      </c>
      <c r="C8" s="44">
        <f>IF(B8="","",ROUND(B8*(1-DESC_TEAM),2))</f>
        <v>37.5</v>
      </c>
      <c r="D8" s="44">
        <f>IF(B8="","",ROUND(B8*(1-DESC_REVENDEDOR),2))</f>
        <v>42.5</v>
      </c>
    </row>
    <row r="9">
      <c r="A9" s="36" t="s">
        <v>261</v>
      </c>
      <c r="B9" s="62">
        <v>67.0</v>
      </c>
      <c r="C9" s="44">
        <f>IF(B9="","",ROUND(B9*(1-DESC_TEAM),2))</f>
        <v>50.25</v>
      </c>
      <c r="D9" s="44">
        <f>IF(B9="","",ROUND(B9*(1-DESC_REVENDEDOR),2))</f>
        <v>56.95</v>
      </c>
    </row>
    <row r="10">
      <c r="A10" s="36" t="s">
        <v>265</v>
      </c>
      <c r="B10" s="62">
        <v>120.0</v>
      </c>
      <c r="C10" s="44">
        <f>IF(B10="","",ROUND(B10*(1-DESC_TEAM),2))</f>
        <v>90</v>
      </c>
      <c r="D10" s="44">
        <f>IF(B10="","",ROUND(B10*(1-DESC_REVENDEDOR),2))</f>
        <v>102</v>
      </c>
    </row>
    <row r="11">
      <c r="A11" s="36" t="s">
        <v>270</v>
      </c>
      <c r="B11" s="62">
        <v>93.0</v>
      </c>
      <c r="C11" s="44">
        <f>IF(B11="","",ROUND(B11*(1-DESC_TEAM),2))</f>
        <v>69.75</v>
      </c>
      <c r="D11" s="44">
        <f>IF(B11="","",ROUND(B11*(1-DESC_REVENDEDOR),2))</f>
        <v>79.05</v>
      </c>
    </row>
    <row r="12">
      <c r="A12" s="36" t="s">
        <v>276</v>
      </c>
      <c r="B12" s="62">
        <v>68.0</v>
      </c>
      <c r="C12" s="44">
        <f>IF(B12="","",ROUND(B12*(1-DESC_TEAM),2))</f>
        <v>51</v>
      </c>
      <c r="D12" s="44">
        <f>IF(B12="","",ROUND(B12*(1-DESC_REVENDEDOR),2))</f>
        <v>57.8</v>
      </c>
    </row>
    <row r="13">
      <c r="A13" s="36" t="s">
        <v>286</v>
      </c>
      <c r="B13" s="62">
        <v>75.0</v>
      </c>
      <c r="C13" s="44">
        <f>IF(B13="","",ROUND(B13*(1-DESC_TEAM),2))</f>
        <v>56.25</v>
      </c>
      <c r="D13" s="44">
        <f>IF(B13="","",ROUND(B13*(1-DESC_REVENDEDOR),2))</f>
        <v>63.75</v>
      </c>
    </row>
    <row r="14">
      <c r="A14" s="36" t="s">
        <v>290</v>
      </c>
      <c r="B14" s="62">
        <v>66.0</v>
      </c>
      <c r="C14" s="44">
        <f>IF(B14="","",ROUND(B14*(1-DESC_TEAM),2))</f>
        <v>49.5</v>
      </c>
      <c r="D14" s="44">
        <f>IF(B14="","",ROUND(B14*(1-DESC_REVENDEDOR),2))</f>
        <v>56.1</v>
      </c>
    </row>
    <row r="15">
      <c r="A15" s="36" t="s">
        <v>294</v>
      </c>
      <c r="B15" s="62">
        <v>72.0</v>
      </c>
      <c r="C15" s="44">
        <f>IF(B15="","",ROUND(B15*(1-DESC_TEAM),2))</f>
        <v>54</v>
      </c>
      <c r="D15" s="44">
        <f>IF(B15="","",ROUND(B15*(1-DESC_REVENDEDOR),2))</f>
        <v>61.2</v>
      </c>
    </row>
    <row r="16">
      <c r="A16" s="36" t="s">
        <v>298</v>
      </c>
      <c r="B16" s="62">
        <v>32.0</v>
      </c>
      <c r="C16" s="44">
        <f>IF(B16="","",ROUND(B16*(1-DESC_TEAM),2))</f>
        <v>24</v>
      </c>
      <c r="D16" s="44">
        <f>IF(B16="","",ROUND(B16*(1-DESC_REVENDEDOR),2))</f>
        <v>27.2</v>
      </c>
    </row>
    <row r="17">
      <c r="A17" s="36" t="s">
        <v>301</v>
      </c>
      <c r="B17" s="62">
        <v>43.0</v>
      </c>
      <c r="C17" s="44">
        <f>IF(B17="","",ROUND(B17*(1-DESC_TEAM),2))</f>
        <v>32.25</v>
      </c>
      <c r="D17" s="44">
        <f>IF(B17="","",ROUND(B17*(1-DESC_REVENDEDOR),2))</f>
        <v>36.55</v>
      </c>
    </row>
    <row r="18">
      <c r="A18" s="36" t="s">
        <v>306</v>
      </c>
      <c r="B18" s="62">
        <v>45.0</v>
      </c>
      <c r="C18" s="44">
        <f>IF(B18="","",ROUND(B18*(1-DESC_TEAM),2))</f>
        <v>33.75</v>
      </c>
      <c r="D18" s="44">
        <f>IF(B18="","",ROUND(B18*(1-DESC_REVENDEDOR),2))</f>
        <v>38.25</v>
      </c>
    </row>
    <row r="19">
      <c r="A19" s="36" t="s">
        <v>308</v>
      </c>
      <c r="B19" s="62">
        <v>30.0</v>
      </c>
      <c r="C19" s="44">
        <f>IF(B19="","",ROUND(B19*(1-DESC_TEAM),2))</f>
        <v>22.5</v>
      </c>
      <c r="D19" s="44">
        <f>IF(B19="","",ROUND(B19*(1-DESC_REVENDEDOR),2))</f>
        <v>25.5</v>
      </c>
    </row>
    <row r="20">
      <c r="A20" s="36" t="s">
        <v>313</v>
      </c>
      <c r="B20" s="62">
        <v>45.0</v>
      </c>
      <c r="C20" s="44">
        <f>IF(B20="","",ROUND(B20*(1-DESC_TEAM),2))</f>
        <v>33.75</v>
      </c>
      <c r="D20" s="44">
        <f>IF(B20="","",ROUND(B20*(1-DESC_REVENDEDOR),2))</f>
        <v>38.25</v>
      </c>
    </row>
    <row r="21" ht="15.75" customHeight="1">
      <c r="A21" s="36" t="s">
        <v>90</v>
      </c>
      <c r="B21" s="62">
        <v>119.0</v>
      </c>
      <c r="C21" s="44">
        <f>IF(B21="","",ROUND(B21*(1-DESC_TEAM),2))</f>
        <v>89.25</v>
      </c>
      <c r="D21" s="44">
        <f>IF(B21="","",ROUND(B21*(1-DESC_REVENDEDOR),2))</f>
        <v>101.15</v>
      </c>
    </row>
    <row r="22" ht="15.75" customHeight="1">
      <c r="A22" s="36" t="s">
        <v>319</v>
      </c>
      <c r="B22" s="62">
        <v>119.0</v>
      </c>
      <c r="C22" s="44">
        <f>IF(B22="","",ROUND(B22*(1-DESC_TEAM),2))</f>
        <v>89.25</v>
      </c>
      <c r="D22" s="44">
        <f>IF(B22="","",ROUND(B22*(1-DESC_REVENDEDOR),2))</f>
        <v>101.15</v>
      </c>
    </row>
    <row r="23" ht="15.75" customHeight="1">
      <c r="A23" s="36" t="s">
        <v>321</v>
      </c>
      <c r="B23" s="62">
        <v>56.0</v>
      </c>
      <c r="C23" s="44">
        <f>IF(B23="","",ROUND(B23*(1-DESC_TEAM),2))</f>
        <v>42</v>
      </c>
      <c r="D23" s="44">
        <f>IF(B23="","",ROUND(B23*(1-DESC_REVENDEDOR),2))</f>
        <v>47.6</v>
      </c>
    </row>
    <row r="24" ht="15.75" customHeight="1">
      <c r="A24" s="36" t="s">
        <v>326</v>
      </c>
      <c r="B24" s="62">
        <v>56.0</v>
      </c>
      <c r="C24" s="44">
        <f>IF(B24="","",ROUND(B24*(1-DESC_TEAM),2))</f>
        <v>42</v>
      </c>
      <c r="D24" s="44">
        <f>IF(B24="","",ROUND(B24*(1-DESC_REVENDEDOR),2))</f>
        <v>47.6</v>
      </c>
    </row>
    <row r="25" ht="15.75" customHeight="1">
      <c r="A25" s="36" t="s">
        <v>330</v>
      </c>
      <c r="B25" s="62">
        <v>56.0</v>
      </c>
      <c r="C25" s="44">
        <f>IF(B25="","",ROUND(B25*(1-DESC_TEAM),2))</f>
        <v>42</v>
      </c>
      <c r="D25" s="44">
        <f>IF(B25="","",ROUND(B25*(1-DESC_REVENDEDOR),2))</f>
        <v>47.6</v>
      </c>
    </row>
    <row r="26" ht="15.75" customHeight="1">
      <c r="A26" s="36" t="s">
        <v>334</v>
      </c>
      <c r="B26" s="62">
        <v>56.0</v>
      </c>
      <c r="C26" s="44">
        <f>IF(B26="","",ROUND(B26*(1-DESC_TEAM),2))</f>
        <v>42</v>
      </c>
      <c r="D26" s="44">
        <f>IF(B26="","",ROUND(B26*(1-DESC_REVENDEDOR),2))</f>
        <v>47.6</v>
      </c>
    </row>
    <row r="27" ht="15.75" customHeight="1">
      <c r="A27" s="36" t="s">
        <v>337</v>
      </c>
      <c r="B27" s="62">
        <v>110.0</v>
      </c>
      <c r="C27" s="44">
        <f>IF(B27="","",ROUND(B27*(1-DESC_TEAM),2))</f>
        <v>82.5</v>
      </c>
      <c r="D27" s="44">
        <f>IF(B27="","",ROUND(B27*(1-DESC_REVENDEDOR),2))</f>
        <v>93.5</v>
      </c>
    </row>
    <row r="28" ht="15.75" customHeight="1">
      <c r="A28" s="36" t="s">
        <v>339</v>
      </c>
      <c r="B28" s="62">
        <v>77.0</v>
      </c>
      <c r="C28" s="44">
        <f>IF(B28="","",ROUND(B28*(1-DESC_TEAM),2))</f>
        <v>57.75</v>
      </c>
      <c r="D28" s="44">
        <f>IF(B28="","",ROUND(B28*(1-DESC_REVENDEDOR),2))</f>
        <v>65.45</v>
      </c>
    </row>
    <row r="29" ht="15.75" customHeight="1">
      <c r="A29" s="36" t="s">
        <v>343</v>
      </c>
      <c r="B29" s="62">
        <v>45.0</v>
      </c>
      <c r="C29" s="44">
        <f>IF(B29="","",ROUND(B29*(1-DESC_TEAM),2))</f>
        <v>33.75</v>
      </c>
      <c r="D29" s="44">
        <f>IF(B29="","",ROUND(B29*(1-DESC_REVENDEDOR),2))</f>
        <v>38.25</v>
      </c>
    </row>
    <row r="30" ht="15.75" customHeight="1">
      <c r="A30" s="36" t="s">
        <v>348</v>
      </c>
      <c r="B30" s="62">
        <v>45.0</v>
      </c>
      <c r="C30" s="44">
        <f>IF(B30="","",ROUND(B30*(1-DESC_TEAM),2))</f>
        <v>33.75</v>
      </c>
      <c r="D30" s="44">
        <f>IF(B30="","",ROUND(B30*(1-DESC_REVENDEDOR),2))</f>
        <v>38.25</v>
      </c>
    </row>
    <row r="31" ht="15.75" customHeight="1">
      <c r="A31" s="36" t="s">
        <v>352</v>
      </c>
      <c r="B31" s="62">
        <v>45.0</v>
      </c>
      <c r="C31" s="44">
        <f>IF(B31="","",ROUND(B31*(1-DESC_TEAM),2))</f>
        <v>33.75</v>
      </c>
      <c r="D31" s="44">
        <f>IF(B31="","",ROUND(B31*(1-DESC_REVENDEDOR),2))</f>
        <v>38.25</v>
      </c>
    </row>
    <row r="32" ht="15.75" customHeight="1">
      <c r="A32" s="36" t="s">
        <v>354</v>
      </c>
      <c r="B32" s="62">
        <v>124.0</v>
      </c>
      <c r="C32" s="44">
        <f>IF(B32="","",ROUND(B32*(1-DESC_TEAM),2))</f>
        <v>93</v>
      </c>
      <c r="D32" s="44">
        <f>IF(B32="","",ROUND(B32*(1-DESC_REVENDEDOR),2))</f>
        <v>105.4</v>
      </c>
    </row>
    <row r="33" ht="15.75" customHeight="1">
      <c r="A33" s="36" t="s">
        <v>358</v>
      </c>
      <c r="B33" s="62">
        <v>114.0</v>
      </c>
      <c r="C33" s="44">
        <f>IF(B33="","",ROUND(B33*(1-DESC_TEAM),2))</f>
        <v>85.5</v>
      </c>
      <c r="D33" s="44">
        <f>IF(B33="","",ROUND(B33*(1-DESC_REVENDEDOR),2))</f>
        <v>96.9</v>
      </c>
    </row>
    <row r="34" ht="15.75" customHeight="1">
      <c r="A34" s="36" t="s">
        <v>365</v>
      </c>
      <c r="B34" s="62">
        <v>98.0</v>
      </c>
      <c r="C34" s="44">
        <f>IF(B34="","",ROUND(B34*(1-DESC_TEAM),2))</f>
        <v>73.5</v>
      </c>
      <c r="D34" s="44">
        <f>IF(B34="","",ROUND(B34*(1-DESC_REVENDEDOR),2))</f>
        <v>83.3</v>
      </c>
    </row>
    <row r="35" ht="15.75" customHeight="1">
      <c r="A35" s="36" t="s">
        <v>368</v>
      </c>
      <c r="B35" s="62">
        <v>59.0</v>
      </c>
      <c r="C35" s="44">
        <f>IF(B35="","",ROUND(B35*(1-DESC_TEAM),2))</f>
        <v>44.25</v>
      </c>
      <c r="D35" s="44">
        <f>IF(B35="","",ROUND(B35*(1-DESC_REVENDEDOR),2))</f>
        <v>50.15</v>
      </c>
    </row>
    <row r="36" ht="15.75" customHeight="1">
      <c r="A36" s="36" t="s">
        <v>371</v>
      </c>
      <c r="B36" s="62">
        <v>61.0</v>
      </c>
      <c r="C36" s="44">
        <f>IF(B36="","",ROUND(B36*(1-DESC_TEAM),2))</f>
        <v>45.75</v>
      </c>
      <c r="D36" s="44">
        <f>IF(B36="","",ROUND(B36*(1-DESC_REVENDEDOR),2))</f>
        <v>51.85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A107B34-5EC3-4939-87CA-0261B62D6BDD}" filter="1" showAutoFilter="1">
      <autoFilter ref="$A$3:$D$36"/>
    </customSheetView>
  </customSheetViews>
  <mergeCells count="1">
    <mergeCell ref="A2:D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6F82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6.0"/>
    <col customWidth="1" min="2" max="2" width="34.0"/>
    <col customWidth="1" min="3" max="5" width="21.0"/>
    <col customWidth="1" min="6" max="6" width="3.0"/>
    <col customWidth="1" min="7" max="7" width="30.0"/>
    <col customWidth="1" min="8" max="8" width="16.0"/>
    <col customWidth="1" min="9" max="26" width="8.71"/>
  </cols>
  <sheetData>
    <row r="1">
      <c r="A1" s="1" t="s">
        <v>372</v>
      </c>
    </row>
    <row r="2">
      <c r="A2" s="2" t="s">
        <v>373</v>
      </c>
    </row>
    <row r="3" ht="19.5" customHeight="1">
      <c r="A3" s="19" t="s">
        <v>374</v>
      </c>
      <c r="B3" s="19" t="s">
        <v>22</v>
      </c>
      <c r="C3" s="19" t="s">
        <v>57</v>
      </c>
      <c r="D3" s="19" t="s">
        <v>375</v>
      </c>
      <c r="E3" s="19" t="s">
        <v>376</v>
      </c>
      <c r="G3" s="20" t="s">
        <v>44</v>
      </c>
      <c r="H3" s="21"/>
    </row>
    <row r="4">
      <c r="A4" s="72" t="s">
        <v>379</v>
      </c>
      <c r="B4" s="36" t="s">
        <v>115</v>
      </c>
      <c r="C4" s="39">
        <v>12.0</v>
      </c>
      <c r="D4" s="44">
        <f>IF($C4="","",ROUND($C4*FACTOR_DIVISA,2))</f>
        <v>20.4</v>
      </c>
      <c r="E4" s="44">
        <f>IF($C4="","",ROUND($C4*FACTOR_BCV,2))</f>
        <v>26.4</v>
      </c>
      <c r="G4" s="32" t="s">
        <v>389</v>
      </c>
      <c r="H4" s="33">
        <f>COUNTA($B$4:$B$215)</f>
        <v>212</v>
      </c>
    </row>
    <row r="5">
      <c r="A5" s="72" t="s">
        <v>379</v>
      </c>
      <c r="B5" s="36" t="s">
        <v>394</v>
      </c>
      <c r="C5" s="39">
        <v>9.5</v>
      </c>
      <c r="D5" s="44">
        <f>IF($C5="","",ROUND($C5*FACTOR_DIVISA,2))</f>
        <v>16.15</v>
      </c>
      <c r="E5" s="44">
        <f>IF($C5="","",ROUND($C5*FACTOR_BCV,2))</f>
        <v>20.9</v>
      </c>
      <c r="G5" s="32" t="s">
        <v>398</v>
      </c>
      <c r="H5" s="33">
        <f>COUNT($C$4:$C$215)</f>
        <v>31</v>
      </c>
    </row>
    <row r="6">
      <c r="A6" s="72" t="s">
        <v>379</v>
      </c>
      <c r="B6" s="36" t="s">
        <v>400</v>
      </c>
      <c r="C6" s="39">
        <v>15.0</v>
      </c>
      <c r="D6" s="44">
        <f>IF($C6="","",ROUND($C6*FACTOR_DIVISA,2))</f>
        <v>25.5</v>
      </c>
      <c r="E6" s="44">
        <f>IF($C6="","",ROUND($C6*FACTOR_BCV,2))</f>
        <v>33</v>
      </c>
      <c r="G6" s="32" t="s">
        <v>405</v>
      </c>
      <c r="H6" s="33">
        <f>COUNTA($B$4:$B$215)-COUNT($C$4:$C$215)</f>
        <v>181</v>
      </c>
    </row>
    <row r="7">
      <c r="A7" s="72" t="s">
        <v>379</v>
      </c>
      <c r="B7" s="36" t="s">
        <v>411</v>
      </c>
      <c r="C7" s="39">
        <v>9.5</v>
      </c>
      <c r="D7" s="44">
        <f>IF($C7="","",ROUND($C7*FACTOR_DIVISA,2))</f>
        <v>16.15</v>
      </c>
      <c r="E7" s="44">
        <f>IF($C7="","",ROUND($C7*FACTOR_BCV,2))</f>
        <v>20.9</v>
      </c>
      <c r="G7" s="32" t="s">
        <v>415</v>
      </c>
      <c r="H7" s="33">
        <f t="array" ref="H7">SUMPRODUCT((COUNTIF($B$4:$B$215,$B$4:$B$215)&gt;1)*($B$4:$B$215&lt;&gt;""))</f>
        <v>18</v>
      </c>
    </row>
    <row r="8">
      <c r="A8" s="72" t="s">
        <v>379</v>
      </c>
      <c r="B8" s="36" t="s">
        <v>233</v>
      </c>
      <c r="C8" s="39">
        <v>9.5</v>
      </c>
      <c r="D8" s="44">
        <f>IF($C8="","",ROUND($C8*FACTOR_DIVISA,2))</f>
        <v>16.15</v>
      </c>
      <c r="E8" s="44">
        <f>IF($C8="","",ROUND($C8*FACTOR_BCV,2))</f>
        <v>20.9</v>
      </c>
      <c r="G8" s="32" t="s">
        <v>433</v>
      </c>
      <c r="H8" s="42">
        <f>IFERROR(AVERAGE($C$4:$C$215),"")</f>
        <v>12.48387097</v>
      </c>
    </row>
    <row r="9">
      <c r="A9" s="72" t="s">
        <v>379</v>
      </c>
      <c r="B9" s="36" t="s">
        <v>437</v>
      </c>
      <c r="C9" s="39">
        <v>9.5</v>
      </c>
      <c r="D9" s="44">
        <f>IF($C9="","",ROUND($C9*FACTOR_DIVISA,2))</f>
        <v>16.15</v>
      </c>
      <c r="E9" s="44">
        <f>IF($C9="","",ROUND($C9*FACTOR_BCV,2))</f>
        <v>20.9</v>
      </c>
    </row>
    <row r="10">
      <c r="A10" s="72" t="s">
        <v>379</v>
      </c>
      <c r="B10" s="36" t="s">
        <v>442</v>
      </c>
      <c r="C10" s="39">
        <v>9.5</v>
      </c>
      <c r="D10" s="44">
        <f>IF($C10="","",ROUND($C10*FACTOR_DIVISA,2))</f>
        <v>16.15</v>
      </c>
      <c r="E10" s="44">
        <f>IF($C10="","",ROUND($C10*FACTOR_BCV,2))</f>
        <v>20.9</v>
      </c>
      <c r="G10" s="65" t="s">
        <v>446</v>
      </c>
    </row>
    <row r="11">
      <c r="A11" s="72" t="s">
        <v>379</v>
      </c>
      <c r="B11" s="36" t="s">
        <v>447</v>
      </c>
      <c r="C11" s="39">
        <v>9.5</v>
      </c>
      <c r="D11" s="44">
        <f>IF($C11="","",ROUND($C11*FACTOR_DIVISA,2))</f>
        <v>16.15</v>
      </c>
      <c r="E11" s="44">
        <f>IF($C11="","",ROUND($C11*FACTOR_BCV,2))</f>
        <v>20.9</v>
      </c>
    </row>
    <row r="12">
      <c r="A12" s="72" t="s">
        <v>379</v>
      </c>
      <c r="B12" s="36" t="s">
        <v>453</v>
      </c>
      <c r="C12" s="39">
        <v>9.5</v>
      </c>
      <c r="D12" s="44">
        <f>IF($C12="","",ROUND($C12*FACTOR_DIVISA,2))</f>
        <v>16.15</v>
      </c>
      <c r="E12" s="44">
        <f>IF($C12="","",ROUND($C12*FACTOR_BCV,2))</f>
        <v>20.9</v>
      </c>
    </row>
    <row r="13">
      <c r="A13" s="72" t="s">
        <v>379</v>
      </c>
      <c r="B13" s="36" t="s">
        <v>454</v>
      </c>
      <c r="C13" s="39">
        <v>9.5</v>
      </c>
      <c r="D13" s="44">
        <f>IF($C13="","",ROUND($C13*FACTOR_DIVISA,2))</f>
        <v>16.15</v>
      </c>
      <c r="E13" s="44">
        <f>IF($C13="","",ROUND($C13*FACTOR_BCV,2))</f>
        <v>20.9</v>
      </c>
    </row>
    <row r="14">
      <c r="A14" s="72" t="s">
        <v>379</v>
      </c>
      <c r="B14" s="36" t="s">
        <v>457</v>
      </c>
      <c r="C14" s="39">
        <v>9.5</v>
      </c>
      <c r="D14" s="44">
        <f>IF($C14="","",ROUND($C14*FACTOR_DIVISA,2))</f>
        <v>16.15</v>
      </c>
      <c r="E14" s="44">
        <f>IF($C14="","",ROUND($C14*FACTOR_BCV,2))</f>
        <v>20.9</v>
      </c>
    </row>
    <row r="15">
      <c r="A15" s="72" t="s">
        <v>379</v>
      </c>
      <c r="B15" s="36" t="s">
        <v>458</v>
      </c>
      <c r="C15" s="39">
        <v>9.5</v>
      </c>
      <c r="D15" s="44">
        <f>IF($C15="","",ROUND($C15*FACTOR_DIVISA,2))</f>
        <v>16.15</v>
      </c>
      <c r="E15" s="44">
        <f>IF($C15="","",ROUND($C15*FACTOR_BCV,2))</f>
        <v>20.9</v>
      </c>
    </row>
    <row r="16">
      <c r="A16" s="72" t="s">
        <v>379</v>
      </c>
      <c r="B16" s="36" t="s">
        <v>209</v>
      </c>
      <c r="C16" s="39">
        <v>17.0</v>
      </c>
      <c r="D16" s="44">
        <f>IF($C16="","",ROUND($C16*FACTOR_DIVISA,2))</f>
        <v>28.9</v>
      </c>
      <c r="E16" s="44">
        <f>IF($C16="","",ROUND($C16*FACTOR_BCV,2))</f>
        <v>37.4</v>
      </c>
    </row>
    <row r="17">
      <c r="A17" s="72" t="s">
        <v>379</v>
      </c>
      <c r="B17" s="36" t="s">
        <v>461</v>
      </c>
      <c r="C17" s="39">
        <v>20.0</v>
      </c>
      <c r="D17" s="44">
        <f>IF($C17="","",ROUND($C17*FACTOR_DIVISA,2))</f>
        <v>34</v>
      </c>
      <c r="E17" s="44">
        <f>IF($C17="","",ROUND($C17*FACTOR_BCV,2))</f>
        <v>44</v>
      </c>
    </row>
    <row r="18">
      <c r="A18" s="72" t="s">
        <v>379</v>
      </c>
      <c r="B18" s="36" t="s">
        <v>100</v>
      </c>
      <c r="C18" s="39">
        <v>20.0</v>
      </c>
      <c r="D18" s="44">
        <f>IF($C18="","",ROUND($C18*FACTOR_DIVISA,2))</f>
        <v>34</v>
      </c>
      <c r="E18" s="44">
        <f>IF($C18="","",ROUND($C18*FACTOR_BCV,2))</f>
        <v>44</v>
      </c>
    </row>
    <row r="19">
      <c r="A19" s="72" t="s">
        <v>379</v>
      </c>
      <c r="B19" s="36" t="s">
        <v>464</v>
      </c>
      <c r="C19" s="39">
        <v>15.0</v>
      </c>
      <c r="D19" s="44">
        <f>IF($C19="","",ROUND($C19*FACTOR_DIVISA,2))</f>
        <v>25.5</v>
      </c>
      <c r="E19" s="44">
        <f>IF($C19="","",ROUND($C19*FACTOR_BCV,2))</f>
        <v>33</v>
      </c>
    </row>
    <row r="20">
      <c r="A20" s="72" t="s">
        <v>379</v>
      </c>
      <c r="B20" s="36" t="s">
        <v>465</v>
      </c>
      <c r="C20" s="39">
        <v>12.0</v>
      </c>
      <c r="D20" s="44">
        <f>IF($C20="","",ROUND($C20*FACTOR_DIVISA,2))</f>
        <v>20.4</v>
      </c>
      <c r="E20" s="44">
        <f>IF($C20="","",ROUND($C20*FACTOR_BCV,2))</f>
        <v>26.4</v>
      </c>
    </row>
    <row r="21" ht="15.75" customHeight="1">
      <c r="A21" s="72" t="s">
        <v>379</v>
      </c>
      <c r="B21" s="36" t="s">
        <v>467</v>
      </c>
      <c r="C21" s="39">
        <v>12.0</v>
      </c>
      <c r="D21" s="44">
        <f>IF($C21="","",ROUND($C21*FACTOR_DIVISA,2))</f>
        <v>20.4</v>
      </c>
      <c r="E21" s="44">
        <f>IF($C21="","",ROUND($C21*FACTOR_BCV,2))</f>
        <v>26.4</v>
      </c>
    </row>
    <row r="22" ht="15.75" customHeight="1">
      <c r="A22" s="72" t="s">
        <v>379</v>
      </c>
      <c r="B22" s="36" t="s">
        <v>468</v>
      </c>
      <c r="C22" s="39">
        <v>17.0</v>
      </c>
      <c r="D22" s="44">
        <f>IF($C22="","",ROUND($C22*FACTOR_DIVISA,2))</f>
        <v>28.9</v>
      </c>
      <c r="E22" s="44">
        <f>IF($C22="","",ROUND($C22*FACTOR_BCV,2))</f>
        <v>37.4</v>
      </c>
    </row>
    <row r="23" ht="15.75" customHeight="1">
      <c r="A23" s="72" t="s">
        <v>470</v>
      </c>
      <c r="B23" s="36" t="s">
        <v>471</v>
      </c>
      <c r="C23" s="36"/>
      <c r="D23" s="44" t="str">
        <f>IF($C23="","",ROUND($C23*FACTOR_DIVISA,2))</f>
        <v/>
      </c>
      <c r="E23" s="44" t="str">
        <f>IF($C23="","",ROUND($C23*FACTOR_BCV,2))</f>
        <v/>
      </c>
    </row>
    <row r="24" ht="15.75" customHeight="1">
      <c r="A24" s="72" t="s">
        <v>470</v>
      </c>
      <c r="B24" s="36" t="s">
        <v>263</v>
      </c>
      <c r="C24" s="39">
        <v>12.0</v>
      </c>
      <c r="D24" s="44">
        <f>IF($C24="","",ROUND($C24*FACTOR_DIVISA,2))</f>
        <v>20.4</v>
      </c>
      <c r="E24" s="44">
        <f>IF($C24="","",ROUND($C24*FACTOR_BCV,2))</f>
        <v>26.4</v>
      </c>
    </row>
    <row r="25" ht="15.75" customHeight="1">
      <c r="A25" s="72" t="s">
        <v>470</v>
      </c>
      <c r="B25" s="36" t="s">
        <v>104</v>
      </c>
      <c r="C25" s="36"/>
      <c r="D25" s="44" t="str">
        <f>IF($C25="","",ROUND($C25*FACTOR_DIVISA,2))</f>
        <v/>
      </c>
      <c r="E25" s="44" t="str">
        <f>IF($C25="","",ROUND($C25*FACTOR_BCV,2))</f>
        <v/>
      </c>
    </row>
    <row r="26" ht="15.75" customHeight="1">
      <c r="A26" s="72" t="s">
        <v>470</v>
      </c>
      <c r="B26" s="36" t="s">
        <v>474</v>
      </c>
      <c r="C26" s="36"/>
      <c r="D26" s="44" t="str">
        <f>IF($C26="","",ROUND($C26*FACTOR_DIVISA,2))</f>
        <v/>
      </c>
      <c r="E26" s="44" t="str">
        <f>IF($C26="","",ROUND($C26*FACTOR_BCV,2))</f>
        <v/>
      </c>
    </row>
    <row r="27" ht="15.75" customHeight="1">
      <c r="A27" s="72" t="s">
        <v>470</v>
      </c>
      <c r="B27" s="36" t="s">
        <v>110</v>
      </c>
      <c r="C27" s="36"/>
      <c r="D27" s="44" t="str">
        <f>IF($C27="","",ROUND($C27*FACTOR_DIVISA,2))</f>
        <v/>
      </c>
      <c r="E27" s="44" t="str">
        <f>IF($C27="","",ROUND($C27*FACTOR_BCV,2))</f>
        <v/>
      </c>
    </row>
    <row r="28" ht="15.75" customHeight="1">
      <c r="A28" s="72" t="s">
        <v>470</v>
      </c>
      <c r="B28" s="36" t="s">
        <v>475</v>
      </c>
      <c r="C28" s="36"/>
      <c r="D28" s="44" t="str">
        <f>IF($C28="","",ROUND($C28*FACTOR_DIVISA,2))</f>
        <v/>
      </c>
      <c r="E28" s="44" t="str">
        <f>IF($C28="","",ROUND($C28*FACTOR_BCV,2))</f>
        <v/>
      </c>
    </row>
    <row r="29" ht="15.75" customHeight="1">
      <c r="A29" s="72" t="s">
        <v>470</v>
      </c>
      <c r="B29" s="36" t="s">
        <v>260</v>
      </c>
      <c r="C29" s="36"/>
      <c r="D29" s="44" t="str">
        <f>IF($C29="","",ROUND($C29*FACTOR_DIVISA,2))</f>
        <v/>
      </c>
      <c r="E29" s="44" t="str">
        <f>IF($C29="","",ROUND($C29*FACTOR_BCV,2))</f>
        <v/>
      </c>
    </row>
    <row r="30" ht="15.75" customHeight="1">
      <c r="A30" s="72" t="s">
        <v>470</v>
      </c>
      <c r="B30" s="36" t="s">
        <v>479</v>
      </c>
      <c r="C30" s="36"/>
      <c r="D30" s="44" t="str">
        <f>IF($C30="","",ROUND($C30*FACTOR_DIVISA,2))</f>
        <v/>
      </c>
      <c r="E30" s="44" t="str">
        <f>IF($C30="","",ROUND($C30*FACTOR_BCV,2))</f>
        <v/>
      </c>
    </row>
    <row r="31" ht="15.75" customHeight="1">
      <c r="A31" s="72" t="s">
        <v>470</v>
      </c>
      <c r="B31" s="36" t="s">
        <v>480</v>
      </c>
      <c r="C31" s="36"/>
      <c r="D31" s="44" t="str">
        <f>IF($C31="","",ROUND($C31*FACTOR_DIVISA,2))</f>
        <v/>
      </c>
      <c r="E31" s="44" t="str">
        <f>IF($C31="","",ROUND($C31*FACTOR_BCV,2))</f>
        <v/>
      </c>
    </row>
    <row r="32" ht="15.75" customHeight="1">
      <c r="A32" s="72" t="s">
        <v>470</v>
      </c>
      <c r="B32" s="36" t="s">
        <v>482</v>
      </c>
      <c r="C32" s="36"/>
      <c r="D32" s="44" t="str">
        <f>IF($C32="","",ROUND($C32*FACTOR_DIVISA,2))</f>
        <v/>
      </c>
      <c r="E32" s="44" t="str">
        <f>IF($C32="","",ROUND($C32*FACTOR_BCV,2))</f>
        <v/>
      </c>
    </row>
    <row r="33" ht="15.75" customHeight="1">
      <c r="A33" s="72" t="s">
        <v>470</v>
      </c>
      <c r="B33" s="36" t="s">
        <v>483</v>
      </c>
      <c r="C33" s="36"/>
      <c r="D33" s="44" t="str">
        <f>IF($C33="","",ROUND($C33*FACTOR_DIVISA,2))</f>
        <v/>
      </c>
      <c r="E33" s="44" t="str">
        <f>IF($C33="","",ROUND($C33*FACTOR_BCV,2))</f>
        <v/>
      </c>
    </row>
    <row r="34" ht="15.75" customHeight="1">
      <c r="A34" s="72" t="s">
        <v>470</v>
      </c>
      <c r="B34" s="36" t="s">
        <v>485</v>
      </c>
      <c r="C34" s="36"/>
      <c r="D34" s="44" t="str">
        <f>IF($C34="","",ROUND($C34*FACTOR_DIVISA,2))</f>
        <v/>
      </c>
      <c r="E34" s="44" t="str">
        <f>IF($C34="","",ROUND($C34*FACTOR_BCV,2))</f>
        <v/>
      </c>
    </row>
    <row r="35" ht="15.75" customHeight="1">
      <c r="A35" s="72" t="s">
        <v>470</v>
      </c>
      <c r="B35" s="36" t="s">
        <v>487</v>
      </c>
      <c r="C35" s="36"/>
      <c r="D35" s="44" t="str">
        <f>IF($C35="","",ROUND($C35*FACTOR_DIVISA,2))</f>
        <v/>
      </c>
      <c r="E35" s="44" t="str">
        <f>IF($C35="","",ROUND($C35*FACTOR_BCV,2))</f>
        <v/>
      </c>
    </row>
    <row r="36" ht="15.75" customHeight="1">
      <c r="A36" s="72" t="s">
        <v>470</v>
      </c>
      <c r="B36" s="36" t="s">
        <v>490</v>
      </c>
      <c r="C36" s="36"/>
      <c r="D36" s="44" t="str">
        <f>IF($C36="","",ROUND($C36*FACTOR_DIVISA,2))</f>
        <v/>
      </c>
      <c r="E36" s="44" t="str">
        <f>IF($C36="","",ROUND($C36*FACTOR_BCV,2))</f>
        <v/>
      </c>
    </row>
    <row r="37" ht="15.75" customHeight="1">
      <c r="A37" s="72" t="s">
        <v>470</v>
      </c>
      <c r="B37" s="36" t="s">
        <v>491</v>
      </c>
      <c r="C37" s="36"/>
      <c r="D37" s="44" t="str">
        <f>IF($C37="","",ROUND($C37*FACTOR_DIVISA,2))</f>
        <v/>
      </c>
      <c r="E37" s="44" t="str">
        <f>IF($C37="","",ROUND($C37*FACTOR_BCV,2))</f>
        <v/>
      </c>
    </row>
    <row r="38" ht="15.75" customHeight="1">
      <c r="A38" s="72" t="s">
        <v>470</v>
      </c>
      <c r="B38" s="36" t="s">
        <v>492</v>
      </c>
      <c r="C38" s="36"/>
      <c r="D38" s="44" t="str">
        <f>IF($C38="","",ROUND($C38*FACTOR_DIVISA,2))</f>
        <v/>
      </c>
      <c r="E38" s="44" t="str">
        <f>IF($C38="","",ROUND($C38*FACTOR_BCV,2))</f>
        <v/>
      </c>
    </row>
    <row r="39" ht="15.75" customHeight="1">
      <c r="A39" s="72" t="s">
        <v>470</v>
      </c>
      <c r="B39" s="36" t="s">
        <v>493</v>
      </c>
      <c r="C39" s="36"/>
      <c r="D39" s="44" t="str">
        <f>IF($C39="","",ROUND($C39*FACTOR_DIVISA,2))</f>
        <v/>
      </c>
      <c r="E39" s="44" t="str">
        <f>IF($C39="","",ROUND($C39*FACTOR_BCV,2))</f>
        <v/>
      </c>
    </row>
    <row r="40" ht="15.75" customHeight="1">
      <c r="A40" s="72" t="s">
        <v>470</v>
      </c>
      <c r="B40" s="36" t="s">
        <v>496</v>
      </c>
      <c r="C40" s="36"/>
      <c r="D40" s="44" t="str">
        <f>IF($C40="","",ROUND($C40*FACTOR_DIVISA,2))</f>
        <v/>
      </c>
      <c r="E40" s="44" t="str">
        <f>IF($C40="","",ROUND($C40*FACTOR_BCV,2))</f>
        <v/>
      </c>
    </row>
    <row r="41" ht="15.75" customHeight="1">
      <c r="A41" s="72" t="s">
        <v>470</v>
      </c>
      <c r="B41" s="36" t="s">
        <v>497</v>
      </c>
      <c r="C41" s="36"/>
      <c r="D41" s="44" t="str">
        <f>IF($C41="","",ROUND($C41*FACTOR_DIVISA,2))</f>
        <v/>
      </c>
      <c r="E41" s="44" t="str">
        <f>IF($C41="","",ROUND($C41*FACTOR_BCV,2))</f>
        <v/>
      </c>
    </row>
    <row r="42" ht="15.75" customHeight="1">
      <c r="A42" s="72" t="s">
        <v>470</v>
      </c>
      <c r="B42" s="36" t="s">
        <v>498</v>
      </c>
      <c r="C42" s="36"/>
      <c r="D42" s="44" t="str">
        <f>IF($C42="","",ROUND($C42*FACTOR_DIVISA,2))</f>
        <v/>
      </c>
      <c r="E42" s="44" t="str">
        <f>IF($C42="","",ROUND($C42*FACTOR_BCV,2))</f>
        <v/>
      </c>
    </row>
    <row r="43" ht="15.75" customHeight="1">
      <c r="A43" s="72" t="s">
        <v>470</v>
      </c>
      <c r="B43" s="36" t="s">
        <v>499</v>
      </c>
      <c r="C43" s="36"/>
      <c r="D43" s="44" t="str">
        <f>IF($C43="","",ROUND($C43*FACTOR_DIVISA,2))</f>
        <v/>
      </c>
      <c r="E43" s="44" t="str">
        <f>IF($C43="","",ROUND($C43*FACTOR_BCV,2))</f>
        <v/>
      </c>
    </row>
    <row r="44" ht="15.75" customHeight="1">
      <c r="A44" s="72" t="s">
        <v>470</v>
      </c>
      <c r="B44" s="36" t="s">
        <v>472</v>
      </c>
      <c r="C44" s="36"/>
      <c r="D44" s="44" t="str">
        <f>IF($C44="","",ROUND($C44*FACTOR_DIVISA,2))</f>
        <v/>
      </c>
      <c r="E44" s="44" t="str">
        <f>IF($C44="","",ROUND($C44*FACTOR_BCV,2))</f>
        <v/>
      </c>
    </row>
    <row r="45" ht="15.75" customHeight="1">
      <c r="A45" s="72" t="s">
        <v>470</v>
      </c>
      <c r="B45" s="36" t="s">
        <v>501</v>
      </c>
      <c r="C45" s="36"/>
      <c r="D45" s="44" t="str">
        <f>IF($C45="","",ROUND($C45*FACTOR_DIVISA,2))</f>
        <v/>
      </c>
      <c r="E45" s="44" t="str">
        <f>IF($C45="","",ROUND($C45*FACTOR_BCV,2))</f>
        <v/>
      </c>
    </row>
    <row r="46" ht="15.75" customHeight="1">
      <c r="A46" s="72" t="s">
        <v>470</v>
      </c>
      <c r="B46" s="36" t="s">
        <v>502</v>
      </c>
      <c r="C46" s="36"/>
      <c r="D46" s="44" t="str">
        <f>IF($C46="","",ROUND($C46*FACTOR_DIVISA,2))</f>
        <v/>
      </c>
      <c r="E46" s="44" t="str">
        <f>IF($C46="","",ROUND($C46*FACTOR_BCV,2))</f>
        <v/>
      </c>
    </row>
    <row r="47" ht="15.75" customHeight="1">
      <c r="A47" s="72" t="s">
        <v>470</v>
      </c>
      <c r="B47" s="36" t="s">
        <v>503</v>
      </c>
      <c r="C47" s="36"/>
      <c r="D47" s="44" t="str">
        <f>IF($C47="","",ROUND($C47*FACTOR_DIVISA,2))</f>
        <v/>
      </c>
      <c r="E47" s="44" t="str">
        <f>IF($C47="","",ROUND($C47*FACTOR_BCV,2))</f>
        <v/>
      </c>
    </row>
    <row r="48" ht="15.75" customHeight="1">
      <c r="A48" s="72" t="s">
        <v>470</v>
      </c>
      <c r="B48" s="36" t="s">
        <v>504</v>
      </c>
      <c r="C48" s="36"/>
      <c r="D48" s="44" t="str">
        <f>IF($C48="","",ROUND($C48*FACTOR_DIVISA,2))</f>
        <v/>
      </c>
      <c r="E48" s="44" t="str">
        <f>IF($C48="","",ROUND($C48*FACTOR_BCV,2))</f>
        <v/>
      </c>
    </row>
    <row r="49" ht="15.75" customHeight="1">
      <c r="A49" s="72" t="s">
        <v>470</v>
      </c>
      <c r="B49" s="36" t="s">
        <v>505</v>
      </c>
      <c r="C49" s="36"/>
      <c r="D49" s="44" t="str">
        <f>IF($C49="","",ROUND($C49*FACTOR_DIVISA,2))</f>
        <v/>
      </c>
      <c r="E49" s="44" t="str">
        <f>IF($C49="","",ROUND($C49*FACTOR_BCV,2))</f>
        <v/>
      </c>
    </row>
    <row r="50" ht="15.75" customHeight="1">
      <c r="A50" s="72" t="s">
        <v>470</v>
      </c>
      <c r="B50" s="36" t="s">
        <v>506</v>
      </c>
      <c r="C50" s="36"/>
      <c r="D50" s="44" t="str">
        <f>IF($C50="","",ROUND($C50*FACTOR_DIVISA,2))</f>
        <v/>
      </c>
      <c r="E50" s="44" t="str">
        <f>IF($C50="","",ROUND($C50*FACTOR_BCV,2))</f>
        <v/>
      </c>
    </row>
    <row r="51" ht="15.75" customHeight="1">
      <c r="A51" s="72" t="s">
        <v>470</v>
      </c>
      <c r="B51" s="36" t="s">
        <v>507</v>
      </c>
      <c r="C51" s="36"/>
      <c r="D51" s="44" t="str">
        <f>IF($C51="","",ROUND($C51*FACTOR_DIVISA,2))</f>
        <v/>
      </c>
      <c r="E51" s="44" t="str">
        <f>IF($C51="","",ROUND($C51*FACTOR_BCV,2))</f>
        <v/>
      </c>
    </row>
    <row r="52" ht="15.75" customHeight="1">
      <c r="A52" s="72" t="s">
        <v>470</v>
      </c>
      <c r="B52" s="36" t="s">
        <v>508</v>
      </c>
      <c r="C52" s="36"/>
      <c r="D52" s="44" t="str">
        <f>IF($C52="","",ROUND($C52*FACTOR_DIVISA,2))</f>
        <v/>
      </c>
      <c r="E52" s="44" t="str">
        <f>IF($C52="","",ROUND($C52*FACTOR_BCV,2))</f>
        <v/>
      </c>
    </row>
    <row r="53" ht="15.75" customHeight="1">
      <c r="A53" s="72" t="s">
        <v>470</v>
      </c>
      <c r="B53" s="36" t="s">
        <v>509</v>
      </c>
      <c r="C53" s="36"/>
      <c r="D53" s="44" t="str">
        <f>IF($C53="","",ROUND($C53*FACTOR_DIVISA,2))</f>
        <v/>
      </c>
      <c r="E53" s="44" t="str">
        <f>IF($C53="","",ROUND($C53*FACTOR_BCV,2))</f>
        <v/>
      </c>
    </row>
    <row r="54" ht="15.75" customHeight="1">
      <c r="A54" s="72" t="s">
        <v>470</v>
      </c>
      <c r="B54" s="36" t="s">
        <v>510</v>
      </c>
      <c r="C54" s="36"/>
      <c r="D54" s="44" t="str">
        <f>IF($C54="","",ROUND($C54*FACTOR_DIVISA,2))</f>
        <v/>
      </c>
      <c r="E54" s="44" t="str">
        <f>IF($C54="","",ROUND($C54*FACTOR_BCV,2))</f>
        <v/>
      </c>
    </row>
    <row r="55" ht="15.75" customHeight="1">
      <c r="A55" s="72" t="s">
        <v>470</v>
      </c>
      <c r="B55" s="36" t="s">
        <v>511</v>
      </c>
      <c r="C55" s="36"/>
      <c r="D55" s="44" t="str">
        <f>IF($C55="","",ROUND($C55*FACTOR_DIVISA,2))</f>
        <v/>
      </c>
      <c r="E55" s="44" t="str">
        <f>IF($C55="","",ROUND($C55*FACTOR_BCV,2))</f>
        <v/>
      </c>
    </row>
    <row r="56" ht="15.75" customHeight="1">
      <c r="A56" s="72" t="s">
        <v>470</v>
      </c>
      <c r="B56" s="36" t="s">
        <v>512</v>
      </c>
      <c r="C56" s="36"/>
      <c r="D56" s="44" t="str">
        <f>IF($C56="","",ROUND($C56*FACTOR_DIVISA,2))</f>
        <v/>
      </c>
      <c r="E56" s="44" t="str">
        <f>IF($C56="","",ROUND($C56*FACTOR_BCV,2))</f>
        <v/>
      </c>
    </row>
    <row r="57" ht="15.75" customHeight="1">
      <c r="A57" s="72" t="s">
        <v>470</v>
      </c>
      <c r="B57" s="36" t="s">
        <v>513</v>
      </c>
      <c r="C57" s="36"/>
      <c r="D57" s="44" t="str">
        <f>IF($C57="","",ROUND($C57*FACTOR_DIVISA,2))</f>
        <v/>
      </c>
      <c r="E57" s="44" t="str">
        <f>IF($C57="","",ROUND($C57*FACTOR_BCV,2))</f>
        <v/>
      </c>
    </row>
    <row r="58" ht="15.75" customHeight="1">
      <c r="A58" s="72" t="s">
        <v>470</v>
      </c>
      <c r="B58" s="36" t="s">
        <v>514</v>
      </c>
      <c r="C58" s="36"/>
      <c r="D58" s="44" t="str">
        <f>IF($C58="","",ROUND($C58*FACTOR_DIVISA,2))</f>
        <v/>
      </c>
      <c r="E58" s="44" t="str">
        <f>IF($C58="","",ROUND($C58*FACTOR_BCV,2))</f>
        <v/>
      </c>
    </row>
    <row r="59" ht="15.75" customHeight="1">
      <c r="A59" s="72" t="s">
        <v>470</v>
      </c>
      <c r="B59" s="36" t="s">
        <v>515</v>
      </c>
      <c r="C59" s="36"/>
      <c r="D59" s="44" t="str">
        <f>IF($C59="","",ROUND($C59*FACTOR_DIVISA,2))</f>
        <v/>
      </c>
      <c r="E59" s="44" t="str">
        <f>IF($C59="","",ROUND($C59*FACTOR_BCV,2))</f>
        <v/>
      </c>
    </row>
    <row r="60" ht="15.75" customHeight="1">
      <c r="A60" s="72" t="s">
        <v>470</v>
      </c>
      <c r="B60" s="36" t="s">
        <v>516</v>
      </c>
      <c r="C60" s="36"/>
      <c r="D60" s="44" t="str">
        <f>IF($C60="","",ROUND($C60*FACTOR_DIVISA,2))</f>
        <v/>
      </c>
      <c r="E60" s="44" t="str">
        <f>IF($C60="","",ROUND($C60*FACTOR_BCV,2))</f>
        <v/>
      </c>
    </row>
    <row r="61" ht="15.75" customHeight="1">
      <c r="A61" s="72" t="s">
        <v>470</v>
      </c>
      <c r="B61" s="36" t="s">
        <v>517</v>
      </c>
      <c r="C61" s="36"/>
      <c r="D61" s="44" t="str">
        <f>IF($C61="","",ROUND($C61*FACTOR_DIVISA,2))</f>
        <v/>
      </c>
      <c r="E61" s="44" t="str">
        <f>IF($C61="","",ROUND($C61*FACTOR_BCV,2))</f>
        <v/>
      </c>
    </row>
    <row r="62" ht="15.75" customHeight="1">
      <c r="A62" s="72" t="s">
        <v>470</v>
      </c>
      <c r="B62" s="36" t="s">
        <v>518</v>
      </c>
      <c r="C62" s="36"/>
      <c r="D62" s="44" t="str">
        <f>IF($C62="","",ROUND($C62*FACTOR_DIVISA,2))</f>
        <v/>
      </c>
      <c r="E62" s="44" t="str">
        <f>IF($C62="","",ROUND($C62*FACTOR_BCV,2))</f>
        <v/>
      </c>
    </row>
    <row r="63" ht="15.75" customHeight="1">
      <c r="A63" s="72" t="s">
        <v>470</v>
      </c>
      <c r="B63" s="36" t="s">
        <v>519</v>
      </c>
      <c r="C63" s="36"/>
      <c r="D63" s="44" t="str">
        <f>IF($C63="","",ROUND($C63*FACTOR_DIVISA,2))</f>
        <v/>
      </c>
      <c r="E63" s="44" t="str">
        <f>IF($C63="","",ROUND($C63*FACTOR_BCV,2))</f>
        <v/>
      </c>
    </row>
    <row r="64" ht="15.75" customHeight="1">
      <c r="A64" s="72" t="s">
        <v>470</v>
      </c>
      <c r="B64" s="36" t="s">
        <v>520</v>
      </c>
      <c r="C64" s="36"/>
      <c r="D64" s="44" t="str">
        <f>IF($C64="","",ROUND($C64*FACTOR_DIVISA,2))</f>
        <v/>
      </c>
      <c r="E64" s="44" t="str">
        <f>IF($C64="","",ROUND($C64*FACTOR_BCV,2))</f>
        <v/>
      </c>
    </row>
    <row r="65" ht="15.75" customHeight="1">
      <c r="A65" s="72" t="s">
        <v>470</v>
      </c>
      <c r="B65" s="36" t="s">
        <v>324</v>
      </c>
      <c r="C65" s="36"/>
      <c r="D65" s="44" t="str">
        <f>IF($C65="","",ROUND($C65*FACTOR_DIVISA,2))</f>
        <v/>
      </c>
      <c r="E65" s="44" t="str">
        <f>IF($C65="","",ROUND($C65*FACTOR_BCV,2))</f>
        <v/>
      </c>
    </row>
    <row r="66" ht="15.75" customHeight="1">
      <c r="A66" s="72" t="s">
        <v>470</v>
      </c>
      <c r="B66" s="36" t="s">
        <v>521</v>
      </c>
      <c r="C66" s="36"/>
      <c r="D66" s="44" t="str">
        <f>IF($C66="","",ROUND($C66*FACTOR_DIVISA,2))</f>
        <v/>
      </c>
      <c r="E66" s="44" t="str">
        <f>IF($C66="","",ROUND($C66*FACTOR_BCV,2))</f>
        <v/>
      </c>
    </row>
    <row r="67" ht="15.75" customHeight="1">
      <c r="A67" s="72" t="s">
        <v>470</v>
      </c>
      <c r="B67" s="36" t="s">
        <v>288</v>
      </c>
      <c r="C67" s="39">
        <v>12.0</v>
      </c>
      <c r="D67" s="44">
        <f>IF($C67="","",ROUND($C67*FACTOR_DIVISA,2))</f>
        <v>20.4</v>
      </c>
      <c r="E67" s="44">
        <f>IF($C67="","",ROUND($C67*FACTOR_BCV,2))</f>
        <v>26.4</v>
      </c>
    </row>
    <row r="68" ht="15.75" customHeight="1">
      <c r="A68" s="72" t="s">
        <v>470</v>
      </c>
      <c r="B68" s="36" t="s">
        <v>522</v>
      </c>
      <c r="C68" s="36"/>
      <c r="D68" s="44" t="str">
        <f>IF($C68="","",ROUND($C68*FACTOR_DIVISA,2))</f>
        <v/>
      </c>
      <c r="E68" s="44" t="str">
        <f>IF($C68="","",ROUND($C68*FACTOR_BCV,2))</f>
        <v/>
      </c>
    </row>
    <row r="69" ht="15.75" customHeight="1">
      <c r="A69" s="72" t="s">
        <v>470</v>
      </c>
      <c r="B69" s="36" t="s">
        <v>523</v>
      </c>
      <c r="C69" s="36"/>
      <c r="D69" s="44" t="str">
        <f>IF($C69="","",ROUND($C69*FACTOR_DIVISA,2))</f>
        <v/>
      </c>
      <c r="E69" s="44" t="str">
        <f>IF($C69="","",ROUND($C69*FACTOR_BCV,2))</f>
        <v/>
      </c>
    </row>
    <row r="70" ht="15.75" customHeight="1">
      <c r="A70" s="72" t="s">
        <v>470</v>
      </c>
      <c r="B70" s="36" t="s">
        <v>524</v>
      </c>
      <c r="C70" s="36"/>
      <c r="D70" s="44" t="str">
        <f>IF($C70="","",ROUND($C70*FACTOR_DIVISA,2))</f>
        <v/>
      </c>
      <c r="E70" s="44" t="str">
        <f>IF($C70="","",ROUND($C70*FACTOR_BCV,2))</f>
        <v/>
      </c>
    </row>
    <row r="71" ht="15.75" customHeight="1">
      <c r="A71" s="72" t="s">
        <v>470</v>
      </c>
      <c r="B71" s="36" t="s">
        <v>525</v>
      </c>
      <c r="C71" s="36"/>
      <c r="D71" s="44" t="str">
        <f>IF($C71="","",ROUND($C71*FACTOR_DIVISA,2))</f>
        <v/>
      </c>
      <c r="E71" s="44" t="str">
        <f>IF($C71="","",ROUND($C71*FACTOR_BCV,2))</f>
        <v/>
      </c>
    </row>
    <row r="72" ht="15.75" customHeight="1">
      <c r="A72" s="72" t="s">
        <v>470</v>
      </c>
      <c r="B72" s="36" t="s">
        <v>526</v>
      </c>
      <c r="C72" s="36"/>
      <c r="D72" s="44" t="str">
        <f>IF($C72="","",ROUND($C72*FACTOR_DIVISA,2))</f>
        <v/>
      </c>
      <c r="E72" s="44" t="str">
        <f>IF($C72="","",ROUND($C72*FACTOR_BCV,2))</f>
        <v/>
      </c>
    </row>
    <row r="73" ht="15.75" customHeight="1">
      <c r="A73" s="72" t="s">
        <v>470</v>
      </c>
      <c r="B73" s="36" t="s">
        <v>527</v>
      </c>
      <c r="C73" s="36"/>
      <c r="D73" s="44" t="str">
        <f>IF($C73="","",ROUND($C73*FACTOR_DIVISA,2))</f>
        <v/>
      </c>
      <c r="E73" s="44" t="str">
        <f>IF($C73="","",ROUND($C73*FACTOR_BCV,2))</f>
        <v/>
      </c>
    </row>
    <row r="74" ht="15.75" customHeight="1">
      <c r="A74" s="72" t="s">
        <v>470</v>
      </c>
      <c r="B74" s="36" t="s">
        <v>528</v>
      </c>
      <c r="C74" s="36"/>
      <c r="D74" s="44" t="str">
        <f>IF($C74="","",ROUND($C74*FACTOR_DIVISA,2))</f>
        <v/>
      </c>
      <c r="E74" s="44" t="str">
        <f>IF($C74="","",ROUND($C74*FACTOR_BCV,2))</f>
        <v/>
      </c>
    </row>
    <row r="75" ht="15.75" customHeight="1">
      <c r="A75" s="72" t="s">
        <v>470</v>
      </c>
      <c r="B75" s="36" t="s">
        <v>529</v>
      </c>
      <c r="C75" s="36"/>
      <c r="D75" s="44" t="str">
        <f>IF($C75="","",ROUND($C75*FACTOR_DIVISA,2))</f>
        <v/>
      </c>
      <c r="E75" s="44" t="str">
        <f>IF($C75="","",ROUND($C75*FACTOR_BCV,2))</f>
        <v/>
      </c>
    </row>
    <row r="76" ht="15.75" customHeight="1">
      <c r="A76" s="72" t="s">
        <v>470</v>
      </c>
      <c r="B76" s="36" t="s">
        <v>530</v>
      </c>
      <c r="C76" s="36"/>
      <c r="D76" s="44" t="str">
        <f>IF($C76="","",ROUND($C76*FACTOR_DIVISA,2))</f>
        <v/>
      </c>
      <c r="E76" s="44" t="str">
        <f>IF($C76="","",ROUND($C76*FACTOR_BCV,2))</f>
        <v/>
      </c>
    </row>
    <row r="77" ht="15.75" customHeight="1">
      <c r="A77" s="72" t="s">
        <v>470</v>
      </c>
      <c r="B77" s="36" t="s">
        <v>531</v>
      </c>
      <c r="C77" s="36"/>
      <c r="D77" s="44" t="str">
        <f>IF($C77="","",ROUND($C77*FACTOR_DIVISA,2))</f>
        <v/>
      </c>
      <c r="E77" s="44" t="str">
        <f>IF($C77="","",ROUND($C77*FACTOR_BCV,2))</f>
        <v/>
      </c>
    </row>
    <row r="78" ht="15.75" customHeight="1">
      <c r="A78" s="72" t="s">
        <v>470</v>
      </c>
      <c r="B78" s="36" t="s">
        <v>532</v>
      </c>
      <c r="C78" s="36"/>
      <c r="D78" s="44" t="str">
        <f>IF($C78="","",ROUND($C78*FACTOR_DIVISA,2))</f>
        <v/>
      </c>
      <c r="E78" s="44" t="str">
        <f>IF($C78="","",ROUND($C78*FACTOR_BCV,2))</f>
        <v/>
      </c>
    </row>
    <row r="79" ht="15.75" customHeight="1">
      <c r="A79" s="72" t="s">
        <v>470</v>
      </c>
      <c r="B79" s="36" t="s">
        <v>533</v>
      </c>
      <c r="C79" s="36"/>
      <c r="D79" s="44" t="str">
        <f>IF($C79="","",ROUND($C79*FACTOR_DIVISA,2))</f>
        <v/>
      </c>
      <c r="E79" s="44" t="str">
        <f>IF($C79="","",ROUND($C79*FACTOR_BCV,2))</f>
        <v/>
      </c>
    </row>
    <row r="80" ht="15.75" customHeight="1">
      <c r="A80" s="72" t="s">
        <v>470</v>
      </c>
      <c r="B80" s="36" t="s">
        <v>534</v>
      </c>
      <c r="C80" s="36"/>
      <c r="D80" s="44" t="str">
        <f>IF($C80="","",ROUND($C80*FACTOR_DIVISA,2))</f>
        <v/>
      </c>
      <c r="E80" s="44" t="str">
        <f>IF($C80="","",ROUND($C80*FACTOR_BCV,2))</f>
        <v/>
      </c>
    </row>
    <row r="81" ht="15.75" customHeight="1">
      <c r="A81" s="72" t="s">
        <v>470</v>
      </c>
      <c r="B81" s="36" t="s">
        <v>535</v>
      </c>
      <c r="C81" s="36"/>
      <c r="D81" s="44" t="str">
        <f>IF($C81="","",ROUND($C81*FACTOR_DIVISA,2))</f>
        <v/>
      </c>
      <c r="E81" s="44" t="str">
        <f>IF($C81="","",ROUND($C81*FACTOR_BCV,2))</f>
        <v/>
      </c>
    </row>
    <row r="82" ht="15.75" customHeight="1">
      <c r="A82" s="72" t="s">
        <v>470</v>
      </c>
      <c r="B82" s="36" t="s">
        <v>536</v>
      </c>
      <c r="C82" s="36"/>
      <c r="D82" s="44" t="str">
        <f>IF($C82="","",ROUND($C82*FACTOR_DIVISA,2))</f>
        <v/>
      </c>
      <c r="E82" s="44" t="str">
        <f>IF($C82="","",ROUND($C82*FACTOR_BCV,2))</f>
        <v/>
      </c>
    </row>
    <row r="83" ht="15.75" customHeight="1">
      <c r="A83" s="72" t="s">
        <v>470</v>
      </c>
      <c r="B83" s="36" t="s">
        <v>537</v>
      </c>
      <c r="C83" s="36"/>
      <c r="D83" s="44" t="str">
        <f>IF($C83="","",ROUND($C83*FACTOR_DIVISA,2))</f>
        <v/>
      </c>
      <c r="E83" s="44" t="str">
        <f>IF($C83="","",ROUND($C83*FACTOR_BCV,2))</f>
        <v/>
      </c>
    </row>
    <row r="84" ht="15.75" customHeight="1">
      <c r="A84" s="72" t="s">
        <v>470</v>
      </c>
      <c r="B84" s="36" t="s">
        <v>538</v>
      </c>
      <c r="C84" s="36"/>
      <c r="D84" s="44" t="str">
        <f>IF($C84="","",ROUND($C84*FACTOR_DIVISA,2))</f>
        <v/>
      </c>
      <c r="E84" s="44" t="str">
        <f>IF($C84="","",ROUND($C84*FACTOR_BCV,2))</f>
        <v/>
      </c>
    </row>
    <row r="85" ht="15.75" customHeight="1">
      <c r="A85" s="72" t="s">
        <v>470</v>
      </c>
      <c r="B85" s="36" t="s">
        <v>539</v>
      </c>
      <c r="C85" s="36"/>
      <c r="D85" s="44" t="str">
        <f>IF($C85="","",ROUND($C85*FACTOR_DIVISA,2))</f>
        <v/>
      </c>
      <c r="E85" s="44" t="str">
        <f>IF($C85="","",ROUND($C85*FACTOR_BCV,2))</f>
        <v/>
      </c>
    </row>
    <row r="86" ht="15.75" customHeight="1">
      <c r="A86" s="72" t="s">
        <v>470</v>
      </c>
      <c r="B86" s="36" t="s">
        <v>540</v>
      </c>
      <c r="C86" s="36"/>
      <c r="D86" s="44" t="str">
        <f>IF($C86="","",ROUND($C86*FACTOR_DIVISA,2))</f>
        <v/>
      </c>
      <c r="E86" s="44" t="str">
        <f>IF($C86="","",ROUND($C86*FACTOR_BCV,2))</f>
        <v/>
      </c>
    </row>
    <row r="87" ht="15.75" customHeight="1">
      <c r="A87" s="72" t="s">
        <v>470</v>
      </c>
      <c r="B87" s="36" t="s">
        <v>541</v>
      </c>
      <c r="C87" s="36"/>
      <c r="D87" s="44" t="str">
        <f>IF($C87="","",ROUND($C87*FACTOR_DIVISA,2))</f>
        <v/>
      </c>
      <c r="E87" s="44" t="str">
        <f>IF($C87="","",ROUND($C87*FACTOR_BCV,2))</f>
        <v/>
      </c>
    </row>
    <row r="88" ht="15.75" customHeight="1">
      <c r="A88" s="72" t="s">
        <v>470</v>
      </c>
      <c r="B88" s="36" t="s">
        <v>542</v>
      </c>
      <c r="C88" s="39">
        <v>14.0</v>
      </c>
      <c r="D88" s="44">
        <f>IF($C88="","",ROUND($C88*FACTOR_DIVISA,2))</f>
        <v>23.8</v>
      </c>
      <c r="E88" s="44">
        <f>IF($C88="","",ROUND($C88*FACTOR_BCV,2))</f>
        <v>30.8</v>
      </c>
    </row>
    <row r="89" ht="15.75" customHeight="1">
      <c r="A89" s="72" t="s">
        <v>470</v>
      </c>
      <c r="B89" s="36" t="s">
        <v>543</v>
      </c>
      <c r="C89" s="36"/>
      <c r="D89" s="44" t="str">
        <f>IF($C89="","",ROUND($C89*FACTOR_DIVISA,2))</f>
        <v/>
      </c>
      <c r="E89" s="44" t="str">
        <f>IF($C89="","",ROUND($C89*FACTOR_BCV,2))</f>
        <v/>
      </c>
    </row>
    <row r="90" ht="15.75" customHeight="1">
      <c r="A90" s="72" t="s">
        <v>470</v>
      </c>
      <c r="B90" s="36" t="s">
        <v>544</v>
      </c>
      <c r="C90" s="36"/>
      <c r="D90" s="44" t="str">
        <f>IF($C90="","",ROUND($C90*FACTOR_DIVISA,2))</f>
        <v/>
      </c>
      <c r="E90" s="44" t="str">
        <f>IF($C90="","",ROUND($C90*FACTOR_BCV,2))</f>
        <v/>
      </c>
    </row>
    <row r="91" ht="15.75" customHeight="1">
      <c r="A91" s="72" t="s">
        <v>470</v>
      </c>
      <c r="B91" s="36" t="s">
        <v>545</v>
      </c>
      <c r="C91" s="36"/>
      <c r="D91" s="44" t="str">
        <f>IF($C91="","",ROUND($C91*FACTOR_DIVISA,2))</f>
        <v/>
      </c>
      <c r="E91" s="44" t="str">
        <f>IF($C91="","",ROUND($C91*FACTOR_BCV,2))</f>
        <v/>
      </c>
    </row>
    <row r="92" ht="15.75" customHeight="1">
      <c r="A92" s="72" t="s">
        <v>470</v>
      </c>
      <c r="B92" s="36" t="s">
        <v>546</v>
      </c>
      <c r="C92" s="36"/>
      <c r="D92" s="44" t="str">
        <f>IF($C92="","",ROUND($C92*FACTOR_DIVISA,2))</f>
        <v/>
      </c>
      <c r="E92" s="44" t="str">
        <f>IF($C92="","",ROUND($C92*FACTOR_BCV,2))</f>
        <v/>
      </c>
    </row>
    <row r="93" ht="15.75" customHeight="1">
      <c r="A93" s="72" t="s">
        <v>470</v>
      </c>
      <c r="B93" s="36" t="s">
        <v>547</v>
      </c>
      <c r="C93" s="36"/>
      <c r="D93" s="44" t="str">
        <f>IF($C93="","",ROUND($C93*FACTOR_DIVISA,2))</f>
        <v/>
      </c>
      <c r="E93" s="44" t="str">
        <f>IF($C93="","",ROUND($C93*FACTOR_BCV,2))</f>
        <v/>
      </c>
    </row>
    <row r="94" ht="15.75" customHeight="1">
      <c r="A94" s="72" t="s">
        <v>470</v>
      </c>
      <c r="B94" s="36" t="s">
        <v>548</v>
      </c>
      <c r="C94" s="36"/>
      <c r="D94" s="44" t="str">
        <f>IF($C94="","",ROUND($C94*FACTOR_DIVISA,2))</f>
        <v/>
      </c>
      <c r="E94" s="44" t="str">
        <f>IF($C94="","",ROUND($C94*FACTOR_BCV,2))</f>
        <v/>
      </c>
    </row>
    <row r="95" ht="15.75" customHeight="1">
      <c r="A95" s="72" t="s">
        <v>470</v>
      </c>
      <c r="B95" s="36" t="s">
        <v>549</v>
      </c>
      <c r="C95" s="36"/>
      <c r="D95" s="44" t="str">
        <f>IF($C95="","",ROUND($C95*FACTOR_DIVISA,2))</f>
        <v/>
      </c>
      <c r="E95" s="44" t="str">
        <f>IF($C95="","",ROUND($C95*FACTOR_BCV,2))</f>
        <v/>
      </c>
    </row>
    <row r="96" ht="15.75" customHeight="1">
      <c r="A96" s="72" t="s">
        <v>470</v>
      </c>
      <c r="B96" s="36" t="s">
        <v>550</v>
      </c>
      <c r="C96" s="36"/>
      <c r="D96" s="44" t="str">
        <f>IF($C96="","",ROUND($C96*FACTOR_DIVISA,2))</f>
        <v/>
      </c>
      <c r="E96" s="44" t="str">
        <f>IF($C96="","",ROUND($C96*FACTOR_BCV,2))</f>
        <v/>
      </c>
    </row>
    <row r="97" ht="15.75" customHeight="1">
      <c r="A97" s="72" t="s">
        <v>470</v>
      </c>
      <c r="B97" s="36" t="s">
        <v>551</v>
      </c>
      <c r="C97" s="36"/>
      <c r="D97" s="44" t="str">
        <f>IF($C97="","",ROUND($C97*FACTOR_DIVISA,2))</f>
        <v/>
      </c>
      <c r="E97" s="44" t="str">
        <f>IF($C97="","",ROUND($C97*FACTOR_BCV,2))</f>
        <v/>
      </c>
    </row>
    <row r="98" ht="15.75" customHeight="1">
      <c r="A98" s="72" t="s">
        <v>470</v>
      </c>
      <c r="B98" s="36" t="s">
        <v>552</v>
      </c>
      <c r="C98" s="36"/>
      <c r="D98" s="44" t="str">
        <f>IF($C98="","",ROUND($C98*FACTOR_DIVISA,2))</f>
        <v/>
      </c>
      <c r="E98" s="44" t="str">
        <f>IF($C98="","",ROUND($C98*FACTOR_BCV,2))</f>
        <v/>
      </c>
    </row>
    <row r="99" ht="15.75" customHeight="1">
      <c r="A99" s="72" t="s">
        <v>470</v>
      </c>
      <c r="B99" s="36" t="s">
        <v>553</v>
      </c>
      <c r="C99" s="36"/>
      <c r="D99" s="44" t="str">
        <f>IF($C99="","",ROUND($C99*FACTOR_DIVISA,2))</f>
        <v/>
      </c>
      <c r="E99" s="44" t="str">
        <f>IF($C99="","",ROUND($C99*FACTOR_BCV,2))</f>
        <v/>
      </c>
    </row>
    <row r="100" ht="15.75" customHeight="1">
      <c r="A100" s="72" t="s">
        <v>470</v>
      </c>
      <c r="B100" s="36" t="s">
        <v>554</v>
      </c>
      <c r="C100" s="36"/>
      <c r="D100" s="44" t="str">
        <f>IF($C100="","",ROUND($C100*FACTOR_DIVISA,2))</f>
        <v/>
      </c>
      <c r="E100" s="44" t="str">
        <f>IF($C100="","",ROUND($C100*FACTOR_BCV,2))</f>
        <v/>
      </c>
    </row>
    <row r="101" ht="15.75" customHeight="1">
      <c r="A101" s="72" t="s">
        <v>470</v>
      </c>
      <c r="B101" s="36" t="s">
        <v>555</v>
      </c>
      <c r="C101" s="36"/>
      <c r="D101" s="44" t="str">
        <f>IF($C101="","",ROUND($C101*FACTOR_DIVISA,2))</f>
        <v/>
      </c>
      <c r="E101" s="44" t="str">
        <f>IF($C101="","",ROUND($C101*FACTOR_BCV,2))</f>
        <v/>
      </c>
    </row>
    <row r="102" ht="15.75" customHeight="1">
      <c r="A102" s="72" t="s">
        <v>470</v>
      </c>
      <c r="B102" s="36" t="s">
        <v>556</v>
      </c>
      <c r="C102" s="36"/>
      <c r="D102" s="44" t="str">
        <f>IF($C102="","",ROUND($C102*FACTOR_DIVISA,2))</f>
        <v/>
      </c>
      <c r="E102" s="44" t="str">
        <f>IF($C102="","",ROUND($C102*FACTOR_BCV,2))</f>
        <v/>
      </c>
    </row>
    <row r="103" ht="15.75" customHeight="1">
      <c r="A103" s="72" t="s">
        <v>470</v>
      </c>
      <c r="B103" s="36" t="s">
        <v>557</v>
      </c>
      <c r="C103" s="36"/>
      <c r="D103" s="44" t="str">
        <f>IF($C103="","",ROUND($C103*FACTOR_DIVISA,2))</f>
        <v/>
      </c>
      <c r="E103" s="44" t="str">
        <f>IF($C103="","",ROUND($C103*FACTOR_BCV,2))</f>
        <v/>
      </c>
    </row>
    <row r="104" ht="15.75" customHeight="1">
      <c r="A104" s="72" t="s">
        <v>470</v>
      </c>
      <c r="B104" s="36" t="s">
        <v>558</v>
      </c>
      <c r="C104" s="36"/>
      <c r="D104" s="44" t="str">
        <f>IF($C104="","",ROUND($C104*FACTOR_DIVISA,2))</f>
        <v/>
      </c>
      <c r="E104" s="44" t="str">
        <f>IF($C104="","",ROUND($C104*FACTOR_BCV,2))</f>
        <v/>
      </c>
    </row>
    <row r="105" ht="15.75" customHeight="1">
      <c r="A105" s="72" t="s">
        <v>470</v>
      </c>
      <c r="B105" s="36" t="s">
        <v>559</v>
      </c>
      <c r="C105" s="36"/>
      <c r="D105" s="44" t="str">
        <f>IF($C105="","",ROUND($C105*FACTOR_DIVISA,2))</f>
        <v/>
      </c>
      <c r="E105" s="44" t="str">
        <f>IF($C105="","",ROUND($C105*FACTOR_BCV,2))</f>
        <v/>
      </c>
    </row>
    <row r="106" ht="15.75" customHeight="1">
      <c r="A106" s="72" t="s">
        <v>470</v>
      </c>
      <c r="B106" s="36" t="s">
        <v>560</v>
      </c>
      <c r="C106" s="36"/>
      <c r="D106" s="44" t="str">
        <f>IF($C106="","",ROUND($C106*FACTOR_DIVISA,2))</f>
        <v/>
      </c>
      <c r="E106" s="44" t="str">
        <f>IF($C106="","",ROUND($C106*FACTOR_BCV,2))</f>
        <v/>
      </c>
    </row>
    <row r="107" ht="15.75" customHeight="1">
      <c r="A107" s="72" t="s">
        <v>561</v>
      </c>
      <c r="B107" s="36" t="s">
        <v>562</v>
      </c>
      <c r="C107" s="36"/>
      <c r="D107" s="44" t="str">
        <f>IF($C107="","",ROUND($C107*FACTOR_DIVISA,2))</f>
        <v/>
      </c>
      <c r="E107" s="44" t="str">
        <f>IF($C107="","",ROUND($C107*FACTOR_BCV,2))</f>
        <v/>
      </c>
    </row>
    <row r="108" ht="15.75" customHeight="1">
      <c r="A108" s="72" t="s">
        <v>561</v>
      </c>
      <c r="B108" s="36" t="s">
        <v>563</v>
      </c>
      <c r="C108" s="36"/>
      <c r="D108" s="44" t="str">
        <f>IF($C108="","",ROUND($C108*FACTOR_DIVISA,2))</f>
        <v/>
      </c>
      <c r="E108" s="44" t="str">
        <f>IF($C108="","",ROUND($C108*FACTOR_BCV,2))</f>
        <v/>
      </c>
    </row>
    <row r="109" ht="15.75" customHeight="1">
      <c r="A109" s="72" t="s">
        <v>561</v>
      </c>
      <c r="B109" s="36" t="s">
        <v>564</v>
      </c>
      <c r="C109" s="36"/>
      <c r="D109" s="44" t="str">
        <f>IF($C109="","",ROUND($C109*FACTOR_DIVISA,2))</f>
        <v/>
      </c>
      <c r="E109" s="44" t="str">
        <f>IF($C109="","",ROUND($C109*FACTOR_BCV,2))</f>
        <v/>
      </c>
    </row>
    <row r="110" ht="15.75" customHeight="1">
      <c r="A110" s="72" t="s">
        <v>561</v>
      </c>
      <c r="B110" s="36" t="s">
        <v>565</v>
      </c>
      <c r="C110" s="36"/>
      <c r="D110" s="44" t="str">
        <f>IF($C110="","",ROUND($C110*FACTOR_DIVISA,2))</f>
        <v/>
      </c>
      <c r="E110" s="44" t="str">
        <f>IF($C110="","",ROUND($C110*FACTOR_BCV,2))</f>
        <v/>
      </c>
    </row>
    <row r="111" ht="15.75" customHeight="1">
      <c r="A111" s="72" t="s">
        <v>561</v>
      </c>
      <c r="B111" s="36" t="s">
        <v>566</v>
      </c>
      <c r="C111" s="36"/>
      <c r="D111" s="44" t="str">
        <f>IF($C111="","",ROUND($C111*FACTOR_DIVISA,2))</f>
        <v/>
      </c>
      <c r="E111" s="44" t="str">
        <f>IF($C111="","",ROUND($C111*FACTOR_BCV,2))</f>
        <v/>
      </c>
    </row>
    <row r="112" ht="15.75" customHeight="1">
      <c r="A112" s="72" t="s">
        <v>561</v>
      </c>
      <c r="B112" s="36" t="s">
        <v>567</v>
      </c>
      <c r="C112" s="36"/>
      <c r="D112" s="44" t="str">
        <f>IF($C112="","",ROUND($C112*FACTOR_DIVISA,2))</f>
        <v/>
      </c>
      <c r="E112" s="44" t="str">
        <f>IF($C112="","",ROUND($C112*FACTOR_BCV,2))</f>
        <v/>
      </c>
    </row>
    <row r="113" ht="15.75" customHeight="1">
      <c r="A113" s="72" t="s">
        <v>561</v>
      </c>
      <c r="B113" s="36" t="s">
        <v>137</v>
      </c>
      <c r="C113" s="36"/>
      <c r="D113" s="44" t="str">
        <f>IF($C113="","",ROUND($C113*FACTOR_DIVISA,2))</f>
        <v/>
      </c>
      <c r="E113" s="44" t="str">
        <f>IF($C113="","",ROUND($C113*FACTOR_BCV,2))</f>
        <v/>
      </c>
    </row>
    <row r="114" ht="15.75" customHeight="1">
      <c r="A114" s="72" t="s">
        <v>561</v>
      </c>
      <c r="B114" s="36" t="s">
        <v>568</v>
      </c>
      <c r="C114" s="36"/>
      <c r="D114" s="44" t="str">
        <f>IF($C114="","",ROUND($C114*FACTOR_DIVISA,2))</f>
        <v/>
      </c>
      <c r="E114" s="44" t="str">
        <f>IF($C114="","",ROUND($C114*FACTOR_BCV,2))</f>
        <v/>
      </c>
    </row>
    <row r="115" ht="15.75" customHeight="1">
      <c r="A115" s="72" t="s">
        <v>561</v>
      </c>
      <c r="B115" s="36" t="s">
        <v>569</v>
      </c>
      <c r="C115" s="36"/>
      <c r="D115" s="44" t="str">
        <f>IF($C115="","",ROUND($C115*FACTOR_DIVISA,2))</f>
        <v/>
      </c>
      <c r="E115" s="44" t="str">
        <f>IF($C115="","",ROUND($C115*FACTOR_BCV,2))</f>
        <v/>
      </c>
    </row>
    <row r="116" ht="15.75" customHeight="1">
      <c r="A116" s="72" t="s">
        <v>561</v>
      </c>
      <c r="B116" s="36" t="s">
        <v>570</v>
      </c>
      <c r="C116" s="36"/>
      <c r="D116" s="44" t="str">
        <f>IF($C116="","",ROUND($C116*FACTOR_DIVISA,2))</f>
        <v/>
      </c>
      <c r="E116" s="44" t="str">
        <f>IF($C116="","",ROUND($C116*FACTOR_BCV,2))</f>
        <v/>
      </c>
    </row>
    <row r="117" ht="15.75" customHeight="1">
      <c r="A117" s="72" t="s">
        <v>561</v>
      </c>
      <c r="B117" s="36" t="s">
        <v>571</v>
      </c>
      <c r="C117" s="36"/>
      <c r="D117" s="44" t="str">
        <f>IF($C117="","",ROUND($C117*FACTOR_DIVISA,2))</f>
        <v/>
      </c>
      <c r="E117" s="44" t="str">
        <f>IF($C117="","",ROUND($C117*FACTOR_BCV,2))</f>
        <v/>
      </c>
    </row>
    <row r="118" ht="15.75" customHeight="1">
      <c r="A118" s="72" t="s">
        <v>561</v>
      </c>
      <c r="B118" s="36" t="s">
        <v>572</v>
      </c>
      <c r="C118" s="36"/>
      <c r="D118" s="44" t="str">
        <f>IF($C118="","",ROUND($C118*FACTOR_DIVISA,2))</f>
        <v/>
      </c>
      <c r="E118" s="44" t="str">
        <f>IF($C118="","",ROUND($C118*FACTOR_BCV,2))</f>
        <v/>
      </c>
    </row>
    <row r="119" ht="15.75" customHeight="1">
      <c r="A119" s="72" t="s">
        <v>561</v>
      </c>
      <c r="B119" s="36" t="s">
        <v>573</v>
      </c>
      <c r="C119" s="36"/>
      <c r="D119" s="44" t="str">
        <f>IF($C119="","",ROUND($C119*FACTOR_DIVISA,2))</f>
        <v/>
      </c>
      <c r="E119" s="44" t="str">
        <f>IF($C119="","",ROUND($C119*FACTOR_BCV,2))</f>
        <v/>
      </c>
    </row>
    <row r="120" ht="15.75" customHeight="1">
      <c r="A120" s="72" t="s">
        <v>561</v>
      </c>
      <c r="B120" s="36" t="s">
        <v>574</v>
      </c>
      <c r="C120" s="36"/>
      <c r="D120" s="44" t="str">
        <f>IF($C120="","",ROUND($C120*FACTOR_DIVISA,2))</f>
        <v/>
      </c>
      <c r="E120" s="44" t="str">
        <f>IF($C120="","",ROUND($C120*FACTOR_BCV,2))</f>
        <v/>
      </c>
    </row>
    <row r="121" ht="15.75" customHeight="1">
      <c r="A121" s="72" t="s">
        <v>561</v>
      </c>
      <c r="B121" s="36" t="s">
        <v>575</v>
      </c>
      <c r="C121" s="36"/>
      <c r="D121" s="44" t="str">
        <f>IF($C121="","",ROUND($C121*FACTOR_DIVISA,2))</f>
        <v/>
      </c>
      <c r="E121" s="44" t="str">
        <f>IF($C121="","",ROUND($C121*FACTOR_BCV,2))</f>
        <v/>
      </c>
    </row>
    <row r="122" ht="15.75" customHeight="1">
      <c r="A122" s="72" t="s">
        <v>561</v>
      </c>
      <c r="B122" s="36" t="s">
        <v>576</v>
      </c>
      <c r="C122" s="36"/>
      <c r="D122" s="44" t="str">
        <f>IF($C122="","",ROUND($C122*FACTOR_DIVISA,2))</f>
        <v/>
      </c>
      <c r="E122" s="44" t="str">
        <f>IF($C122="","",ROUND($C122*FACTOR_BCV,2))</f>
        <v/>
      </c>
    </row>
    <row r="123" ht="15.75" customHeight="1">
      <c r="A123" s="72" t="s">
        <v>561</v>
      </c>
      <c r="B123" s="36" t="s">
        <v>577</v>
      </c>
      <c r="C123" s="36"/>
      <c r="D123" s="44" t="str">
        <f>IF($C123="","",ROUND($C123*FACTOR_DIVISA,2))</f>
        <v/>
      </c>
      <c r="E123" s="44" t="str">
        <f>IF($C123="","",ROUND($C123*FACTOR_BCV,2))</f>
        <v/>
      </c>
    </row>
    <row r="124" ht="15.75" customHeight="1">
      <c r="A124" s="72" t="s">
        <v>561</v>
      </c>
      <c r="B124" s="36" t="s">
        <v>225</v>
      </c>
      <c r="C124" s="36"/>
      <c r="D124" s="44" t="str">
        <f>IF($C124="","",ROUND($C124*FACTOR_DIVISA,2))</f>
        <v/>
      </c>
      <c r="E124" s="44" t="str">
        <f>IF($C124="","",ROUND($C124*FACTOR_BCV,2))</f>
        <v/>
      </c>
    </row>
    <row r="125" ht="15.75" customHeight="1">
      <c r="A125" s="72" t="s">
        <v>561</v>
      </c>
      <c r="B125" s="36" t="s">
        <v>578</v>
      </c>
      <c r="C125" s="36"/>
      <c r="D125" s="44" t="str">
        <f>IF($C125="","",ROUND($C125*FACTOR_DIVISA,2))</f>
        <v/>
      </c>
      <c r="E125" s="44" t="str">
        <f>IF($C125="","",ROUND($C125*FACTOR_BCV,2))</f>
        <v/>
      </c>
    </row>
    <row r="126" ht="15.75" customHeight="1">
      <c r="A126" s="72" t="s">
        <v>561</v>
      </c>
      <c r="B126" s="36" t="s">
        <v>579</v>
      </c>
      <c r="C126" s="36"/>
      <c r="D126" s="44" t="str">
        <f>IF($C126="","",ROUND($C126*FACTOR_DIVISA,2))</f>
        <v/>
      </c>
      <c r="E126" s="44" t="str">
        <f>IF($C126="","",ROUND($C126*FACTOR_BCV,2))</f>
        <v/>
      </c>
    </row>
    <row r="127" ht="15.75" customHeight="1">
      <c r="A127" s="72" t="s">
        <v>561</v>
      </c>
      <c r="B127" s="36" t="s">
        <v>580</v>
      </c>
      <c r="C127" s="36"/>
      <c r="D127" s="44" t="str">
        <f>IF($C127="","",ROUND($C127*FACTOR_DIVISA,2))</f>
        <v/>
      </c>
      <c r="E127" s="44" t="str">
        <f>IF($C127="","",ROUND($C127*FACTOR_BCV,2))</f>
        <v/>
      </c>
    </row>
    <row r="128" ht="15.75" customHeight="1">
      <c r="A128" s="72" t="s">
        <v>561</v>
      </c>
      <c r="B128" s="36" t="s">
        <v>581</v>
      </c>
      <c r="C128" s="36"/>
      <c r="D128" s="44" t="str">
        <f>IF($C128="","",ROUND($C128*FACTOR_DIVISA,2))</f>
        <v/>
      </c>
      <c r="E128" s="44" t="str">
        <f>IF($C128="","",ROUND($C128*FACTOR_BCV,2))</f>
        <v/>
      </c>
    </row>
    <row r="129" ht="15.75" customHeight="1">
      <c r="A129" s="72" t="s">
        <v>561</v>
      </c>
      <c r="B129" s="36" t="s">
        <v>582</v>
      </c>
      <c r="C129" s="36"/>
      <c r="D129" s="44" t="str">
        <f>IF($C129="","",ROUND($C129*FACTOR_DIVISA,2))</f>
        <v/>
      </c>
      <c r="E129" s="44" t="str">
        <f>IF($C129="","",ROUND($C129*FACTOR_BCV,2))</f>
        <v/>
      </c>
    </row>
    <row r="130" ht="15.75" customHeight="1">
      <c r="A130" s="72" t="s">
        <v>561</v>
      </c>
      <c r="B130" s="36" t="s">
        <v>583</v>
      </c>
      <c r="C130" s="36"/>
      <c r="D130" s="44" t="str">
        <f>IF($C130="","",ROUND($C130*FACTOR_DIVISA,2))</f>
        <v/>
      </c>
      <c r="E130" s="44" t="str">
        <f>IF($C130="","",ROUND($C130*FACTOR_BCV,2))</f>
        <v/>
      </c>
    </row>
    <row r="131" ht="15.75" customHeight="1">
      <c r="A131" s="72" t="s">
        <v>561</v>
      </c>
      <c r="B131" s="36" t="s">
        <v>248</v>
      </c>
      <c r="C131" s="36"/>
      <c r="D131" s="44" t="str">
        <f>IF($C131="","",ROUND($C131*FACTOR_DIVISA,2))</f>
        <v/>
      </c>
      <c r="E131" s="44" t="str">
        <f>IF($C131="","",ROUND($C131*FACTOR_BCV,2))</f>
        <v/>
      </c>
    </row>
    <row r="132" ht="15.75" customHeight="1">
      <c r="A132" s="72" t="s">
        <v>561</v>
      </c>
      <c r="B132" s="36" t="s">
        <v>584</v>
      </c>
      <c r="C132" s="36"/>
      <c r="D132" s="44" t="str">
        <f>IF($C132="","",ROUND($C132*FACTOR_DIVISA,2))</f>
        <v/>
      </c>
      <c r="E132" s="44" t="str">
        <f>IF($C132="","",ROUND($C132*FACTOR_BCV,2))</f>
        <v/>
      </c>
    </row>
    <row r="133" ht="15.75" customHeight="1">
      <c r="A133" s="72" t="s">
        <v>561</v>
      </c>
      <c r="B133" s="36" t="s">
        <v>585</v>
      </c>
      <c r="C133" s="36"/>
      <c r="D133" s="44" t="str">
        <f>IF($C133="","",ROUND($C133*FACTOR_DIVISA,2))</f>
        <v/>
      </c>
      <c r="E133" s="44" t="str">
        <f>IF($C133="","",ROUND($C133*FACTOR_BCV,2))</f>
        <v/>
      </c>
    </row>
    <row r="134" ht="15.75" customHeight="1">
      <c r="A134" s="72" t="s">
        <v>561</v>
      </c>
      <c r="B134" s="36" t="s">
        <v>586</v>
      </c>
      <c r="C134" s="36"/>
      <c r="D134" s="44" t="str">
        <f>IF($C134="","",ROUND($C134*FACTOR_DIVISA,2))</f>
        <v/>
      </c>
      <c r="E134" s="44" t="str">
        <f>IF($C134="","",ROUND($C134*FACTOR_BCV,2))</f>
        <v/>
      </c>
    </row>
    <row r="135" ht="15.75" customHeight="1">
      <c r="A135" s="72" t="s">
        <v>561</v>
      </c>
      <c r="B135" s="36" t="s">
        <v>587</v>
      </c>
      <c r="C135" s="36"/>
      <c r="D135" s="44" t="str">
        <f>IF($C135="","",ROUND($C135*FACTOR_DIVISA,2))</f>
        <v/>
      </c>
      <c r="E135" s="44" t="str">
        <f>IF($C135="","",ROUND($C135*FACTOR_BCV,2))</f>
        <v/>
      </c>
    </row>
    <row r="136" ht="15.75" customHeight="1">
      <c r="A136" s="72" t="s">
        <v>561</v>
      </c>
      <c r="B136" s="36" t="s">
        <v>588</v>
      </c>
      <c r="C136" s="36"/>
      <c r="D136" s="44" t="str">
        <f>IF($C136="","",ROUND($C136*FACTOR_DIVISA,2))</f>
        <v/>
      </c>
      <c r="E136" s="44" t="str">
        <f>IF($C136="","",ROUND($C136*FACTOR_BCV,2))</f>
        <v/>
      </c>
    </row>
    <row r="137" ht="15.75" customHeight="1">
      <c r="A137" s="72" t="s">
        <v>561</v>
      </c>
      <c r="B137" s="36" t="s">
        <v>589</v>
      </c>
      <c r="C137" s="36"/>
      <c r="D137" s="44" t="str">
        <f>IF($C137="","",ROUND($C137*FACTOR_DIVISA,2))</f>
        <v/>
      </c>
      <c r="E137" s="44" t="str">
        <f>IF($C137="","",ROUND($C137*FACTOR_BCV,2))</f>
        <v/>
      </c>
    </row>
    <row r="138" ht="15.75" customHeight="1">
      <c r="A138" s="72" t="s">
        <v>561</v>
      </c>
      <c r="B138" s="36" t="s">
        <v>590</v>
      </c>
      <c r="C138" s="36"/>
      <c r="D138" s="44" t="str">
        <f>IF($C138="","",ROUND($C138*FACTOR_DIVISA,2))</f>
        <v/>
      </c>
      <c r="E138" s="44" t="str">
        <f>IF($C138="","",ROUND($C138*FACTOR_BCV,2))</f>
        <v/>
      </c>
    </row>
    <row r="139" ht="15.75" customHeight="1">
      <c r="A139" s="72" t="s">
        <v>561</v>
      </c>
      <c r="B139" s="36" t="s">
        <v>591</v>
      </c>
      <c r="C139" s="36"/>
      <c r="D139" s="44" t="str">
        <f>IF($C139="","",ROUND($C139*FACTOR_DIVISA,2))</f>
        <v/>
      </c>
      <c r="E139" s="44" t="str">
        <f>IF($C139="","",ROUND($C139*FACTOR_BCV,2))</f>
        <v/>
      </c>
    </row>
    <row r="140" ht="15.75" customHeight="1">
      <c r="A140" s="72" t="s">
        <v>561</v>
      </c>
      <c r="B140" s="36" t="s">
        <v>592</v>
      </c>
      <c r="C140" s="36"/>
      <c r="D140" s="44" t="str">
        <f>IF($C140="","",ROUND($C140*FACTOR_DIVISA,2))</f>
        <v/>
      </c>
      <c r="E140" s="44" t="str">
        <f>IF($C140="","",ROUND($C140*FACTOR_BCV,2))</f>
        <v/>
      </c>
    </row>
    <row r="141" ht="15.75" customHeight="1">
      <c r="A141" s="72" t="s">
        <v>561</v>
      </c>
      <c r="B141" s="36" t="s">
        <v>593</v>
      </c>
      <c r="C141" s="36"/>
      <c r="D141" s="44" t="str">
        <f>IF($C141="","",ROUND($C141*FACTOR_DIVISA,2))</f>
        <v/>
      </c>
      <c r="E141" s="44" t="str">
        <f>IF($C141="","",ROUND($C141*FACTOR_BCV,2))</f>
        <v/>
      </c>
    </row>
    <row r="142" ht="15.75" customHeight="1">
      <c r="A142" s="72" t="s">
        <v>561</v>
      </c>
      <c r="B142" s="36" t="s">
        <v>594</v>
      </c>
      <c r="C142" s="36"/>
      <c r="D142" s="44" t="str">
        <f>IF($C142="","",ROUND($C142*FACTOR_DIVISA,2))</f>
        <v/>
      </c>
      <c r="E142" s="44" t="str">
        <f>IF($C142="","",ROUND($C142*FACTOR_BCV,2))</f>
        <v/>
      </c>
    </row>
    <row r="143" ht="15.75" customHeight="1">
      <c r="A143" s="72" t="s">
        <v>561</v>
      </c>
      <c r="B143" s="36" t="s">
        <v>595</v>
      </c>
      <c r="C143" s="36"/>
      <c r="D143" s="44" t="str">
        <f>IF($C143="","",ROUND($C143*FACTOR_DIVISA,2))</f>
        <v/>
      </c>
      <c r="E143" s="44" t="str">
        <f>IF($C143="","",ROUND($C143*FACTOR_BCV,2))</f>
        <v/>
      </c>
    </row>
    <row r="144" ht="15.75" customHeight="1">
      <c r="A144" s="72" t="s">
        <v>561</v>
      </c>
      <c r="B144" s="36" t="s">
        <v>596</v>
      </c>
      <c r="C144" s="36"/>
      <c r="D144" s="44" t="str">
        <f>IF($C144="","",ROUND($C144*FACTOR_DIVISA,2))</f>
        <v/>
      </c>
      <c r="E144" s="44" t="str">
        <f>IF($C144="","",ROUND($C144*FACTOR_BCV,2))</f>
        <v/>
      </c>
    </row>
    <row r="145" ht="15.75" customHeight="1">
      <c r="A145" s="72" t="s">
        <v>561</v>
      </c>
      <c r="B145" s="36" t="s">
        <v>597</v>
      </c>
      <c r="C145" s="36"/>
      <c r="D145" s="44" t="str">
        <f>IF($C145="","",ROUND($C145*FACTOR_DIVISA,2))</f>
        <v/>
      </c>
      <c r="E145" s="44" t="str">
        <f>IF($C145="","",ROUND($C145*FACTOR_BCV,2))</f>
        <v/>
      </c>
    </row>
    <row r="146" ht="15.75" customHeight="1">
      <c r="A146" s="72" t="s">
        <v>561</v>
      </c>
      <c r="B146" s="36" t="s">
        <v>598</v>
      </c>
      <c r="C146" s="36"/>
      <c r="D146" s="44" t="str">
        <f>IF($C146="","",ROUND($C146*FACTOR_DIVISA,2))</f>
        <v/>
      </c>
      <c r="E146" s="44" t="str">
        <f>IF($C146="","",ROUND($C146*FACTOR_BCV,2))</f>
        <v/>
      </c>
    </row>
    <row r="147" ht="15.75" customHeight="1">
      <c r="A147" s="72" t="s">
        <v>561</v>
      </c>
      <c r="B147" s="36" t="s">
        <v>599</v>
      </c>
      <c r="C147" s="36"/>
      <c r="D147" s="44" t="str">
        <f>IF($C147="","",ROUND($C147*FACTOR_DIVISA,2))</f>
        <v/>
      </c>
      <c r="E147" s="44" t="str">
        <f>IF($C147="","",ROUND($C147*FACTOR_BCV,2))</f>
        <v/>
      </c>
    </row>
    <row r="148" ht="15.75" customHeight="1">
      <c r="A148" s="72" t="s">
        <v>561</v>
      </c>
      <c r="B148" s="36" t="s">
        <v>600</v>
      </c>
      <c r="C148" s="36"/>
      <c r="D148" s="44" t="str">
        <f>IF($C148="","",ROUND($C148*FACTOR_DIVISA,2))</f>
        <v/>
      </c>
      <c r="E148" s="44" t="str">
        <f>IF($C148="","",ROUND($C148*FACTOR_BCV,2))</f>
        <v/>
      </c>
    </row>
    <row r="149" ht="15.75" customHeight="1">
      <c r="A149" s="72" t="s">
        <v>561</v>
      </c>
      <c r="B149" s="36" t="s">
        <v>601</v>
      </c>
      <c r="C149" s="36"/>
      <c r="D149" s="44" t="str">
        <f>IF($C149="","",ROUND($C149*FACTOR_DIVISA,2))</f>
        <v/>
      </c>
      <c r="E149" s="44" t="str">
        <f>IF($C149="","",ROUND($C149*FACTOR_BCV,2))</f>
        <v/>
      </c>
    </row>
    <row r="150" ht="15.75" customHeight="1">
      <c r="A150" s="72" t="s">
        <v>561</v>
      </c>
      <c r="B150" s="36" t="s">
        <v>602</v>
      </c>
      <c r="C150" s="36"/>
      <c r="D150" s="44" t="str">
        <f>IF($C150="","",ROUND($C150*FACTOR_DIVISA,2))</f>
        <v/>
      </c>
      <c r="E150" s="44" t="str">
        <f>IF($C150="","",ROUND($C150*FACTOR_BCV,2))</f>
        <v/>
      </c>
    </row>
    <row r="151" ht="15.75" customHeight="1">
      <c r="A151" s="72" t="s">
        <v>561</v>
      </c>
      <c r="B151" s="36" t="s">
        <v>603</v>
      </c>
      <c r="C151" s="36"/>
      <c r="D151" s="44" t="str">
        <f>IF($C151="","",ROUND($C151*FACTOR_DIVISA,2))</f>
        <v/>
      </c>
      <c r="E151" s="44" t="str">
        <f>IF($C151="","",ROUND($C151*FACTOR_BCV,2))</f>
        <v/>
      </c>
    </row>
    <row r="152" ht="15.75" customHeight="1">
      <c r="A152" s="72" t="s">
        <v>561</v>
      </c>
      <c r="B152" s="36" t="s">
        <v>604</v>
      </c>
      <c r="C152" s="36"/>
      <c r="D152" s="44" t="str">
        <f>IF($C152="","",ROUND($C152*FACTOR_DIVISA,2))</f>
        <v/>
      </c>
      <c r="E152" s="44" t="str">
        <f>IF($C152="","",ROUND($C152*FACTOR_BCV,2))</f>
        <v/>
      </c>
    </row>
    <row r="153" ht="15.75" customHeight="1">
      <c r="A153" s="72" t="s">
        <v>561</v>
      </c>
      <c r="B153" s="36" t="s">
        <v>605</v>
      </c>
      <c r="C153" s="36"/>
      <c r="D153" s="44" t="str">
        <f>IF($C153="","",ROUND($C153*FACTOR_DIVISA,2))</f>
        <v/>
      </c>
      <c r="E153" s="44" t="str">
        <f>IF($C153="","",ROUND($C153*FACTOR_BCV,2))</f>
        <v/>
      </c>
    </row>
    <row r="154" ht="15.75" customHeight="1">
      <c r="A154" s="72" t="s">
        <v>561</v>
      </c>
      <c r="B154" s="36" t="s">
        <v>606</v>
      </c>
      <c r="C154" s="36"/>
      <c r="D154" s="44" t="str">
        <f>IF($C154="","",ROUND($C154*FACTOR_DIVISA,2))</f>
        <v/>
      </c>
      <c r="E154" s="44" t="str">
        <f>IF($C154="","",ROUND($C154*FACTOR_BCV,2))</f>
        <v/>
      </c>
    </row>
    <row r="155" ht="15.75" customHeight="1">
      <c r="A155" s="72" t="s">
        <v>561</v>
      </c>
      <c r="B155" s="36" t="s">
        <v>607</v>
      </c>
      <c r="C155" s="36"/>
      <c r="D155" s="44" t="str">
        <f>IF($C155="","",ROUND($C155*FACTOR_DIVISA,2))</f>
        <v/>
      </c>
      <c r="E155" s="44" t="str">
        <f>IF($C155="","",ROUND($C155*FACTOR_BCV,2))</f>
        <v/>
      </c>
    </row>
    <row r="156" ht="15.75" customHeight="1">
      <c r="A156" s="72" t="s">
        <v>561</v>
      </c>
      <c r="B156" s="36" t="s">
        <v>608</v>
      </c>
      <c r="C156" s="36"/>
      <c r="D156" s="44" t="str">
        <f>IF($C156="","",ROUND($C156*FACTOR_DIVISA,2))</f>
        <v/>
      </c>
      <c r="E156" s="44" t="str">
        <f>IF($C156="","",ROUND($C156*FACTOR_BCV,2))</f>
        <v/>
      </c>
    </row>
    <row r="157" ht="15.75" customHeight="1">
      <c r="A157" s="72" t="s">
        <v>561</v>
      </c>
      <c r="B157" s="36" t="s">
        <v>609</v>
      </c>
      <c r="C157" s="36"/>
      <c r="D157" s="44" t="str">
        <f>IF($C157="","",ROUND($C157*FACTOR_DIVISA,2))</f>
        <v/>
      </c>
      <c r="E157" s="44" t="str">
        <f>IF($C157="","",ROUND($C157*FACTOR_BCV,2))</f>
        <v/>
      </c>
    </row>
    <row r="158" ht="15.75" customHeight="1">
      <c r="A158" s="72" t="s">
        <v>561</v>
      </c>
      <c r="B158" s="36" t="s">
        <v>610</v>
      </c>
      <c r="C158" s="36"/>
      <c r="D158" s="44" t="str">
        <f>IF($C158="","",ROUND($C158*FACTOR_DIVISA,2))</f>
        <v/>
      </c>
      <c r="E158" s="44" t="str">
        <f>IF($C158="","",ROUND($C158*FACTOR_BCV,2))</f>
        <v/>
      </c>
    </row>
    <row r="159" ht="15.75" customHeight="1">
      <c r="A159" s="72" t="s">
        <v>561</v>
      </c>
      <c r="B159" s="36" t="s">
        <v>611</v>
      </c>
      <c r="C159" s="36"/>
      <c r="D159" s="44" t="str">
        <f>IF($C159="","",ROUND($C159*FACTOR_DIVISA,2))</f>
        <v/>
      </c>
      <c r="E159" s="44" t="str">
        <f>IF($C159="","",ROUND($C159*FACTOR_BCV,2))</f>
        <v/>
      </c>
    </row>
    <row r="160" ht="15.75" customHeight="1">
      <c r="A160" s="72" t="s">
        <v>561</v>
      </c>
      <c r="B160" s="36" t="s">
        <v>173</v>
      </c>
      <c r="C160" s="36"/>
      <c r="D160" s="44" t="str">
        <f>IF($C160="","",ROUND($C160*FACTOR_DIVISA,2))</f>
        <v/>
      </c>
      <c r="E160" s="44" t="str">
        <f>IF($C160="","",ROUND($C160*FACTOR_BCV,2))</f>
        <v/>
      </c>
    </row>
    <row r="161" ht="15.75" customHeight="1">
      <c r="A161" s="72" t="s">
        <v>561</v>
      </c>
      <c r="B161" s="36" t="s">
        <v>612</v>
      </c>
      <c r="C161" s="39">
        <v>12.0</v>
      </c>
      <c r="D161" s="44">
        <f>IF($C161="","",ROUND($C161*FACTOR_DIVISA,2))</f>
        <v>20.4</v>
      </c>
      <c r="E161" s="44">
        <f>IF($C161="","",ROUND($C161*FACTOR_BCV,2))</f>
        <v>26.4</v>
      </c>
    </row>
    <row r="162" ht="15.75" customHeight="1">
      <c r="A162" s="72" t="s">
        <v>561</v>
      </c>
      <c r="B162" s="36" t="s">
        <v>613</v>
      </c>
      <c r="C162" s="36"/>
      <c r="D162" s="44" t="str">
        <f>IF($C162="","",ROUND($C162*FACTOR_DIVISA,2))</f>
        <v/>
      </c>
      <c r="E162" s="44" t="str">
        <f>IF($C162="","",ROUND($C162*FACTOR_BCV,2))</f>
        <v/>
      </c>
    </row>
    <row r="163" ht="15.75" customHeight="1">
      <c r="A163" s="72" t="s">
        <v>561</v>
      </c>
      <c r="B163" s="36" t="s">
        <v>614</v>
      </c>
      <c r="C163" s="36"/>
      <c r="D163" s="44" t="str">
        <f>IF($C163="","",ROUND($C163*FACTOR_DIVISA,2))</f>
        <v/>
      </c>
      <c r="E163" s="44" t="str">
        <f>IF($C163="","",ROUND($C163*FACTOR_BCV,2))</f>
        <v/>
      </c>
    </row>
    <row r="164" ht="15.75" customHeight="1">
      <c r="A164" s="72" t="s">
        <v>561</v>
      </c>
      <c r="B164" s="36" t="s">
        <v>615</v>
      </c>
      <c r="C164" s="36"/>
      <c r="D164" s="44" t="str">
        <f>IF($C164="","",ROUND($C164*FACTOR_DIVISA,2))</f>
        <v/>
      </c>
      <c r="E164" s="44" t="str">
        <f>IF($C164="","",ROUND($C164*FACTOR_BCV,2))</f>
        <v/>
      </c>
    </row>
    <row r="165" ht="15.75" customHeight="1">
      <c r="A165" s="72" t="s">
        <v>561</v>
      </c>
      <c r="B165" s="36" t="s">
        <v>616</v>
      </c>
      <c r="C165" s="36"/>
      <c r="D165" s="44" t="str">
        <f>IF($C165="","",ROUND($C165*FACTOR_DIVISA,2))</f>
        <v/>
      </c>
      <c r="E165" s="44" t="str">
        <f>IF($C165="","",ROUND($C165*FACTOR_BCV,2))</f>
        <v/>
      </c>
    </row>
    <row r="166" ht="15.75" customHeight="1">
      <c r="A166" s="72" t="s">
        <v>561</v>
      </c>
      <c r="B166" s="36" t="s">
        <v>617</v>
      </c>
      <c r="C166" s="36"/>
      <c r="D166" s="44" t="str">
        <f>IF($C166="","",ROUND($C166*FACTOR_DIVISA,2))</f>
        <v/>
      </c>
      <c r="E166" s="44" t="str">
        <f>IF($C166="","",ROUND($C166*FACTOR_BCV,2))</f>
        <v/>
      </c>
    </row>
    <row r="167" ht="15.75" customHeight="1">
      <c r="A167" s="72" t="s">
        <v>561</v>
      </c>
      <c r="B167" s="36" t="s">
        <v>618</v>
      </c>
      <c r="C167" s="36"/>
      <c r="D167" s="44" t="str">
        <f>IF($C167="","",ROUND($C167*FACTOR_DIVISA,2))</f>
        <v/>
      </c>
      <c r="E167" s="44" t="str">
        <f>IF($C167="","",ROUND($C167*FACTOR_BCV,2))</f>
        <v/>
      </c>
    </row>
    <row r="168" ht="15.75" customHeight="1">
      <c r="A168" s="72" t="s">
        <v>561</v>
      </c>
      <c r="B168" s="36" t="s">
        <v>619</v>
      </c>
      <c r="C168" s="36"/>
      <c r="D168" s="44" t="str">
        <f>IF($C168="","",ROUND($C168*FACTOR_DIVISA,2))</f>
        <v/>
      </c>
      <c r="E168" s="44" t="str">
        <f>IF($C168="","",ROUND($C168*FACTOR_BCV,2))</f>
        <v/>
      </c>
    </row>
    <row r="169" ht="15.75" customHeight="1">
      <c r="A169" s="72" t="s">
        <v>561</v>
      </c>
      <c r="B169" s="36" t="s">
        <v>620</v>
      </c>
      <c r="C169" s="36"/>
      <c r="D169" s="44" t="str">
        <f>IF($C169="","",ROUND($C169*FACTOR_DIVISA,2))</f>
        <v/>
      </c>
      <c r="E169" s="44" t="str">
        <f>IF($C169="","",ROUND($C169*FACTOR_BCV,2))</f>
        <v/>
      </c>
    </row>
    <row r="170" ht="15.75" customHeight="1">
      <c r="A170" s="72" t="s">
        <v>561</v>
      </c>
      <c r="B170" s="36" t="s">
        <v>621</v>
      </c>
      <c r="C170" s="36"/>
      <c r="D170" s="44" t="str">
        <f>IF($C170="","",ROUND($C170*FACTOR_DIVISA,2))</f>
        <v/>
      </c>
      <c r="E170" s="44" t="str">
        <f>IF($C170="","",ROUND($C170*FACTOR_BCV,2))</f>
        <v/>
      </c>
    </row>
    <row r="171" ht="15.75" customHeight="1">
      <c r="A171" s="72" t="s">
        <v>561</v>
      </c>
      <c r="B171" s="36" t="s">
        <v>622</v>
      </c>
      <c r="C171" s="36"/>
      <c r="D171" s="44" t="str">
        <f>IF($C171="","",ROUND($C171*FACTOR_DIVISA,2))</f>
        <v/>
      </c>
      <c r="E171" s="44" t="str">
        <f>IF($C171="","",ROUND($C171*FACTOR_BCV,2))</f>
        <v/>
      </c>
    </row>
    <row r="172" ht="15.75" customHeight="1">
      <c r="A172" s="72" t="s">
        <v>561</v>
      </c>
      <c r="B172" s="36" t="s">
        <v>623</v>
      </c>
      <c r="C172" s="36"/>
      <c r="D172" s="44" t="str">
        <f>IF($C172="","",ROUND($C172*FACTOR_DIVISA,2))</f>
        <v/>
      </c>
      <c r="E172" s="44" t="str">
        <f>IF($C172="","",ROUND($C172*FACTOR_BCV,2))</f>
        <v/>
      </c>
    </row>
    <row r="173" ht="15.75" customHeight="1">
      <c r="A173" s="72" t="s">
        <v>561</v>
      </c>
      <c r="B173" s="36" t="s">
        <v>624</v>
      </c>
      <c r="C173" s="36"/>
      <c r="D173" s="44" t="str">
        <f>IF($C173="","",ROUND($C173*FACTOR_DIVISA,2))</f>
        <v/>
      </c>
      <c r="E173" s="44" t="str">
        <f>IF($C173="","",ROUND($C173*FACTOR_BCV,2))</f>
        <v/>
      </c>
    </row>
    <row r="174" ht="15.75" customHeight="1">
      <c r="A174" s="72" t="s">
        <v>561</v>
      </c>
      <c r="B174" s="36" t="s">
        <v>625</v>
      </c>
      <c r="C174" s="36"/>
      <c r="D174" s="44" t="str">
        <f>IF($C174="","",ROUND($C174*FACTOR_DIVISA,2))</f>
        <v/>
      </c>
      <c r="E174" s="44" t="str">
        <f>IF($C174="","",ROUND($C174*FACTOR_BCV,2))</f>
        <v/>
      </c>
    </row>
    <row r="175" ht="15.75" customHeight="1">
      <c r="A175" s="72" t="s">
        <v>561</v>
      </c>
      <c r="B175" s="36" t="s">
        <v>186</v>
      </c>
      <c r="C175" s="36"/>
      <c r="D175" s="44" t="str">
        <f>IF($C175="","",ROUND($C175*FACTOR_DIVISA,2))</f>
        <v/>
      </c>
      <c r="E175" s="44" t="str">
        <f>IF($C175="","",ROUND($C175*FACTOR_BCV,2))</f>
        <v/>
      </c>
    </row>
    <row r="176" ht="15.75" customHeight="1">
      <c r="A176" s="72" t="s">
        <v>561</v>
      </c>
      <c r="B176" s="36" t="s">
        <v>271</v>
      </c>
      <c r="C176" s="39">
        <v>12.0</v>
      </c>
      <c r="D176" s="44">
        <f>IF($C176="","",ROUND($C176*FACTOR_DIVISA,2))</f>
        <v>20.4</v>
      </c>
      <c r="E176" s="44">
        <f>IF($C176="","",ROUND($C176*FACTOR_BCV,2))</f>
        <v>26.4</v>
      </c>
    </row>
    <row r="177" ht="15.75" customHeight="1">
      <c r="A177" s="72" t="s">
        <v>561</v>
      </c>
      <c r="B177" s="36" t="s">
        <v>626</v>
      </c>
      <c r="C177" s="36"/>
      <c r="D177" s="44" t="str">
        <f>IF($C177="","",ROUND($C177*FACTOR_DIVISA,2))</f>
        <v/>
      </c>
      <c r="E177" s="44" t="str">
        <f>IF($C177="","",ROUND($C177*FACTOR_BCV,2))</f>
        <v/>
      </c>
    </row>
    <row r="178" ht="15.75" customHeight="1">
      <c r="A178" s="72" t="s">
        <v>561</v>
      </c>
      <c r="B178" s="36" t="s">
        <v>627</v>
      </c>
      <c r="C178" s="36"/>
      <c r="D178" s="44" t="str">
        <f>IF($C178="","",ROUND($C178*FACTOR_DIVISA,2))</f>
        <v/>
      </c>
      <c r="E178" s="44" t="str">
        <f>IF($C178="","",ROUND($C178*FACTOR_BCV,2))</f>
        <v/>
      </c>
    </row>
    <row r="179" ht="15.75" customHeight="1">
      <c r="A179" s="72" t="s">
        <v>561</v>
      </c>
      <c r="B179" s="36" t="s">
        <v>317</v>
      </c>
      <c r="C179" s="39">
        <v>12.0</v>
      </c>
      <c r="D179" s="44">
        <f>IF($C179="","",ROUND($C179*FACTOR_DIVISA,2))</f>
        <v>20.4</v>
      </c>
      <c r="E179" s="44">
        <f>IF($C179="","",ROUND($C179*FACTOR_BCV,2))</f>
        <v>26.4</v>
      </c>
    </row>
    <row r="180" ht="15.75" customHeight="1">
      <c r="A180" s="72" t="s">
        <v>561</v>
      </c>
      <c r="B180" s="36" t="s">
        <v>628</v>
      </c>
      <c r="C180" s="36"/>
      <c r="D180" s="44" t="str">
        <f>IF($C180="","",ROUND($C180*FACTOR_DIVISA,2))</f>
        <v/>
      </c>
      <c r="E180" s="44" t="str">
        <f>IF($C180="","",ROUND($C180*FACTOR_BCV,2))</f>
        <v/>
      </c>
    </row>
    <row r="181" ht="15.75" customHeight="1">
      <c r="A181" s="72" t="s">
        <v>561</v>
      </c>
      <c r="B181" s="36" t="s">
        <v>291</v>
      </c>
      <c r="C181" s="39">
        <v>18.0</v>
      </c>
      <c r="D181" s="44">
        <f>IF($C181="","",ROUND($C181*FACTOR_DIVISA,2))</f>
        <v>30.6</v>
      </c>
      <c r="E181" s="44">
        <f>IF($C181="","",ROUND($C181*FACTOR_BCV,2))</f>
        <v>39.6</v>
      </c>
    </row>
    <row r="182" ht="15.75" customHeight="1">
      <c r="A182" s="72" t="s">
        <v>561</v>
      </c>
      <c r="B182" s="36" t="s">
        <v>629</v>
      </c>
      <c r="C182" s="36"/>
      <c r="D182" s="44" t="str">
        <f>IF($C182="","",ROUND($C182*FACTOR_DIVISA,2))</f>
        <v/>
      </c>
      <c r="E182" s="44" t="str">
        <f>IF($C182="","",ROUND($C182*FACTOR_BCV,2))</f>
        <v/>
      </c>
    </row>
    <row r="183" ht="15.75" customHeight="1">
      <c r="A183" s="72" t="s">
        <v>561</v>
      </c>
      <c r="B183" s="36" t="s">
        <v>630</v>
      </c>
      <c r="C183" s="36"/>
      <c r="D183" s="44" t="str">
        <f>IF($C183="","",ROUND($C183*FACTOR_DIVISA,2))</f>
        <v/>
      </c>
      <c r="E183" s="44" t="str">
        <f>IF($C183="","",ROUND($C183*FACTOR_BCV,2))</f>
        <v/>
      </c>
    </row>
    <row r="184" ht="15.75" customHeight="1">
      <c r="A184" s="72" t="s">
        <v>561</v>
      </c>
      <c r="B184" s="36" t="s">
        <v>631</v>
      </c>
      <c r="C184" s="39">
        <v>12.0</v>
      </c>
      <c r="D184" s="44">
        <f>IF($C184="","",ROUND($C184*FACTOR_DIVISA,2))</f>
        <v>20.4</v>
      </c>
      <c r="E184" s="44">
        <f>IF($C184="","",ROUND($C184*FACTOR_BCV,2))</f>
        <v>26.4</v>
      </c>
    </row>
    <row r="185" ht="15.75" customHeight="1">
      <c r="A185" s="72" t="s">
        <v>561</v>
      </c>
      <c r="B185" s="36" t="s">
        <v>340</v>
      </c>
      <c r="C185" s="36"/>
      <c r="D185" s="44" t="str">
        <f>IF($C185="","",ROUND($C185*FACTOR_DIVISA,2))</f>
        <v/>
      </c>
      <c r="E185" s="44" t="str">
        <f>IF($C185="","",ROUND($C185*FACTOR_BCV,2))</f>
        <v/>
      </c>
    </row>
    <row r="186" ht="15.75" customHeight="1">
      <c r="A186" s="72" t="s">
        <v>561</v>
      </c>
      <c r="B186" s="36" t="s">
        <v>158</v>
      </c>
      <c r="C186" s="36"/>
      <c r="D186" s="44" t="str">
        <f>IF($C186="","",ROUND($C186*FACTOR_DIVISA,2))</f>
        <v/>
      </c>
      <c r="E186" s="44" t="str">
        <f>IF($C186="","",ROUND($C186*FACTOR_BCV,2))</f>
        <v/>
      </c>
    </row>
    <row r="187" ht="15.75" customHeight="1">
      <c r="A187" s="72" t="s">
        <v>561</v>
      </c>
      <c r="B187" s="36" t="s">
        <v>632</v>
      </c>
      <c r="C187" s="36"/>
      <c r="D187" s="44" t="str">
        <f>IF($C187="","",ROUND($C187*FACTOR_DIVISA,2))</f>
        <v/>
      </c>
      <c r="E187" s="44" t="str">
        <f>IF($C187="","",ROUND($C187*FACTOR_BCV,2))</f>
        <v/>
      </c>
    </row>
    <row r="188" ht="15.75" customHeight="1">
      <c r="A188" s="72" t="s">
        <v>561</v>
      </c>
      <c r="B188" s="36" t="s">
        <v>633</v>
      </c>
      <c r="C188" s="36"/>
      <c r="D188" s="44" t="str">
        <f>IF($C188="","",ROUND($C188*FACTOR_DIVISA,2))</f>
        <v/>
      </c>
      <c r="E188" s="44" t="str">
        <f>IF($C188="","",ROUND($C188*FACTOR_BCV,2))</f>
        <v/>
      </c>
    </row>
    <row r="189" ht="15.75" customHeight="1">
      <c r="A189" s="72" t="s">
        <v>561</v>
      </c>
      <c r="B189" s="36" t="s">
        <v>634</v>
      </c>
      <c r="C189" s="36"/>
      <c r="D189" s="44" t="str">
        <f>IF($C189="","",ROUND($C189*FACTOR_DIVISA,2))</f>
        <v/>
      </c>
      <c r="E189" s="44" t="str">
        <f>IF($C189="","",ROUND($C189*FACTOR_BCV,2))</f>
        <v/>
      </c>
    </row>
    <row r="190" ht="15.75" customHeight="1">
      <c r="A190" s="72" t="s">
        <v>561</v>
      </c>
      <c r="B190" s="36" t="s">
        <v>635</v>
      </c>
      <c r="C190" s="36"/>
      <c r="D190" s="44" t="str">
        <f>IF($C190="","",ROUND($C190*FACTOR_DIVISA,2))</f>
        <v/>
      </c>
      <c r="E190" s="44" t="str">
        <f>IF($C190="","",ROUND($C190*FACTOR_BCV,2))</f>
        <v/>
      </c>
    </row>
    <row r="191" ht="15.75" customHeight="1">
      <c r="A191" s="72" t="s">
        <v>561</v>
      </c>
      <c r="B191" s="36" t="s">
        <v>636</v>
      </c>
      <c r="C191" s="36"/>
      <c r="D191" s="44" t="str">
        <f>IF($C191="","",ROUND($C191*FACTOR_DIVISA,2))</f>
        <v/>
      </c>
      <c r="E191" s="44" t="str">
        <f>IF($C191="","",ROUND($C191*FACTOR_BCV,2))</f>
        <v/>
      </c>
    </row>
    <row r="192" ht="15.75" customHeight="1">
      <c r="A192" s="72" t="s">
        <v>561</v>
      </c>
      <c r="B192" s="36" t="s">
        <v>637</v>
      </c>
      <c r="C192" s="36"/>
      <c r="D192" s="44" t="str">
        <f>IF($C192="","",ROUND($C192*FACTOR_DIVISA,2))</f>
        <v/>
      </c>
      <c r="E192" s="44" t="str">
        <f>IF($C192="","",ROUND($C192*FACTOR_BCV,2))</f>
        <v/>
      </c>
    </row>
    <row r="193" ht="15.75" customHeight="1">
      <c r="A193" s="72" t="s">
        <v>561</v>
      </c>
      <c r="B193" s="36" t="s">
        <v>638</v>
      </c>
      <c r="C193" s="36"/>
      <c r="D193" s="44" t="str">
        <f>IF($C193="","",ROUND($C193*FACTOR_DIVISA,2))</f>
        <v/>
      </c>
      <c r="E193" s="44" t="str">
        <f>IF($C193="","",ROUND($C193*FACTOR_BCV,2))</f>
        <v/>
      </c>
    </row>
    <row r="194" ht="15.75" customHeight="1">
      <c r="A194" s="72" t="s">
        <v>561</v>
      </c>
      <c r="B194" s="36" t="s">
        <v>639</v>
      </c>
      <c r="C194" s="36"/>
      <c r="D194" s="44" t="str">
        <f>IF($C194="","",ROUND($C194*FACTOR_DIVISA,2))</f>
        <v/>
      </c>
      <c r="E194" s="44" t="str">
        <f>IF($C194="","",ROUND($C194*FACTOR_BCV,2))</f>
        <v/>
      </c>
    </row>
    <row r="195" ht="15.75" customHeight="1">
      <c r="A195" s="72" t="s">
        <v>561</v>
      </c>
      <c r="B195" s="36" t="s">
        <v>640</v>
      </c>
      <c r="C195" s="36"/>
      <c r="D195" s="44" t="str">
        <f>IF($C195="","",ROUND($C195*FACTOR_DIVISA,2))</f>
        <v/>
      </c>
      <c r="E195" s="44" t="str">
        <f>IF($C195="","",ROUND($C195*FACTOR_BCV,2))</f>
        <v/>
      </c>
    </row>
    <row r="196" ht="15.75" customHeight="1">
      <c r="A196" s="72" t="s">
        <v>561</v>
      </c>
      <c r="B196" s="36" t="s">
        <v>641</v>
      </c>
      <c r="C196" s="36"/>
      <c r="D196" s="44" t="str">
        <f>IF($C196="","",ROUND($C196*FACTOR_DIVISA,2))</f>
        <v/>
      </c>
      <c r="E196" s="44" t="str">
        <f>IF($C196="","",ROUND($C196*FACTOR_BCV,2))</f>
        <v/>
      </c>
    </row>
    <row r="197" ht="15.75" customHeight="1">
      <c r="A197" s="72" t="s">
        <v>561</v>
      </c>
      <c r="B197" s="36" t="s">
        <v>642</v>
      </c>
      <c r="C197" s="36"/>
      <c r="D197" s="44" t="str">
        <f>IF($C197="","",ROUND($C197*FACTOR_DIVISA,2))</f>
        <v/>
      </c>
      <c r="E197" s="44" t="str">
        <f>IF($C197="","",ROUND($C197*FACTOR_BCV,2))</f>
        <v/>
      </c>
    </row>
    <row r="198" ht="15.75" customHeight="1">
      <c r="A198" s="72" t="s">
        <v>561</v>
      </c>
      <c r="B198" s="36" t="s">
        <v>643</v>
      </c>
      <c r="C198" s="36"/>
      <c r="D198" s="44" t="str">
        <f>IF($C198="","",ROUND($C198*FACTOR_DIVISA,2))</f>
        <v/>
      </c>
      <c r="E198" s="44" t="str">
        <f>IF($C198="","",ROUND($C198*FACTOR_BCV,2))</f>
        <v/>
      </c>
    </row>
    <row r="199" ht="15.75" customHeight="1">
      <c r="A199" s="72" t="s">
        <v>561</v>
      </c>
      <c r="B199" s="36" t="s">
        <v>644</v>
      </c>
      <c r="C199" s="36"/>
      <c r="D199" s="44" t="str">
        <f>IF($C199="","",ROUND($C199*FACTOR_DIVISA,2))</f>
        <v/>
      </c>
      <c r="E199" s="44" t="str">
        <f>IF($C199="","",ROUND($C199*FACTOR_BCV,2))</f>
        <v/>
      </c>
    </row>
    <row r="200" ht="15.75" customHeight="1">
      <c r="A200" s="72" t="s">
        <v>561</v>
      </c>
      <c r="B200" s="36" t="s">
        <v>180</v>
      </c>
      <c r="C200" s="36"/>
      <c r="D200" s="44" t="str">
        <f>IF($C200="","",ROUND($C200*FACTOR_DIVISA,2))</f>
        <v/>
      </c>
      <c r="E200" s="44" t="str">
        <f>IF($C200="","",ROUND($C200*FACTOR_BCV,2))</f>
        <v/>
      </c>
    </row>
    <row r="201" ht="15.75" customHeight="1">
      <c r="A201" s="72" t="s">
        <v>561</v>
      </c>
      <c r="B201" s="36" t="s">
        <v>645</v>
      </c>
      <c r="C201" s="36"/>
      <c r="D201" s="44" t="str">
        <f>IF($C201="","",ROUND($C201*FACTOR_DIVISA,2))</f>
        <v/>
      </c>
      <c r="E201" s="44" t="str">
        <f>IF($C201="","",ROUND($C201*FACTOR_BCV,2))</f>
        <v/>
      </c>
    </row>
    <row r="202" ht="15.75" customHeight="1">
      <c r="A202" s="72" t="s">
        <v>561</v>
      </c>
      <c r="B202" s="36" t="s">
        <v>646</v>
      </c>
      <c r="C202" s="36"/>
      <c r="D202" s="44" t="str">
        <f>IF($C202="","",ROUND($C202*FACTOR_DIVISA,2))</f>
        <v/>
      </c>
      <c r="E202" s="44" t="str">
        <f>IF($C202="","",ROUND($C202*FACTOR_BCV,2))</f>
        <v/>
      </c>
    </row>
    <row r="203" ht="15.75" customHeight="1">
      <c r="A203" s="72" t="s">
        <v>561</v>
      </c>
      <c r="B203" s="36" t="s">
        <v>647</v>
      </c>
      <c r="C203" s="36"/>
      <c r="D203" s="44" t="str">
        <f>IF($C203="","",ROUND($C203*FACTOR_DIVISA,2))</f>
        <v/>
      </c>
      <c r="E203" s="44" t="str">
        <f>IF($C203="","",ROUND($C203*FACTOR_BCV,2))</f>
        <v/>
      </c>
    </row>
    <row r="204" ht="15.75" customHeight="1">
      <c r="A204" s="72" t="s">
        <v>561</v>
      </c>
      <c r="B204" s="36" t="s">
        <v>648</v>
      </c>
      <c r="C204" s="36"/>
      <c r="D204" s="44" t="str">
        <f>IF($C204="","",ROUND($C204*FACTOR_DIVISA,2))</f>
        <v/>
      </c>
      <c r="E204" s="44" t="str">
        <f>IF($C204="","",ROUND($C204*FACTOR_BCV,2))</f>
        <v/>
      </c>
    </row>
    <row r="205" ht="15.75" customHeight="1">
      <c r="A205" s="72" t="s">
        <v>561</v>
      </c>
      <c r="B205" s="36" t="s">
        <v>649</v>
      </c>
      <c r="C205" s="36"/>
      <c r="D205" s="44" t="str">
        <f>IF($C205="","",ROUND($C205*FACTOR_DIVISA,2))</f>
        <v/>
      </c>
      <c r="E205" s="44" t="str">
        <f>IF($C205="","",ROUND($C205*FACTOR_BCV,2))</f>
        <v/>
      </c>
    </row>
    <row r="206" ht="15.75" customHeight="1">
      <c r="A206" s="72" t="s">
        <v>561</v>
      </c>
      <c r="B206" s="36" t="s">
        <v>650</v>
      </c>
      <c r="C206" s="36"/>
      <c r="D206" s="44" t="str">
        <f>IF($C206="","",ROUND($C206*FACTOR_DIVISA,2))</f>
        <v/>
      </c>
      <c r="E206" s="44" t="str">
        <f>IF($C206="","",ROUND($C206*FACTOR_BCV,2))</f>
        <v/>
      </c>
    </row>
    <row r="207" ht="15.75" customHeight="1">
      <c r="A207" s="72" t="s">
        <v>561</v>
      </c>
      <c r="B207" s="36" t="s">
        <v>651</v>
      </c>
      <c r="C207" s="36"/>
      <c r="D207" s="44" t="str">
        <f>IF($C207="","",ROUND($C207*FACTOR_DIVISA,2))</f>
        <v/>
      </c>
      <c r="E207" s="44" t="str">
        <f>IF($C207="","",ROUND($C207*FACTOR_BCV,2))</f>
        <v/>
      </c>
    </row>
    <row r="208" ht="15.75" customHeight="1">
      <c r="A208" s="72" t="s">
        <v>561</v>
      </c>
      <c r="B208" s="36" t="s">
        <v>652</v>
      </c>
      <c r="C208" s="36"/>
      <c r="D208" s="44" t="str">
        <f>IF($C208="","",ROUND($C208*FACTOR_DIVISA,2))</f>
        <v/>
      </c>
      <c r="E208" s="44" t="str">
        <f>IF($C208="","",ROUND($C208*FACTOR_BCV,2))</f>
        <v/>
      </c>
    </row>
    <row r="209" ht="15.75" customHeight="1">
      <c r="A209" s="72" t="s">
        <v>561</v>
      </c>
      <c r="B209" s="36" t="s">
        <v>653</v>
      </c>
      <c r="C209" s="36"/>
      <c r="D209" s="44" t="str">
        <f>IF($C209="","",ROUND($C209*FACTOR_DIVISA,2))</f>
        <v/>
      </c>
      <c r="E209" s="44" t="str">
        <f>IF($C209="","",ROUND($C209*FACTOR_BCV,2))</f>
        <v/>
      </c>
    </row>
    <row r="210" ht="15.75" customHeight="1">
      <c r="A210" s="72" t="s">
        <v>561</v>
      </c>
      <c r="B210" s="36" t="s">
        <v>654</v>
      </c>
      <c r="C210" s="36"/>
      <c r="D210" s="44" t="str">
        <f>IF($C210="","",ROUND($C210*FACTOR_DIVISA,2))</f>
        <v/>
      </c>
      <c r="E210" s="44" t="str">
        <f>IF($C210="","",ROUND($C210*FACTOR_BCV,2))</f>
        <v/>
      </c>
    </row>
    <row r="211" ht="15.75" customHeight="1">
      <c r="A211" s="72" t="s">
        <v>561</v>
      </c>
      <c r="B211" s="36" t="s">
        <v>655</v>
      </c>
      <c r="C211" s="36"/>
      <c r="D211" s="44" t="str">
        <f>IF($C211="","",ROUND($C211*FACTOR_DIVISA,2))</f>
        <v/>
      </c>
      <c r="E211" s="44" t="str">
        <f>IF($C211="","",ROUND($C211*FACTOR_BCV,2))</f>
        <v/>
      </c>
    </row>
    <row r="212" ht="15.75" customHeight="1">
      <c r="A212" s="72" t="s">
        <v>561</v>
      </c>
      <c r="B212" s="36" t="s">
        <v>656</v>
      </c>
      <c r="C212" s="39">
        <v>12.0</v>
      </c>
      <c r="D212" s="44">
        <f>IF($C212="","",ROUND($C212*FACTOR_DIVISA,2))</f>
        <v>20.4</v>
      </c>
      <c r="E212" s="44">
        <f>IF($C212="","",ROUND($C212*FACTOR_BCV,2))</f>
        <v>26.4</v>
      </c>
    </row>
    <row r="213" ht="15.75" customHeight="1">
      <c r="A213" s="72" t="s">
        <v>561</v>
      </c>
      <c r="B213" s="36" t="s">
        <v>657</v>
      </c>
      <c r="C213" s="39">
        <v>12.0</v>
      </c>
      <c r="D213" s="44">
        <f>IF($C213="","",ROUND($C213*FACTOR_DIVISA,2))</f>
        <v>20.4</v>
      </c>
      <c r="E213" s="44">
        <f>IF($C213="","",ROUND($C213*FACTOR_BCV,2))</f>
        <v>26.4</v>
      </c>
    </row>
    <row r="214" ht="15.75" customHeight="1">
      <c r="A214" s="72" t="s">
        <v>561</v>
      </c>
      <c r="B214" s="36" t="s">
        <v>658</v>
      </c>
      <c r="C214" s="39">
        <v>12.0</v>
      </c>
      <c r="D214" s="44">
        <f>IF($C214="","",ROUND($C214*FACTOR_DIVISA,2))</f>
        <v>20.4</v>
      </c>
      <c r="E214" s="44">
        <f>IF($C214="","",ROUND($C214*FACTOR_BCV,2))</f>
        <v>26.4</v>
      </c>
    </row>
    <row r="215" ht="15.75" customHeight="1">
      <c r="A215" s="72" t="s">
        <v>561</v>
      </c>
      <c r="B215" s="36" t="s">
        <v>659</v>
      </c>
      <c r="C215" s="39">
        <v>12.0</v>
      </c>
      <c r="D215" s="44">
        <f>IF($C215="","",ROUND($C215*FACTOR_DIVISA,2))</f>
        <v>20.4</v>
      </c>
      <c r="E215" s="44">
        <f>IF($C215="","",ROUND($C215*FACTOR_BCV,2))</f>
        <v>26.4</v>
      </c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2A5B242-02C7-4C6B-AD8C-2B22FB8F757D}" filter="1" showAutoFilter="1">
      <autoFilter ref="$A$3:$E$215"/>
    </customSheetView>
  </customSheetViews>
  <mergeCells count="3">
    <mergeCell ref="A2:E2"/>
    <mergeCell ref="G3:H3"/>
    <mergeCell ref="G10:H12"/>
  </mergeCells>
  <conditionalFormatting sqref="C4:C215">
    <cfRule type="expression" dxfId="6" priority="1">
      <formula>AND($B4&lt;&gt;"",$C4="")</formula>
    </cfRule>
  </conditionalFormatting>
  <conditionalFormatting sqref="B4:B215">
    <cfRule type="expression" dxfId="7" priority="2">
      <formula>AND($B4&lt;&gt;"",COUNTIF($B$4:$B$215,$B4)&gt;1)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3" width="110.0"/>
    <col customWidth="1" min="4" max="26" width="8.71"/>
  </cols>
  <sheetData>
    <row r="1">
      <c r="A1" s="1" t="s">
        <v>377</v>
      </c>
    </row>
    <row r="2">
      <c r="A2" s="2" t="s">
        <v>378</v>
      </c>
    </row>
    <row r="3" ht="30.0" customHeight="1">
      <c r="A3" s="19" t="s">
        <v>380</v>
      </c>
      <c r="B3" s="19" t="s">
        <v>381</v>
      </c>
      <c r="C3" s="19" t="s">
        <v>382</v>
      </c>
    </row>
    <row r="4">
      <c r="A4" s="73" t="s">
        <v>383</v>
      </c>
      <c r="B4" s="74" t="s">
        <v>384</v>
      </c>
      <c r="C4" s="75" t="s">
        <v>385</v>
      </c>
    </row>
    <row r="5">
      <c r="A5" s="73" t="s">
        <v>386</v>
      </c>
      <c r="B5" s="74" t="s">
        <v>387</v>
      </c>
      <c r="C5" s="75" t="s">
        <v>388</v>
      </c>
    </row>
    <row r="6">
      <c r="A6" s="73" t="s">
        <v>386</v>
      </c>
      <c r="B6" s="74" t="s">
        <v>390</v>
      </c>
      <c r="C6" s="75" t="s">
        <v>392</v>
      </c>
    </row>
    <row r="7">
      <c r="A7" s="73" t="s">
        <v>386</v>
      </c>
      <c r="B7" s="74" t="s">
        <v>393</v>
      </c>
      <c r="C7" s="75" t="s">
        <v>395</v>
      </c>
    </row>
    <row r="8">
      <c r="A8" s="73" t="s">
        <v>386</v>
      </c>
      <c r="B8" s="74" t="s">
        <v>393</v>
      </c>
      <c r="C8" s="75" t="s">
        <v>396</v>
      </c>
    </row>
    <row r="9">
      <c r="A9" s="73" t="s">
        <v>386</v>
      </c>
      <c r="B9" s="74" t="s">
        <v>390</v>
      </c>
      <c r="C9" s="75" t="s">
        <v>397</v>
      </c>
    </row>
    <row r="10">
      <c r="A10" s="73" t="s">
        <v>386</v>
      </c>
      <c r="B10" s="74" t="s">
        <v>387</v>
      </c>
      <c r="C10" s="75" t="s">
        <v>399</v>
      </c>
    </row>
    <row r="11">
      <c r="A11" s="73" t="s">
        <v>386</v>
      </c>
      <c r="B11" s="74" t="s">
        <v>387</v>
      </c>
      <c r="C11" s="75" t="s">
        <v>401</v>
      </c>
    </row>
    <row r="12">
      <c r="A12" s="73" t="s">
        <v>386</v>
      </c>
      <c r="B12" s="74" t="s">
        <v>402</v>
      </c>
      <c r="C12" s="75" t="s">
        <v>403</v>
      </c>
    </row>
    <row r="13">
      <c r="A13" s="73" t="s">
        <v>386</v>
      </c>
      <c r="B13" s="74" t="s">
        <v>402</v>
      </c>
      <c r="C13" s="75" t="s">
        <v>404</v>
      </c>
    </row>
    <row r="14">
      <c r="A14" s="73" t="s">
        <v>386</v>
      </c>
      <c r="B14" s="74" t="s">
        <v>406</v>
      </c>
      <c r="C14" s="75" t="s">
        <v>407</v>
      </c>
    </row>
    <row r="15">
      <c r="A15" s="73" t="s">
        <v>408</v>
      </c>
      <c r="B15" s="74" t="s">
        <v>409</v>
      </c>
      <c r="C15" s="75" t="s">
        <v>410</v>
      </c>
    </row>
    <row r="16">
      <c r="A16" s="73" t="s">
        <v>408</v>
      </c>
      <c r="B16" s="74" t="s">
        <v>409</v>
      </c>
      <c r="C16" s="75" t="s">
        <v>412</v>
      </c>
    </row>
    <row r="17">
      <c r="A17" s="73" t="s">
        <v>408</v>
      </c>
      <c r="B17" s="74" t="s">
        <v>393</v>
      </c>
      <c r="C17" s="75" t="s">
        <v>413</v>
      </c>
    </row>
    <row r="18">
      <c r="A18" s="73" t="s">
        <v>408</v>
      </c>
      <c r="B18" s="74" t="s">
        <v>393</v>
      </c>
      <c r="C18" s="75" t="s">
        <v>414</v>
      </c>
    </row>
    <row r="19">
      <c r="A19" s="73" t="s">
        <v>408</v>
      </c>
      <c r="B19" s="74" t="s">
        <v>393</v>
      </c>
      <c r="C19" s="75" t="s">
        <v>416</v>
      </c>
    </row>
    <row r="20">
      <c r="A20" s="73" t="s">
        <v>408</v>
      </c>
      <c r="B20" s="74" t="s">
        <v>387</v>
      </c>
      <c r="C20" s="75" t="s">
        <v>417</v>
      </c>
    </row>
    <row r="21" ht="15.75" customHeight="1">
      <c r="A21" s="73" t="s">
        <v>408</v>
      </c>
      <c r="B21" s="74" t="s">
        <v>387</v>
      </c>
      <c r="C21" s="75" t="s">
        <v>418</v>
      </c>
    </row>
    <row r="22" ht="15.75" customHeight="1">
      <c r="A22" s="73" t="s">
        <v>408</v>
      </c>
      <c r="B22" s="74" t="s">
        <v>390</v>
      </c>
      <c r="C22" s="75" t="s">
        <v>419</v>
      </c>
    </row>
    <row r="23" ht="15.75" customHeight="1">
      <c r="A23" s="73" t="s">
        <v>408</v>
      </c>
      <c r="B23" s="74" t="s">
        <v>390</v>
      </c>
      <c r="C23" s="75" t="s">
        <v>420</v>
      </c>
    </row>
    <row r="24" ht="15.75" customHeight="1">
      <c r="A24" s="73" t="s">
        <v>408</v>
      </c>
      <c r="B24" s="74" t="s">
        <v>384</v>
      </c>
      <c r="C24" s="75" t="s">
        <v>422</v>
      </c>
    </row>
    <row r="25" ht="15.75" customHeight="1">
      <c r="A25" s="73" t="s">
        <v>408</v>
      </c>
      <c r="B25" s="74" t="s">
        <v>402</v>
      </c>
      <c r="C25" s="75" t="s">
        <v>423</v>
      </c>
    </row>
    <row r="26" ht="15.75" customHeight="1">
      <c r="A26" s="73" t="s">
        <v>408</v>
      </c>
      <c r="B26" s="74" t="s">
        <v>406</v>
      </c>
      <c r="C26" s="75" t="s">
        <v>424</v>
      </c>
    </row>
    <row r="27" ht="15.75" customHeight="1">
      <c r="A27" s="73" t="s">
        <v>426</v>
      </c>
      <c r="B27" s="74" t="s">
        <v>384</v>
      </c>
      <c r="C27" s="75" t="s">
        <v>427</v>
      </c>
    </row>
    <row r="28" ht="15.75" customHeight="1">
      <c r="A28" s="73" t="s">
        <v>428</v>
      </c>
      <c r="B28" s="74" t="s">
        <v>387</v>
      </c>
      <c r="C28" s="75" t="s">
        <v>430</v>
      </c>
    </row>
    <row r="29" ht="15.75" customHeight="1">
      <c r="A29" s="73" t="s">
        <v>428</v>
      </c>
      <c r="B29" s="74" t="s">
        <v>387</v>
      </c>
      <c r="C29" s="75" t="s">
        <v>431</v>
      </c>
    </row>
    <row r="30" ht="15.75" customHeight="1">
      <c r="A30" s="73" t="s">
        <v>428</v>
      </c>
      <c r="B30" s="74" t="s">
        <v>393</v>
      </c>
      <c r="C30" s="75" t="s">
        <v>432</v>
      </c>
    </row>
    <row r="31" ht="15.75" customHeight="1">
      <c r="A31" s="73" t="s">
        <v>428</v>
      </c>
      <c r="B31" s="74" t="s">
        <v>406</v>
      </c>
      <c r="C31" s="75" t="s">
        <v>434</v>
      </c>
    </row>
    <row r="32" ht="15.75" customHeight="1">
      <c r="A32" s="73" t="s">
        <v>428</v>
      </c>
      <c r="B32" s="74" t="s">
        <v>402</v>
      </c>
      <c r="C32" s="75" t="s">
        <v>435</v>
      </c>
    </row>
    <row r="33" ht="15.75" customHeight="1">
      <c r="A33" s="73" t="s">
        <v>436</v>
      </c>
      <c r="B33" s="74" t="s">
        <v>393</v>
      </c>
      <c r="C33" s="75" t="s">
        <v>438</v>
      </c>
    </row>
    <row r="34" ht="15.75" customHeight="1">
      <c r="A34" s="73" t="s">
        <v>436</v>
      </c>
      <c r="B34" s="74" t="s">
        <v>406</v>
      </c>
      <c r="C34" s="75" t="s">
        <v>439</v>
      </c>
    </row>
    <row r="35" ht="15.75" customHeight="1">
      <c r="A35" s="73" t="s">
        <v>436</v>
      </c>
      <c r="B35" s="74" t="s">
        <v>402</v>
      </c>
      <c r="C35" s="75" t="s">
        <v>440</v>
      </c>
    </row>
    <row r="36" ht="15.75" customHeight="1">
      <c r="A36" s="73" t="s">
        <v>441</v>
      </c>
      <c r="B36" s="74" t="s">
        <v>393</v>
      </c>
      <c r="C36" s="75" t="s">
        <v>443</v>
      </c>
    </row>
    <row r="37" ht="15.75" customHeight="1">
      <c r="A37" s="73" t="s">
        <v>441</v>
      </c>
      <c r="B37" s="74" t="s">
        <v>393</v>
      </c>
      <c r="C37" s="75" t="s">
        <v>444</v>
      </c>
    </row>
    <row r="38" ht="15.75" customHeight="1">
      <c r="A38" s="73" t="s">
        <v>441</v>
      </c>
      <c r="B38" s="74" t="s">
        <v>387</v>
      </c>
      <c r="C38" s="75" t="s">
        <v>445</v>
      </c>
    </row>
    <row r="39" ht="15.75" customHeight="1">
      <c r="A39" s="73" t="s">
        <v>441</v>
      </c>
      <c r="B39" s="74" t="s">
        <v>406</v>
      </c>
      <c r="C39" s="75" t="s">
        <v>448</v>
      </c>
    </row>
    <row r="40" ht="15.75" customHeight="1">
      <c r="A40" s="73" t="s">
        <v>441</v>
      </c>
      <c r="B40" s="74" t="s">
        <v>406</v>
      </c>
      <c r="C40" s="75" t="s">
        <v>449</v>
      </c>
    </row>
    <row r="41" ht="15.75" customHeight="1">
      <c r="A41" s="73" t="s">
        <v>441</v>
      </c>
      <c r="B41" s="74" t="s">
        <v>402</v>
      </c>
      <c r="C41" s="75" t="s">
        <v>450</v>
      </c>
    </row>
    <row r="42" ht="15.75" customHeight="1">
      <c r="A42" s="73" t="s">
        <v>441</v>
      </c>
      <c r="B42" s="74" t="s">
        <v>402</v>
      </c>
      <c r="C42" s="75" t="s">
        <v>451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CCFCDA5-9BF9-4A28-A17C-DD3BBE963B0C}" filter="1" showAutoFilter="1">
      <autoFilter ref="$A$3:$C$42"/>
    </customSheetView>
  </customSheetViews>
  <mergeCells count="1">
    <mergeCell ref="A2:C2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